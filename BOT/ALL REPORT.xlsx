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38f30d24b6f608/2026/Project/STOCK BOT/BOT/"/>
    </mc:Choice>
  </mc:AlternateContent>
  <xr:revisionPtr revIDLastSave="110" documentId="11_517FF0C2CD22CFA03BF4552AAD85DC923316B172" xr6:coauthVersionLast="47" xr6:coauthVersionMax="47" xr10:uidLastSave="{657E65F6-FDAF-4C5C-8008-B31D96779FA8}"/>
  <bookViews>
    <workbookView xWindow="-108" yWindow="-108" windowWidth="23256" windowHeight="12456" tabRatio="870" firstSheet="5" activeTab="12" xr2:uid="{00000000-000D-0000-FFFF-FFFF00000000}"/>
  </bookViews>
  <sheets>
    <sheet name="Main Page" sheetId="1" r:id="rId1"/>
    <sheet name="Stock" sheetId="2" r:id="rId2"/>
    <sheet name="ERP Entry Stock" sheetId="3" r:id="rId3"/>
    <sheet name="ERP Entry FG" sheetId="4" r:id="rId4"/>
    <sheet name="BSIC Entry" sheetId="5" r:id="rId5"/>
    <sheet name="Plastic Entry" sheetId="6" r:id="rId6"/>
    <sheet name="InterCompany Requsition Report" sheetId="7" r:id="rId7"/>
    <sheet name="Compile" sheetId="8" r:id="rId8"/>
    <sheet name="BOM" sheetId="9" r:id="rId9"/>
    <sheet name="SFG Accessories" sheetId="10" r:id="rId10"/>
    <sheet name="Day Wise Production" sheetId="11" state="hidden" r:id="rId11"/>
    <sheet name="Per Day Production" sheetId="12" r:id="rId12"/>
    <sheet name="Entry Sheet Physical" sheetId="13" r:id="rId13"/>
    <sheet name="Armature SFG Report Entry" sheetId="14" r:id="rId14"/>
    <sheet name="Sheet2" sheetId="15" state="hidden" r:id="rId15"/>
  </sheets>
  <externalReferences>
    <externalReference r:id="rId16"/>
    <externalReference r:id="rId17"/>
  </externalReferences>
  <definedNames>
    <definedName name="_xlnm._FilterDatabase" localSheetId="1" hidden="1">Stock!$A$3:$O$44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06" i="14" l="1" a="1"/>
  <c r="F1106" i="14"/>
  <c r="D1106" i="14"/>
  <c r="D1111" i="14" s="1"/>
  <c r="D1116" i="14" s="1"/>
  <c r="D1121" i="14" s="1"/>
  <c r="D1126" i="14" s="1"/>
  <c r="D1131" i="14" s="1"/>
  <c r="D1136" i="14" s="1"/>
  <c r="D1141" i="14" s="1"/>
  <c r="D1146" i="14" s="1"/>
  <c r="D1151" i="14" s="1"/>
  <c r="D1156" i="14" s="1"/>
  <c r="D1161" i="14" s="1"/>
  <c r="D1166" i="14" s="1"/>
  <c r="D1171" i="14" s="1"/>
  <c r="D1176" i="14" s="1"/>
  <c r="D1181" i="14" s="1"/>
  <c r="D1186" i="14" s="1"/>
  <c r="D1191" i="14" s="1"/>
  <c r="D1196" i="14" s="1"/>
  <c r="D1201" i="14" s="1"/>
  <c r="D1206" i="14" s="1"/>
  <c r="D1211" i="14" s="1"/>
  <c r="D1216" i="14" s="1"/>
  <c r="D1221" i="14" s="1"/>
  <c r="D1226" i="14" s="1"/>
  <c r="D1231" i="14" s="1"/>
  <c r="D1236" i="14" s="1"/>
  <c r="D1241" i="14" s="1"/>
  <c r="D1246" i="14" s="1"/>
  <c r="D1251" i="14" s="1"/>
  <c r="D1256" i="14" s="1"/>
  <c r="D1261" i="14" s="1"/>
  <c r="D1266" i="14" s="1"/>
  <c r="D1271" i="14" s="1"/>
  <c r="D1276" i="14" s="1"/>
  <c r="D1281" i="14" s="1"/>
  <c r="D1286" i="14" s="1"/>
  <c r="D1291" i="14" s="1"/>
  <c r="D1296" i="14" s="1"/>
  <c r="D1301" i="14" s="1"/>
  <c r="D1306" i="14" s="1"/>
  <c r="D1311" i="14" s="1"/>
  <c r="D1316" i="14" s="1"/>
  <c r="D1321" i="14" s="1"/>
  <c r="D1326" i="14" s="1"/>
  <c r="D1331" i="14" s="1"/>
  <c r="D1336" i="14" s="1"/>
  <c r="D1341" i="14" s="1"/>
  <c r="D1346" i="14" s="1"/>
  <c r="D1351" i="14" s="1"/>
  <c r="D1356" i="14" s="1"/>
  <c r="D1361" i="14" s="1"/>
  <c r="D1366" i="14" s="1"/>
  <c r="D1371" i="14" s="1"/>
  <c r="D1376" i="14" s="1"/>
  <c r="D1381" i="14" s="1"/>
  <c r="D1386" i="14" s="1"/>
  <c r="D1391" i="14" s="1"/>
  <c r="D1396" i="14" s="1"/>
  <c r="D1401" i="14" s="1"/>
  <c r="D1406" i="14" s="1"/>
  <c r="D1411" i="14" s="1"/>
  <c r="D1416" i="14" s="1"/>
  <c r="D1421" i="14" s="1"/>
  <c r="D1426" i="14" s="1"/>
  <c r="D1431" i="14" s="1"/>
  <c r="D1436" i="14" s="1"/>
  <c r="D1441" i="14" s="1"/>
  <c r="D1446" i="14" s="1"/>
  <c r="D1451" i="14" s="1"/>
  <c r="D1456" i="14" s="1"/>
  <c r="D1461" i="14" s="1"/>
  <c r="D1466" i="14" s="1"/>
  <c r="D1471" i="14" s="1"/>
  <c r="D1476" i="14" s="1"/>
  <c r="D1481" i="14" s="1"/>
  <c r="D1486" i="14" s="1"/>
  <c r="D1491" i="14" s="1"/>
  <c r="D1496" i="14" s="1"/>
  <c r="D1501" i="14" s="1"/>
  <c r="D1506" i="14" s="1"/>
  <c r="D1511" i="14" s="1"/>
  <c r="D1516" i="14" s="1"/>
  <c r="D1521" i="14" s="1"/>
  <c r="D1526" i="14" s="1"/>
  <c r="D1531" i="14" s="1"/>
  <c r="D1536" i="14" s="1"/>
  <c r="D1541" i="14" s="1"/>
  <c r="D1546" i="14" s="1"/>
  <c r="D1551" i="14" s="1"/>
  <c r="D1556" i="14" s="1"/>
  <c r="D1561" i="14" s="1"/>
  <c r="D1566" i="14" s="1"/>
  <c r="D1571" i="14" s="1"/>
  <c r="D1576" i="14" s="1"/>
  <c r="D1581" i="14" s="1"/>
  <c r="D1586" i="14" s="1"/>
  <c r="D1591" i="14" s="1"/>
  <c r="D1596" i="14" s="1"/>
  <c r="D1601" i="14" s="1"/>
  <c r="D1606" i="14" s="1"/>
  <c r="D1611" i="14" s="1"/>
  <c r="D1616" i="14" s="1"/>
  <c r="D1621" i="14" s="1"/>
  <c r="D1626" i="14" s="1"/>
  <c r="D1631" i="14" s="1"/>
  <c r="D1636" i="14" s="1"/>
  <c r="D1641" i="14" s="1"/>
  <c r="D1646" i="14" s="1"/>
  <c r="D1651" i="14" s="1"/>
  <c r="D1656" i="14" s="1"/>
  <c r="D1661" i="14" s="1"/>
  <c r="D1666" i="14" s="1"/>
  <c r="D1671" i="14" s="1"/>
  <c r="D1676" i="14" s="1"/>
  <c r="D1681" i="14" s="1"/>
  <c r="D1686" i="14" s="1"/>
  <c r="D1691" i="14" s="1"/>
  <c r="D1696" i="14" s="1"/>
  <c r="D1701" i="14" s="1"/>
  <c r="D1706" i="14" s="1"/>
  <c r="D1711" i="14" s="1"/>
  <c r="D1716" i="14" s="1"/>
  <c r="D1721" i="14" s="1"/>
  <c r="D1726" i="14" s="1"/>
  <c r="D1731" i="14" s="1"/>
  <c r="D1736" i="14" s="1"/>
  <c r="D1741" i="14" s="1"/>
  <c r="D1746" i="14" s="1"/>
  <c r="D1751" i="14" s="1"/>
  <c r="D1756" i="14" s="1"/>
  <c r="D1761" i="14" s="1"/>
  <c r="D1766" i="14" s="1"/>
  <c r="D1771" i="14" s="1"/>
  <c r="D1776" i="14" s="1"/>
  <c r="D1781" i="14" s="1"/>
  <c r="D1786" i="14" s="1"/>
  <c r="D1791" i="14" s="1"/>
  <c r="D1796" i="14" s="1"/>
  <c r="D1801" i="14" s="1"/>
  <c r="D1806" i="14" s="1"/>
  <c r="B1106" i="14"/>
  <c r="I1105" i="14"/>
  <c r="I1104" i="14"/>
  <c r="I1103" i="14"/>
  <c r="I1102" i="14"/>
  <c r="I1101" i="14"/>
  <c r="I1100" i="14"/>
  <c r="I1099" i="14"/>
  <c r="I1098" i="14"/>
  <c r="I1097" i="14"/>
  <c r="I1096" i="14"/>
  <c r="I1095" i="14"/>
  <c r="I1094" i="14"/>
  <c r="I1093" i="14"/>
  <c r="I1092" i="14"/>
  <c r="I1091" i="14"/>
  <c r="I1090" i="14"/>
  <c r="I1089" i="14"/>
  <c r="I1088" i="14"/>
  <c r="I1087" i="14"/>
  <c r="I1086" i="14"/>
  <c r="I1085" i="14"/>
  <c r="I1084" i="14"/>
  <c r="I1083" i="14"/>
  <c r="I1082" i="14"/>
  <c r="I1081" i="14"/>
  <c r="I1080" i="14"/>
  <c r="I1079" i="14"/>
  <c r="I1078" i="14"/>
  <c r="I1077" i="14"/>
  <c r="I1076" i="14"/>
  <c r="I1075" i="14"/>
  <c r="I1074" i="14"/>
  <c r="I1073" i="14"/>
  <c r="I1072" i="14"/>
  <c r="I1071" i="14"/>
  <c r="I1070" i="14"/>
  <c r="I1069" i="14"/>
  <c r="I1068" i="14"/>
  <c r="I1067" i="14"/>
  <c r="I1066" i="14"/>
  <c r="I1065" i="14"/>
  <c r="I1064" i="14"/>
  <c r="I1063" i="14"/>
  <c r="I1062" i="14"/>
  <c r="I1061" i="14"/>
  <c r="I1060" i="14"/>
  <c r="I1059" i="14"/>
  <c r="I1058" i="14"/>
  <c r="I1057" i="14"/>
  <c r="I1056" i="14"/>
  <c r="I1055" i="14"/>
  <c r="I1054" i="14"/>
  <c r="I1053" i="14"/>
  <c r="I1052" i="14"/>
  <c r="I1051" i="14"/>
  <c r="I1050" i="14"/>
  <c r="I1049" i="14"/>
  <c r="I1048" i="14"/>
  <c r="I1047" i="14"/>
  <c r="I1046" i="14"/>
  <c r="I1045" i="14"/>
  <c r="I1044" i="14"/>
  <c r="I1043" i="14"/>
  <c r="I1042" i="14"/>
  <c r="I1041" i="14"/>
  <c r="I1040" i="14"/>
  <c r="I1039" i="14"/>
  <c r="I1038" i="14"/>
  <c r="I1037" i="14"/>
  <c r="I1036" i="14"/>
  <c r="I1035" i="14"/>
  <c r="I1034" i="14"/>
  <c r="I1033" i="14"/>
  <c r="I1032" i="14"/>
  <c r="I1031" i="14"/>
  <c r="I1030" i="14"/>
  <c r="I1029" i="14"/>
  <c r="I1028" i="14"/>
  <c r="I1027" i="14"/>
  <c r="I1026" i="14"/>
  <c r="I1025" i="14"/>
  <c r="I1024" i="14"/>
  <c r="I1023" i="14"/>
  <c r="I1022" i="14"/>
  <c r="I1021" i="14"/>
  <c r="I1020" i="14"/>
  <c r="I1019" i="14"/>
  <c r="I1018" i="14"/>
  <c r="I1017" i="14"/>
  <c r="I1016" i="14"/>
  <c r="I1015" i="14"/>
  <c r="I1014" i="14"/>
  <c r="I1013" i="14"/>
  <c r="I1012" i="14"/>
  <c r="I1011" i="14"/>
  <c r="I1010" i="14"/>
  <c r="I1009" i="14"/>
  <c r="I1008" i="14"/>
  <c r="I1007" i="14"/>
  <c r="I1006" i="14"/>
  <c r="I1005" i="14"/>
  <c r="I1004" i="14"/>
  <c r="I1003" i="14"/>
  <c r="I1002" i="14"/>
  <c r="I1001" i="14"/>
  <c r="I1000" i="14"/>
  <c r="I999" i="14"/>
  <c r="I998" i="14"/>
  <c r="I997" i="14"/>
  <c r="I996" i="14"/>
  <c r="I995" i="14"/>
  <c r="I994" i="14"/>
  <c r="I993" i="14"/>
  <c r="I992" i="14"/>
  <c r="I991" i="14"/>
  <c r="I990" i="14"/>
  <c r="I989" i="14"/>
  <c r="I988" i="14"/>
  <c r="I987" i="14"/>
  <c r="I986" i="14"/>
  <c r="I985" i="14"/>
  <c r="I984" i="14"/>
  <c r="I983" i="14"/>
  <c r="I982" i="14"/>
  <c r="I981" i="14"/>
  <c r="I980" i="14"/>
  <c r="I979" i="14"/>
  <c r="I978" i="14"/>
  <c r="I977" i="14"/>
  <c r="I976" i="14"/>
  <c r="I975" i="14"/>
  <c r="I974" i="14"/>
  <c r="I973" i="14"/>
  <c r="I972" i="14"/>
  <c r="I971" i="14"/>
  <c r="I970" i="14"/>
  <c r="I969" i="14"/>
  <c r="I968" i="14"/>
  <c r="I967" i="14"/>
  <c r="I966" i="14"/>
  <c r="I965" i="14"/>
  <c r="I964" i="14"/>
  <c r="I963" i="14"/>
  <c r="I962" i="14"/>
  <c r="I961" i="14"/>
  <c r="I960" i="14"/>
  <c r="I959" i="14"/>
  <c r="I958" i="14"/>
  <c r="I957" i="14"/>
  <c r="I956" i="14"/>
  <c r="I955" i="14"/>
  <c r="I954" i="14"/>
  <c r="I953" i="14"/>
  <c r="I952" i="14"/>
  <c r="I951" i="14"/>
  <c r="I950" i="14"/>
  <c r="I949" i="14"/>
  <c r="I948" i="14"/>
  <c r="I947" i="14"/>
  <c r="I946" i="14"/>
  <c r="I945" i="14"/>
  <c r="I944" i="14"/>
  <c r="I943" i="14"/>
  <c r="I942" i="14"/>
  <c r="I941" i="14"/>
  <c r="I940" i="14"/>
  <c r="I939" i="14"/>
  <c r="I938" i="14"/>
  <c r="I937" i="14"/>
  <c r="I936" i="14"/>
  <c r="I935" i="14"/>
  <c r="I934" i="14"/>
  <c r="G933" i="14"/>
  <c r="I933" i="14" s="1"/>
  <c r="I932" i="14"/>
  <c r="G931" i="14"/>
  <c r="I931" i="14" s="1"/>
  <c r="I930" i="14"/>
  <c r="I929" i="14"/>
  <c r="G928" i="14"/>
  <c r="I928" i="14" s="1"/>
  <c r="I927" i="14"/>
  <c r="G926" i="14"/>
  <c r="I926" i="14" s="1"/>
  <c r="I925" i="14"/>
  <c r="I924" i="14"/>
  <c r="I923" i="14"/>
  <c r="I922" i="14"/>
  <c r="I921" i="14"/>
  <c r="I920" i="14"/>
  <c r="I919" i="14"/>
  <c r="I918" i="14"/>
  <c r="I917" i="14"/>
  <c r="I916" i="14"/>
  <c r="I915" i="14"/>
  <c r="I914" i="14"/>
  <c r="I913" i="14"/>
  <c r="I912" i="14"/>
  <c r="I911" i="14"/>
  <c r="I910" i="14"/>
  <c r="I909" i="14"/>
  <c r="I908" i="14"/>
  <c r="I907" i="14"/>
  <c r="I906" i="14"/>
  <c r="I905" i="14"/>
  <c r="I904" i="14"/>
  <c r="I903" i="14"/>
  <c r="I902" i="14"/>
  <c r="I901" i="14"/>
  <c r="I900" i="14"/>
  <c r="I899" i="14"/>
  <c r="I898" i="14"/>
  <c r="I897" i="14"/>
  <c r="I896" i="14"/>
  <c r="I895" i="14"/>
  <c r="I894" i="14"/>
  <c r="I893" i="14"/>
  <c r="I892" i="14"/>
  <c r="I891" i="14"/>
  <c r="I890" i="14"/>
  <c r="I889" i="14"/>
  <c r="I888" i="14"/>
  <c r="I887" i="14"/>
  <c r="I886" i="14"/>
  <c r="I885" i="14"/>
  <c r="I884" i="14"/>
  <c r="I883" i="14"/>
  <c r="I882" i="14"/>
  <c r="I881" i="14"/>
  <c r="I880" i="14"/>
  <c r="I879" i="14"/>
  <c r="I878" i="14"/>
  <c r="I877" i="14"/>
  <c r="I876" i="14"/>
  <c r="I875" i="14"/>
  <c r="I874" i="14"/>
  <c r="I873" i="14"/>
  <c r="I872" i="14"/>
  <c r="I871" i="14"/>
  <c r="I870" i="14"/>
  <c r="I869" i="14"/>
  <c r="I868" i="14"/>
  <c r="I867" i="14"/>
  <c r="I866" i="14"/>
  <c r="I865" i="14"/>
  <c r="I864" i="14"/>
  <c r="I863" i="14"/>
  <c r="I862" i="14"/>
  <c r="I861" i="14"/>
  <c r="I860" i="14"/>
  <c r="I859" i="14"/>
  <c r="I858" i="14"/>
  <c r="I857" i="14"/>
  <c r="I856" i="14"/>
  <c r="I855" i="14"/>
  <c r="I854" i="14"/>
  <c r="I853" i="14"/>
  <c r="I852" i="14"/>
  <c r="I851" i="14"/>
  <c r="I850" i="14"/>
  <c r="I849" i="14"/>
  <c r="I848" i="14"/>
  <c r="I847" i="14"/>
  <c r="I846" i="14"/>
  <c r="I845" i="14"/>
  <c r="I844" i="14"/>
  <c r="I843" i="14"/>
  <c r="I842" i="14"/>
  <c r="I841" i="14"/>
  <c r="I840" i="14"/>
  <c r="I839" i="14"/>
  <c r="I838" i="14"/>
  <c r="I837" i="14"/>
  <c r="I836" i="14"/>
  <c r="I835" i="14"/>
  <c r="I834" i="14"/>
  <c r="I833" i="14"/>
  <c r="I832" i="14"/>
  <c r="I831" i="14"/>
  <c r="I830" i="14"/>
  <c r="I829" i="14"/>
  <c r="I828" i="14"/>
  <c r="I827" i="14"/>
  <c r="I826" i="14"/>
  <c r="I825" i="14"/>
  <c r="I824" i="14"/>
  <c r="I823" i="14"/>
  <c r="I822" i="14"/>
  <c r="I821" i="14"/>
  <c r="I820" i="14"/>
  <c r="I819" i="14"/>
  <c r="I818" i="14"/>
  <c r="I817" i="14"/>
  <c r="I816" i="14"/>
  <c r="I815" i="14"/>
  <c r="I814" i="14"/>
  <c r="I813" i="14"/>
  <c r="I812" i="14"/>
  <c r="I811" i="14"/>
  <c r="I810" i="14"/>
  <c r="I809" i="14"/>
  <c r="I808" i="14"/>
  <c r="I807" i="14"/>
  <c r="I806" i="14"/>
  <c r="I805" i="14"/>
  <c r="I804" i="14"/>
  <c r="I803" i="14"/>
  <c r="I802" i="14"/>
  <c r="I801" i="14"/>
  <c r="I800" i="14"/>
  <c r="I799" i="14"/>
  <c r="I798" i="14"/>
  <c r="I797" i="14"/>
  <c r="I796" i="14"/>
  <c r="I795" i="14"/>
  <c r="I794" i="14"/>
  <c r="I793" i="14"/>
  <c r="I792" i="14"/>
  <c r="I791" i="14"/>
  <c r="I790" i="14"/>
  <c r="I789" i="14"/>
  <c r="I788" i="14"/>
  <c r="I787" i="14"/>
  <c r="I786" i="14"/>
  <c r="I785" i="14"/>
  <c r="I784" i="14"/>
  <c r="I783" i="14"/>
  <c r="I782" i="14"/>
  <c r="I781" i="14"/>
  <c r="I780" i="14"/>
  <c r="I779" i="14"/>
  <c r="I778" i="14"/>
  <c r="I777" i="14"/>
  <c r="I776" i="14"/>
  <c r="I775" i="14"/>
  <c r="I774" i="14"/>
  <c r="I773" i="14"/>
  <c r="I772" i="14"/>
  <c r="I771" i="14"/>
  <c r="I770" i="14"/>
  <c r="I769" i="14"/>
  <c r="I768" i="14"/>
  <c r="I767" i="14"/>
  <c r="I766" i="14"/>
  <c r="I765" i="14"/>
  <c r="I764" i="14"/>
  <c r="I763" i="14"/>
  <c r="I762" i="14"/>
  <c r="I761" i="14"/>
  <c r="I760" i="14"/>
  <c r="I759" i="14"/>
  <c r="I758" i="14"/>
  <c r="I757" i="14"/>
  <c r="I756" i="14"/>
  <c r="I755" i="14"/>
  <c r="I754" i="14"/>
  <c r="I753" i="14"/>
  <c r="I752" i="14"/>
  <c r="I751" i="14"/>
  <c r="I750" i="14"/>
  <c r="I749" i="14"/>
  <c r="I748" i="14"/>
  <c r="I747" i="14"/>
  <c r="I746" i="14"/>
  <c r="I745" i="14"/>
  <c r="I744" i="14"/>
  <c r="I743" i="14"/>
  <c r="I742" i="14"/>
  <c r="I741" i="14"/>
  <c r="I740" i="14"/>
  <c r="I739" i="14"/>
  <c r="I738" i="14"/>
  <c r="I737" i="14"/>
  <c r="I736" i="14"/>
  <c r="I735" i="14"/>
  <c r="I734" i="14"/>
  <c r="I733" i="14"/>
  <c r="I732" i="14"/>
  <c r="I731" i="14"/>
  <c r="I730" i="14"/>
  <c r="I729" i="14"/>
  <c r="I728" i="14"/>
  <c r="I727" i="14"/>
  <c r="I726" i="14"/>
  <c r="I725" i="14"/>
  <c r="I724" i="14"/>
  <c r="I723" i="14"/>
  <c r="I722" i="14"/>
  <c r="I721" i="14"/>
  <c r="I720" i="14"/>
  <c r="I719" i="14"/>
  <c r="I718" i="14"/>
  <c r="I717" i="14"/>
  <c r="I716" i="14"/>
  <c r="I715" i="14"/>
  <c r="I714" i="14"/>
  <c r="I713" i="14"/>
  <c r="I712" i="14"/>
  <c r="I711" i="14"/>
  <c r="I710" i="14"/>
  <c r="I709" i="14"/>
  <c r="I708" i="14"/>
  <c r="I707" i="14"/>
  <c r="I706" i="14"/>
  <c r="I705" i="14"/>
  <c r="I704" i="14"/>
  <c r="I703" i="14"/>
  <c r="I702" i="14"/>
  <c r="I701" i="14"/>
  <c r="I700" i="14"/>
  <c r="I699" i="14"/>
  <c r="I698" i="14"/>
  <c r="I697" i="14"/>
  <c r="I696" i="14"/>
  <c r="I695" i="14"/>
  <c r="I694" i="14"/>
  <c r="I693" i="14"/>
  <c r="I692" i="14"/>
  <c r="I691" i="14"/>
  <c r="I690" i="14"/>
  <c r="I689" i="14"/>
  <c r="I688" i="14"/>
  <c r="I687" i="14"/>
  <c r="I686" i="14"/>
  <c r="I685" i="14"/>
  <c r="I684" i="14"/>
  <c r="I683" i="14"/>
  <c r="I682" i="14"/>
  <c r="I681" i="14"/>
  <c r="I680" i="14"/>
  <c r="I679" i="14"/>
  <c r="I678" i="14"/>
  <c r="I677" i="14"/>
  <c r="I676" i="14"/>
  <c r="I675" i="14"/>
  <c r="I674" i="14"/>
  <c r="I673" i="14"/>
  <c r="I672" i="14"/>
  <c r="I671" i="14"/>
  <c r="I670" i="14"/>
  <c r="I669" i="14"/>
  <c r="I668" i="14"/>
  <c r="I667" i="14"/>
  <c r="I666" i="14"/>
  <c r="I665" i="14"/>
  <c r="I664" i="14"/>
  <c r="I663" i="14"/>
  <c r="I662" i="14"/>
  <c r="I661" i="14"/>
  <c r="I660" i="14"/>
  <c r="I659" i="14"/>
  <c r="I658" i="14"/>
  <c r="I657" i="14"/>
  <c r="I656" i="14"/>
  <c r="I655" i="14"/>
  <c r="I654" i="14"/>
  <c r="I653" i="14"/>
  <c r="I652" i="14"/>
  <c r="I651" i="14"/>
  <c r="I650" i="14"/>
  <c r="I649" i="14"/>
  <c r="I648" i="14"/>
  <c r="I647" i="14"/>
  <c r="I646" i="14"/>
  <c r="I645" i="14"/>
  <c r="I644" i="14"/>
  <c r="I643" i="14"/>
  <c r="I642" i="14"/>
  <c r="I641" i="14"/>
  <c r="I640" i="14"/>
  <c r="I639" i="14"/>
  <c r="I638" i="14"/>
  <c r="I637" i="14"/>
  <c r="I636" i="14"/>
  <c r="I635" i="14"/>
  <c r="I634" i="14"/>
  <c r="I633" i="14"/>
  <c r="I632" i="14"/>
  <c r="I631" i="14"/>
  <c r="I630" i="14"/>
  <c r="I629" i="14"/>
  <c r="I628" i="14"/>
  <c r="I627" i="14"/>
  <c r="I626" i="14"/>
  <c r="I625" i="14"/>
  <c r="I624" i="14"/>
  <c r="I623" i="14"/>
  <c r="I622" i="14"/>
  <c r="I621" i="14"/>
  <c r="I620" i="14"/>
  <c r="I619" i="14"/>
  <c r="I618" i="14"/>
  <c r="I617" i="14"/>
  <c r="I616" i="14"/>
  <c r="I615" i="14"/>
  <c r="I614" i="14"/>
  <c r="I613" i="14"/>
  <c r="I612" i="14"/>
  <c r="I611" i="14"/>
  <c r="I610" i="14"/>
  <c r="I609" i="14"/>
  <c r="I608" i="14"/>
  <c r="I607" i="14"/>
  <c r="I606" i="14"/>
  <c r="I605" i="14"/>
  <c r="I604" i="14"/>
  <c r="I603" i="14"/>
  <c r="I602" i="14"/>
  <c r="I601" i="14"/>
  <c r="I600" i="14"/>
  <c r="I599" i="14"/>
  <c r="I598" i="14"/>
  <c r="I597" i="14"/>
  <c r="I596" i="14"/>
  <c r="I595" i="14"/>
  <c r="I594" i="14"/>
  <c r="I593" i="14"/>
  <c r="I592" i="14"/>
  <c r="I591" i="14"/>
  <c r="I590" i="14"/>
  <c r="I589" i="14"/>
  <c r="I588" i="14"/>
  <c r="I587" i="14"/>
  <c r="I586" i="14"/>
  <c r="I585" i="14"/>
  <c r="I584" i="14"/>
  <c r="I583" i="14"/>
  <c r="I582" i="14"/>
  <c r="I581" i="14"/>
  <c r="I580" i="14"/>
  <c r="I579" i="14"/>
  <c r="I578" i="14"/>
  <c r="I577" i="14"/>
  <c r="I576" i="14"/>
  <c r="I575" i="14"/>
  <c r="I574" i="14"/>
  <c r="I573" i="14"/>
  <c r="I572" i="14"/>
  <c r="I571" i="14"/>
  <c r="I570" i="14"/>
  <c r="I569" i="14"/>
  <c r="I568" i="14"/>
  <c r="I567" i="14"/>
  <c r="I565" i="14"/>
  <c r="I564" i="14"/>
  <c r="I563" i="14"/>
  <c r="I562" i="14"/>
  <c r="I561" i="14"/>
  <c r="I560" i="14"/>
  <c r="I559" i="14"/>
  <c r="I558" i="14"/>
  <c r="I557" i="14"/>
  <c r="I556" i="14"/>
  <c r="I555" i="14"/>
  <c r="I554" i="14"/>
  <c r="I553" i="14"/>
  <c r="I552" i="14"/>
  <c r="I551" i="14"/>
  <c r="I550" i="14"/>
  <c r="I549" i="14"/>
  <c r="I548" i="14"/>
  <c r="I547" i="14"/>
  <c r="I546" i="14"/>
  <c r="I545" i="14"/>
  <c r="I544" i="14"/>
  <c r="I543" i="14"/>
  <c r="I542" i="14"/>
  <c r="I541" i="14"/>
  <c r="I540" i="14"/>
  <c r="I539" i="14"/>
  <c r="I538" i="14"/>
  <c r="I537" i="14"/>
  <c r="I536" i="14"/>
  <c r="I535" i="14"/>
  <c r="I534" i="14"/>
  <c r="I533" i="14"/>
  <c r="I532" i="14"/>
  <c r="I531" i="14"/>
  <c r="I530" i="14"/>
  <c r="I529" i="14"/>
  <c r="I528" i="14"/>
  <c r="I527" i="14"/>
  <c r="I526" i="14"/>
  <c r="I525" i="14"/>
  <c r="I524" i="14"/>
  <c r="I523" i="14"/>
  <c r="I522" i="14"/>
  <c r="I521" i="14"/>
  <c r="I520" i="14"/>
  <c r="I519" i="14"/>
  <c r="I518" i="14"/>
  <c r="I517" i="14"/>
  <c r="I516" i="14"/>
  <c r="I515" i="14"/>
  <c r="I514" i="14"/>
  <c r="I513" i="14"/>
  <c r="I512" i="14"/>
  <c r="I511" i="14"/>
  <c r="I510" i="14"/>
  <c r="I509" i="14"/>
  <c r="I508" i="14"/>
  <c r="I507" i="14"/>
  <c r="I506" i="14"/>
  <c r="I505" i="14"/>
  <c r="I504" i="14"/>
  <c r="I503" i="14"/>
  <c r="I502" i="14"/>
  <c r="I501" i="14"/>
  <c r="I500" i="14"/>
  <c r="I499" i="14"/>
  <c r="I498" i="14"/>
  <c r="I497" i="14"/>
  <c r="I496" i="14"/>
  <c r="I495" i="14"/>
  <c r="I494" i="14"/>
  <c r="I493" i="14"/>
  <c r="I492" i="14"/>
  <c r="I491" i="14"/>
  <c r="I490" i="14"/>
  <c r="I489" i="14"/>
  <c r="I488" i="14"/>
  <c r="I487" i="14"/>
  <c r="I486" i="14"/>
  <c r="I485" i="14"/>
  <c r="I484" i="14"/>
  <c r="I483" i="14"/>
  <c r="I482" i="14"/>
  <c r="I481" i="14"/>
  <c r="I480" i="14"/>
  <c r="I479" i="14"/>
  <c r="I478" i="14"/>
  <c r="I477" i="14"/>
  <c r="I476" i="14"/>
  <c r="I475" i="14"/>
  <c r="I474" i="14"/>
  <c r="I473" i="14"/>
  <c r="I472" i="14"/>
  <c r="I471" i="14"/>
  <c r="I470" i="14"/>
  <c r="I469" i="14"/>
  <c r="I468" i="14"/>
  <c r="I467" i="14"/>
  <c r="I466" i="14"/>
  <c r="I465" i="14"/>
  <c r="I464" i="14"/>
  <c r="I463" i="14"/>
  <c r="I462" i="14"/>
  <c r="I461" i="14"/>
  <c r="I459" i="14"/>
  <c r="I457" i="14"/>
  <c r="I456" i="14"/>
  <c r="I455" i="14"/>
  <c r="I454" i="14"/>
  <c r="I453" i="14"/>
  <c r="I452" i="14"/>
  <c r="I451" i="14"/>
  <c r="I450" i="14"/>
  <c r="I449" i="14"/>
  <c r="I448" i="14"/>
  <c r="I447" i="14"/>
  <c r="I446" i="14"/>
  <c r="I445" i="14"/>
  <c r="I444" i="14"/>
  <c r="I443" i="14"/>
  <c r="I442" i="14"/>
  <c r="I441" i="14"/>
  <c r="I440" i="14"/>
  <c r="I439" i="14"/>
  <c r="I438" i="14"/>
  <c r="I437" i="14"/>
  <c r="I436" i="14"/>
  <c r="I435" i="14"/>
  <c r="I434" i="14"/>
  <c r="I433" i="14"/>
  <c r="I432" i="14"/>
  <c r="I431" i="14"/>
  <c r="I430" i="14"/>
  <c r="I429" i="14"/>
  <c r="I428" i="14"/>
  <c r="I427" i="14"/>
  <c r="I426" i="14"/>
  <c r="I425" i="14"/>
  <c r="I424" i="14"/>
  <c r="I423" i="14"/>
  <c r="I422" i="14"/>
  <c r="I421" i="14"/>
  <c r="I420" i="14"/>
  <c r="I419" i="14"/>
  <c r="I418" i="14"/>
  <c r="I417" i="14"/>
  <c r="I416" i="14"/>
  <c r="I415" i="14"/>
  <c r="I414" i="14"/>
  <c r="I413" i="14"/>
  <c r="I412" i="14"/>
  <c r="I411" i="14"/>
  <c r="I410" i="14"/>
  <c r="I409" i="14"/>
  <c r="I407" i="14"/>
  <c r="I406" i="14"/>
  <c r="I405" i="14"/>
  <c r="I404" i="14"/>
  <c r="I403" i="14"/>
  <c r="I402" i="14"/>
  <c r="I401" i="14"/>
  <c r="I400" i="14"/>
  <c r="I399" i="14"/>
  <c r="I398" i="14"/>
  <c r="I397" i="14"/>
  <c r="I396" i="14"/>
  <c r="I395" i="14"/>
  <c r="I394" i="14"/>
  <c r="I393" i="14"/>
  <c r="I392" i="14"/>
  <c r="I391" i="14"/>
  <c r="I390" i="14"/>
  <c r="I389" i="14"/>
  <c r="I388" i="14"/>
  <c r="I387" i="14"/>
  <c r="I386" i="14"/>
  <c r="I385" i="14"/>
  <c r="I384" i="14"/>
  <c r="I383" i="14"/>
  <c r="I382" i="14"/>
  <c r="I381" i="14"/>
  <c r="I380" i="14"/>
  <c r="I379" i="14"/>
  <c r="I378" i="14"/>
  <c r="I377" i="14"/>
  <c r="I376" i="14"/>
  <c r="I375" i="14"/>
  <c r="I374" i="14"/>
  <c r="I373" i="14"/>
  <c r="I372" i="14"/>
  <c r="I371" i="14"/>
  <c r="I370" i="14"/>
  <c r="I369" i="14"/>
  <c r="I368" i="14"/>
  <c r="I367" i="14"/>
  <c r="I366" i="14"/>
  <c r="I365" i="14"/>
  <c r="I364" i="14"/>
  <c r="I363" i="14"/>
  <c r="I362" i="14"/>
  <c r="I361" i="14"/>
  <c r="I360" i="14"/>
  <c r="I359" i="14"/>
  <c r="I358" i="14"/>
  <c r="I357" i="14"/>
  <c r="I356" i="14"/>
  <c r="I355" i="14"/>
  <c r="I354" i="14"/>
  <c r="I353" i="14"/>
  <c r="I352" i="14"/>
  <c r="I351" i="14"/>
  <c r="I350" i="14"/>
  <c r="I349" i="14"/>
  <c r="I348" i="14"/>
  <c r="I347" i="14"/>
  <c r="I346" i="14"/>
  <c r="I345" i="14"/>
  <c r="I344" i="14"/>
  <c r="I343" i="14"/>
  <c r="I342" i="14"/>
  <c r="I341" i="14"/>
  <c r="I340" i="14"/>
  <c r="I339" i="14"/>
  <c r="I338" i="14"/>
  <c r="I337" i="14"/>
  <c r="I336" i="14"/>
  <c r="I335" i="14"/>
  <c r="I334" i="14"/>
  <c r="I333" i="14"/>
  <c r="I332" i="14"/>
  <c r="I331" i="14"/>
  <c r="I330" i="14"/>
  <c r="I329" i="14"/>
  <c r="I328" i="14"/>
  <c r="I327" i="14"/>
  <c r="I326" i="14"/>
  <c r="I325" i="14"/>
  <c r="I324" i="14"/>
  <c r="I323" i="14"/>
  <c r="I322" i="14"/>
  <c r="I321" i="14"/>
  <c r="I315" i="14"/>
  <c r="I314" i="14"/>
  <c r="I313" i="14"/>
  <c r="I312" i="14"/>
  <c r="I311" i="14"/>
  <c r="I310" i="14"/>
  <c r="I309" i="14"/>
  <c r="I308" i="14"/>
  <c r="I307" i="14"/>
  <c r="I306" i="14"/>
  <c r="I305" i="14"/>
  <c r="I304" i="14"/>
  <c r="I303" i="14"/>
  <c r="I302" i="14"/>
  <c r="I301" i="14"/>
  <c r="I300" i="14"/>
  <c r="I299" i="14"/>
  <c r="I298" i="14"/>
  <c r="I297" i="14"/>
  <c r="I296" i="14"/>
  <c r="I295" i="14"/>
  <c r="I294" i="14"/>
  <c r="I293" i="14"/>
  <c r="I292" i="14"/>
  <c r="I291" i="14"/>
  <c r="I290" i="14"/>
  <c r="I289" i="14"/>
  <c r="I288" i="14"/>
  <c r="I287" i="14"/>
  <c r="I286" i="14"/>
  <c r="I285" i="14"/>
  <c r="I284" i="14"/>
  <c r="I283" i="14"/>
  <c r="I282" i="14"/>
  <c r="I281" i="14"/>
  <c r="I280" i="14"/>
  <c r="I279" i="14"/>
  <c r="I278" i="14"/>
  <c r="I277" i="14"/>
  <c r="I276" i="14"/>
  <c r="I275" i="14"/>
  <c r="I274" i="14"/>
  <c r="I273" i="14"/>
  <c r="I272" i="14"/>
  <c r="I271" i="14"/>
  <c r="I270" i="14"/>
  <c r="I269" i="14"/>
  <c r="I268" i="14"/>
  <c r="I267" i="14"/>
  <c r="I266" i="14"/>
  <c r="I265" i="14"/>
  <c r="I264" i="14"/>
  <c r="I263" i="14"/>
  <c r="I262" i="14"/>
  <c r="I261" i="14"/>
  <c r="I260" i="14"/>
  <c r="I259" i="14"/>
  <c r="I258" i="14"/>
  <c r="I257" i="14"/>
  <c r="I256" i="14"/>
  <c r="I255" i="14"/>
  <c r="I254" i="14"/>
  <c r="I253" i="14"/>
  <c r="I252" i="14"/>
  <c r="I251" i="14"/>
  <c r="I250" i="14"/>
  <c r="I249" i="14"/>
  <c r="I248" i="14"/>
  <c r="I247" i="14"/>
  <c r="I246" i="14"/>
  <c r="I245" i="14"/>
  <c r="I244" i="14"/>
  <c r="I243" i="14"/>
  <c r="I242" i="14"/>
  <c r="I241" i="14"/>
  <c r="I240" i="14"/>
  <c r="I239" i="14"/>
  <c r="I238" i="14"/>
  <c r="I237" i="14"/>
  <c r="I236" i="14"/>
  <c r="I235" i="14"/>
  <c r="I234" i="14"/>
  <c r="I233" i="14"/>
  <c r="I232" i="14"/>
  <c r="I231" i="14"/>
  <c r="I230" i="14"/>
  <c r="I229" i="14"/>
  <c r="I228" i="14"/>
  <c r="I227" i="14"/>
  <c r="I226" i="14"/>
  <c r="I225" i="14"/>
  <c r="I224" i="14"/>
  <c r="I223" i="14"/>
  <c r="I222" i="14"/>
  <c r="I221" i="14"/>
  <c r="I220" i="14"/>
  <c r="I219" i="14"/>
  <c r="I218" i="14"/>
  <c r="I217" i="14"/>
  <c r="I216" i="14"/>
  <c r="I215" i="14"/>
  <c r="I214" i="14"/>
  <c r="I213" i="14"/>
  <c r="I212" i="14"/>
  <c r="I211" i="14"/>
  <c r="I210" i="14"/>
  <c r="I209" i="14"/>
  <c r="I208" i="14"/>
  <c r="I207" i="14"/>
  <c r="I206" i="14"/>
  <c r="I205" i="14"/>
  <c r="I204" i="14"/>
  <c r="I203" i="14"/>
  <c r="I202" i="14"/>
  <c r="I201" i="14"/>
  <c r="I200" i="14"/>
  <c r="I199" i="14"/>
  <c r="I198" i="14"/>
  <c r="I197" i="14"/>
  <c r="I196" i="14"/>
  <c r="I195" i="14"/>
  <c r="I194" i="14"/>
  <c r="I193" i="14"/>
  <c r="I192" i="14"/>
  <c r="I191" i="14"/>
  <c r="I190" i="14"/>
  <c r="I189" i="14"/>
  <c r="I188" i="14"/>
  <c r="I187" i="14"/>
  <c r="I186" i="14"/>
  <c r="I185" i="14"/>
  <c r="I184" i="14"/>
  <c r="I183" i="14"/>
  <c r="I182" i="14"/>
  <c r="I181" i="14"/>
  <c r="I180" i="14"/>
  <c r="I179" i="14"/>
  <c r="I178" i="14"/>
  <c r="I177" i="14"/>
  <c r="I176" i="14"/>
  <c r="I175" i="14"/>
  <c r="I174" i="14"/>
  <c r="I173" i="14"/>
  <c r="I172" i="14"/>
  <c r="I171" i="14"/>
  <c r="I170" i="14"/>
  <c r="I169" i="14"/>
  <c r="I168" i="14"/>
  <c r="I167" i="14"/>
  <c r="I166" i="14"/>
  <c r="I165" i="14"/>
  <c r="I164" i="14"/>
  <c r="I163" i="14"/>
  <c r="I162" i="14"/>
  <c r="I161" i="14"/>
  <c r="I160" i="14"/>
  <c r="I159" i="14"/>
  <c r="I158" i="14"/>
  <c r="I157" i="14"/>
  <c r="I156" i="14"/>
  <c r="I155" i="14"/>
  <c r="I154" i="14"/>
  <c r="I153" i="14"/>
  <c r="I152" i="14"/>
  <c r="I151" i="14"/>
  <c r="I150" i="14"/>
  <c r="I149" i="14"/>
  <c r="I148" i="14"/>
  <c r="I147" i="14"/>
  <c r="I146" i="14"/>
  <c r="I145" i="14"/>
  <c r="I144" i="14"/>
  <c r="I143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I130" i="14"/>
  <c r="I129" i="14"/>
  <c r="I128" i="14"/>
  <c r="I127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B15" i="14"/>
  <c r="B20" i="14" s="1"/>
  <c r="B25" i="14" s="1"/>
  <c r="B30" i="14" s="1"/>
  <c r="B35" i="14" s="1"/>
  <c r="B40" i="14" s="1"/>
  <c r="B45" i="14" s="1"/>
  <c r="B50" i="14" s="1"/>
  <c r="B55" i="14" s="1"/>
  <c r="B60" i="14" s="1"/>
  <c r="B65" i="14" s="1"/>
  <c r="B70" i="14" s="1"/>
  <c r="B75" i="14" s="1"/>
  <c r="B80" i="14" s="1"/>
  <c r="B85" i="14" s="1"/>
  <c r="B90" i="14" s="1"/>
  <c r="B95" i="14" s="1"/>
  <c r="B100" i="14" s="1"/>
  <c r="B105" i="14" s="1"/>
  <c r="B110" i="14" s="1"/>
  <c r="B115" i="14" s="1"/>
  <c r="B120" i="14" s="1"/>
  <c r="B125" i="14" s="1"/>
  <c r="B130" i="14" s="1"/>
  <c r="B135" i="14" s="1"/>
  <c r="B140" i="14" s="1"/>
  <c r="B145" i="14" s="1"/>
  <c r="B150" i="14" s="1"/>
  <c r="B155" i="14" s="1"/>
  <c r="B160" i="14" s="1"/>
  <c r="B165" i="14" s="1"/>
  <c r="B170" i="14" s="1"/>
  <c r="B175" i="14" s="1"/>
  <c r="B180" i="14" s="1"/>
  <c r="B185" i="14" s="1"/>
  <c r="B190" i="14" s="1"/>
  <c r="B195" i="14" s="1"/>
  <c r="B200" i="14" s="1"/>
  <c r="B205" i="14" s="1"/>
  <c r="B210" i="14" s="1"/>
  <c r="B215" i="14" s="1"/>
  <c r="B220" i="14" s="1"/>
  <c r="B225" i="14" s="1"/>
  <c r="B230" i="14" s="1"/>
  <c r="B235" i="14" s="1"/>
  <c r="B240" i="14" s="1"/>
  <c r="B245" i="14" s="1"/>
  <c r="B250" i="14" s="1"/>
  <c r="B255" i="14" s="1"/>
  <c r="B260" i="14" s="1"/>
  <c r="B265" i="14" s="1"/>
  <c r="B270" i="14" s="1"/>
  <c r="B275" i="14" s="1"/>
  <c r="B280" i="14" s="1"/>
  <c r="B285" i="14" s="1"/>
  <c r="B290" i="14" s="1"/>
  <c r="B295" i="14" s="1"/>
  <c r="B300" i="14" s="1"/>
  <c r="B305" i="14" s="1"/>
  <c r="B310" i="14" s="1"/>
  <c r="B315" i="14" s="1"/>
  <c r="B320" i="14" s="1"/>
  <c r="B325" i="14" s="1"/>
  <c r="B330" i="14" s="1"/>
  <c r="B335" i="14" s="1"/>
  <c r="B340" i="14" s="1"/>
  <c r="B345" i="14" s="1"/>
  <c r="B350" i="14" s="1"/>
  <c r="B355" i="14" s="1"/>
  <c r="B360" i="14" s="1"/>
  <c r="B365" i="14" s="1"/>
  <c r="B370" i="14" s="1"/>
  <c r="B375" i="14" s="1"/>
  <c r="B380" i="14" s="1"/>
  <c r="B385" i="14" s="1"/>
  <c r="B390" i="14" s="1"/>
  <c r="B395" i="14" s="1"/>
  <c r="B400" i="14" s="1"/>
  <c r="B405" i="14" s="1"/>
  <c r="B410" i="14" s="1"/>
  <c r="B415" i="14" s="1"/>
  <c r="B420" i="14" s="1"/>
  <c r="B425" i="14" s="1"/>
  <c r="B430" i="14" s="1"/>
  <c r="B435" i="14" s="1"/>
  <c r="B440" i="14" s="1"/>
  <c r="B445" i="14" s="1"/>
  <c r="B450" i="14" s="1"/>
  <c r="B455" i="14" s="1"/>
  <c r="B460" i="14" s="1"/>
  <c r="B465" i="14" s="1"/>
  <c r="B470" i="14" s="1"/>
  <c r="B475" i="14" s="1"/>
  <c r="B480" i="14" s="1"/>
  <c r="B485" i="14" s="1"/>
  <c r="B490" i="14" s="1"/>
  <c r="B495" i="14" s="1"/>
  <c r="B500" i="14" s="1"/>
  <c r="B505" i="14" s="1"/>
  <c r="B510" i="14" s="1"/>
  <c r="B515" i="14" s="1"/>
  <c r="B520" i="14" s="1"/>
  <c r="B525" i="14" s="1"/>
  <c r="B530" i="14" s="1"/>
  <c r="B535" i="14" s="1"/>
  <c r="B540" i="14" s="1"/>
  <c r="B545" i="14" s="1"/>
  <c r="B550" i="14" s="1"/>
  <c r="B555" i="14" s="1"/>
  <c r="B560" i="14" s="1"/>
  <c r="B565" i="14" s="1"/>
  <c r="B570" i="14" s="1"/>
  <c r="B575" i="14" s="1"/>
  <c r="B580" i="14" s="1"/>
  <c r="B585" i="14" s="1"/>
  <c r="B590" i="14" s="1"/>
  <c r="B595" i="14" s="1"/>
  <c r="B600" i="14" s="1"/>
  <c r="B605" i="14" s="1"/>
  <c r="B610" i="14" s="1"/>
  <c r="B615" i="14" s="1"/>
  <c r="B620" i="14" s="1"/>
  <c r="B625" i="14" s="1"/>
  <c r="B630" i="14" s="1"/>
  <c r="B635" i="14" s="1"/>
  <c r="B640" i="14" s="1"/>
  <c r="B645" i="14" s="1"/>
  <c r="B650" i="14" s="1"/>
  <c r="B655" i="14" s="1"/>
  <c r="B660" i="14" s="1"/>
  <c r="B665" i="14" s="1"/>
  <c r="B670" i="14" s="1"/>
  <c r="B675" i="14" s="1"/>
  <c r="B680" i="14" s="1"/>
  <c r="B685" i="14" s="1"/>
  <c r="B690" i="14" s="1"/>
  <c r="B695" i="14" s="1"/>
  <c r="B700" i="14" s="1"/>
  <c r="B705" i="14" s="1"/>
  <c r="B710" i="14" s="1"/>
  <c r="B715" i="14" s="1"/>
  <c r="B720" i="14" s="1"/>
  <c r="B725" i="14" s="1"/>
  <c r="B730" i="14" s="1"/>
  <c r="B735" i="14" s="1"/>
  <c r="B740" i="14" s="1"/>
  <c r="B745" i="14" s="1"/>
  <c r="B750" i="14" s="1"/>
  <c r="B755" i="14" s="1"/>
  <c r="B760" i="14" s="1"/>
  <c r="B765" i="14" s="1"/>
  <c r="B770" i="14" s="1"/>
  <c r="B775" i="14" s="1"/>
  <c r="B780" i="14" s="1"/>
  <c r="B785" i="14" s="1"/>
  <c r="B790" i="14" s="1"/>
  <c r="B795" i="14" s="1"/>
  <c r="B800" i="14" s="1"/>
  <c r="B805" i="14" s="1"/>
  <c r="B810" i="14" s="1"/>
  <c r="B815" i="14" s="1"/>
  <c r="B820" i="14" s="1"/>
  <c r="B825" i="14" s="1"/>
  <c r="B830" i="14" s="1"/>
  <c r="B835" i="14" s="1"/>
  <c r="B840" i="14" s="1"/>
  <c r="B845" i="14" s="1"/>
  <c r="B850" i="14" s="1"/>
  <c r="B855" i="14" s="1"/>
  <c r="B860" i="14" s="1"/>
  <c r="B865" i="14" s="1"/>
  <c r="B870" i="14" s="1"/>
  <c r="B875" i="14" s="1"/>
  <c r="B880" i="14" s="1"/>
  <c r="B885" i="14" s="1"/>
  <c r="B890" i="14" s="1"/>
  <c r="B895" i="14" s="1"/>
  <c r="B900" i="14" s="1"/>
  <c r="B905" i="14" s="1"/>
  <c r="B910" i="14" s="1"/>
  <c r="B915" i="14" s="1"/>
  <c r="B920" i="14" s="1"/>
  <c r="B925" i="14" s="1"/>
  <c r="B930" i="14" s="1"/>
  <c r="B935" i="14" s="1"/>
  <c r="B940" i="14" s="1"/>
  <c r="B945" i="14" s="1"/>
  <c r="B950" i="14" s="1"/>
  <c r="B955" i="14" s="1"/>
  <c r="B960" i="14" s="1"/>
  <c r="B965" i="14" s="1"/>
  <c r="B970" i="14" s="1"/>
  <c r="B975" i="14" s="1"/>
  <c r="B980" i="14" s="1"/>
  <c r="B985" i="14" s="1"/>
  <c r="B990" i="14" s="1"/>
  <c r="B995" i="14" s="1"/>
  <c r="B1000" i="14" s="1"/>
  <c r="B1005" i="14" s="1"/>
  <c r="B1010" i="14" s="1"/>
  <c r="B1015" i="14" s="1"/>
  <c r="B1020" i="14" s="1"/>
  <c r="B1025" i="14" s="1"/>
  <c r="B1030" i="14" s="1"/>
  <c r="B1035" i="14" s="1"/>
  <c r="B1040" i="14" s="1"/>
  <c r="B1045" i="14" s="1"/>
  <c r="B1050" i="14" s="1"/>
  <c r="B1055" i="14" s="1"/>
  <c r="B1060" i="14" s="1"/>
  <c r="B1065" i="14" s="1"/>
  <c r="B1070" i="14" s="1"/>
  <c r="B1075" i="14" s="1"/>
  <c r="B1080" i="14" s="1"/>
  <c r="B1085" i="14" s="1"/>
  <c r="B1090" i="14" s="1"/>
  <c r="B1095" i="14" s="1"/>
  <c r="B1100" i="14" s="1"/>
  <c r="B1105" i="14" s="1"/>
  <c r="I14" i="14"/>
  <c r="B14" i="14"/>
  <c r="B19" i="14" s="1"/>
  <c r="B24" i="14" s="1"/>
  <c r="B29" i="14" s="1"/>
  <c r="B34" i="14" s="1"/>
  <c r="B39" i="14" s="1"/>
  <c r="B44" i="14" s="1"/>
  <c r="B49" i="14" s="1"/>
  <c r="B54" i="14" s="1"/>
  <c r="B59" i="14" s="1"/>
  <c r="B64" i="14" s="1"/>
  <c r="B69" i="14" s="1"/>
  <c r="B74" i="14" s="1"/>
  <c r="B79" i="14" s="1"/>
  <c r="B84" i="14" s="1"/>
  <c r="B89" i="14" s="1"/>
  <c r="B94" i="14" s="1"/>
  <c r="B99" i="14" s="1"/>
  <c r="B104" i="14" s="1"/>
  <c r="B109" i="14" s="1"/>
  <c r="B114" i="14" s="1"/>
  <c r="B119" i="14" s="1"/>
  <c r="B124" i="14" s="1"/>
  <c r="B129" i="14" s="1"/>
  <c r="B134" i="14" s="1"/>
  <c r="B139" i="14" s="1"/>
  <c r="B144" i="14" s="1"/>
  <c r="B149" i="14" s="1"/>
  <c r="B154" i="14" s="1"/>
  <c r="B159" i="14" s="1"/>
  <c r="B164" i="14" s="1"/>
  <c r="B169" i="14" s="1"/>
  <c r="B174" i="14" s="1"/>
  <c r="B179" i="14" s="1"/>
  <c r="B184" i="14" s="1"/>
  <c r="B189" i="14" s="1"/>
  <c r="B194" i="14" s="1"/>
  <c r="B199" i="14" s="1"/>
  <c r="B204" i="14" s="1"/>
  <c r="B209" i="14" s="1"/>
  <c r="B214" i="14" s="1"/>
  <c r="B219" i="14" s="1"/>
  <c r="B224" i="14" s="1"/>
  <c r="B229" i="14" s="1"/>
  <c r="B234" i="14" s="1"/>
  <c r="B239" i="14" s="1"/>
  <c r="B244" i="14" s="1"/>
  <c r="B249" i="14" s="1"/>
  <c r="B254" i="14" s="1"/>
  <c r="B259" i="14" s="1"/>
  <c r="B264" i="14" s="1"/>
  <c r="B269" i="14" s="1"/>
  <c r="B274" i="14" s="1"/>
  <c r="B279" i="14" s="1"/>
  <c r="B284" i="14" s="1"/>
  <c r="B289" i="14" s="1"/>
  <c r="B294" i="14" s="1"/>
  <c r="B299" i="14" s="1"/>
  <c r="B304" i="14" s="1"/>
  <c r="B309" i="14" s="1"/>
  <c r="B314" i="14" s="1"/>
  <c r="B319" i="14" s="1"/>
  <c r="B324" i="14" s="1"/>
  <c r="B329" i="14" s="1"/>
  <c r="B334" i="14" s="1"/>
  <c r="B339" i="14" s="1"/>
  <c r="B344" i="14" s="1"/>
  <c r="B349" i="14" s="1"/>
  <c r="B354" i="14" s="1"/>
  <c r="B359" i="14" s="1"/>
  <c r="B364" i="14" s="1"/>
  <c r="B369" i="14" s="1"/>
  <c r="B374" i="14" s="1"/>
  <c r="B379" i="14" s="1"/>
  <c r="B384" i="14" s="1"/>
  <c r="B389" i="14" s="1"/>
  <c r="B394" i="14" s="1"/>
  <c r="B399" i="14" s="1"/>
  <c r="B404" i="14" s="1"/>
  <c r="B409" i="14" s="1"/>
  <c r="B414" i="14" s="1"/>
  <c r="B419" i="14" s="1"/>
  <c r="B424" i="14" s="1"/>
  <c r="B429" i="14" s="1"/>
  <c r="B434" i="14" s="1"/>
  <c r="B439" i="14" s="1"/>
  <c r="B444" i="14" s="1"/>
  <c r="B449" i="14" s="1"/>
  <c r="B454" i="14" s="1"/>
  <c r="B459" i="14" s="1"/>
  <c r="B464" i="14" s="1"/>
  <c r="B469" i="14" s="1"/>
  <c r="B474" i="14" s="1"/>
  <c r="B479" i="14" s="1"/>
  <c r="B484" i="14" s="1"/>
  <c r="B489" i="14" s="1"/>
  <c r="B494" i="14" s="1"/>
  <c r="B499" i="14" s="1"/>
  <c r="B504" i="14" s="1"/>
  <c r="B509" i="14" s="1"/>
  <c r="B514" i="14" s="1"/>
  <c r="B519" i="14" s="1"/>
  <c r="B524" i="14" s="1"/>
  <c r="B529" i="14" s="1"/>
  <c r="B534" i="14" s="1"/>
  <c r="B539" i="14" s="1"/>
  <c r="B544" i="14" s="1"/>
  <c r="B549" i="14" s="1"/>
  <c r="B554" i="14" s="1"/>
  <c r="B559" i="14" s="1"/>
  <c r="B564" i="14" s="1"/>
  <c r="B569" i="14" s="1"/>
  <c r="B574" i="14" s="1"/>
  <c r="B579" i="14" s="1"/>
  <c r="B584" i="14" s="1"/>
  <c r="B589" i="14" s="1"/>
  <c r="B594" i="14" s="1"/>
  <c r="B599" i="14" s="1"/>
  <c r="B604" i="14" s="1"/>
  <c r="B609" i="14" s="1"/>
  <c r="B614" i="14" s="1"/>
  <c r="B619" i="14" s="1"/>
  <c r="B624" i="14" s="1"/>
  <c r="B629" i="14" s="1"/>
  <c r="B634" i="14" s="1"/>
  <c r="B639" i="14" s="1"/>
  <c r="B644" i="14" s="1"/>
  <c r="B649" i="14" s="1"/>
  <c r="B654" i="14" s="1"/>
  <c r="B659" i="14" s="1"/>
  <c r="B664" i="14" s="1"/>
  <c r="B669" i="14" s="1"/>
  <c r="B674" i="14" s="1"/>
  <c r="B679" i="14" s="1"/>
  <c r="B684" i="14" s="1"/>
  <c r="B689" i="14" s="1"/>
  <c r="B694" i="14" s="1"/>
  <c r="B699" i="14" s="1"/>
  <c r="B704" i="14" s="1"/>
  <c r="B709" i="14" s="1"/>
  <c r="B714" i="14" s="1"/>
  <c r="B719" i="14" s="1"/>
  <c r="B724" i="14" s="1"/>
  <c r="B729" i="14" s="1"/>
  <c r="B734" i="14" s="1"/>
  <c r="B739" i="14" s="1"/>
  <c r="B744" i="14" s="1"/>
  <c r="B749" i="14" s="1"/>
  <c r="B754" i="14" s="1"/>
  <c r="B759" i="14" s="1"/>
  <c r="B764" i="14" s="1"/>
  <c r="B769" i="14" s="1"/>
  <c r="B774" i="14" s="1"/>
  <c r="B779" i="14" s="1"/>
  <c r="B784" i="14" s="1"/>
  <c r="B789" i="14" s="1"/>
  <c r="B794" i="14" s="1"/>
  <c r="B799" i="14" s="1"/>
  <c r="B804" i="14" s="1"/>
  <c r="B809" i="14" s="1"/>
  <c r="B814" i="14" s="1"/>
  <c r="B819" i="14" s="1"/>
  <c r="B824" i="14" s="1"/>
  <c r="B829" i="14" s="1"/>
  <c r="B834" i="14" s="1"/>
  <c r="B839" i="14" s="1"/>
  <c r="B844" i="14" s="1"/>
  <c r="B849" i="14" s="1"/>
  <c r="B854" i="14" s="1"/>
  <c r="B859" i="14" s="1"/>
  <c r="B864" i="14" s="1"/>
  <c r="B869" i="14" s="1"/>
  <c r="B874" i="14" s="1"/>
  <c r="B879" i="14" s="1"/>
  <c r="B884" i="14" s="1"/>
  <c r="B889" i="14" s="1"/>
  <c r="B894" i="14" s="1"/>
  <c r="B899" i="14" s="1"/>
  <c r="B904" i="14" s="1"/>
  <c r="B909" i="14" s="1"/>
  <c r="B914" i="14" s="1"/>
  <c r="B919" i="14" s="1"/>
  <c r="B924" i="14" s="1"/>
  <c r="B929" i="14" s="1"/>
  <c r="B934" i="14" s="1"/>
  <c r="B939" i="14" s="1"/>
  <c r="B944" i="14" s="1"/>
  <c r="B949" i="14" s="1"/>
  <c r="B954" i="14" s="1"/>
  <c r="B959" i="14" s="1"/>
  <c r="B964" i="14" s="1"/>
  <c r="B969" i="14" s="1"/>
  <c r="B974" i="14" s="1"/>
  <c r="B979" i="14" s="1"/>
  <c r="B984" i="14" s="1"/>
  <c r="B989" i="14" s="1"/>
  <c r="B994" i="14" s="1"/>
  <c r="B999" i="14" s="1"/>
  <c r="B1004" i="14" s="1"/>
  <c r="B1009" i="14" s="1"/>
  <c r="B1014" i="14" s="1"/>
  <c r="B1019" i="14" s="1"/>
  <c r="B1024" i="14" s="1"/>
  <c r="B1029" i="14" s="1"/>
  <c r="B1034" i="14" s="1"/>
  <c r="B1039" i="14" s="1"/>
  <c r="B1044" i="14" s="1"/>
  <c r="B1049" i="14" s="1"/>
  <c r="B1054" i="14" s="1"/>
  <c r="B1059" i="14" s="1"/>
  <c r="B1064" i="14" s="1"/>
  <c r="B1069" i="14" s="1"/>
  <c r="B1074" i="14" s="1"/>
  <c r="B1079" i="14" s="1"/>
  <c r="B1084" i="14" s="1"/>
  <c r="B1089" i="14" s="1"/>
  <c r="B1094" i="14" s="1"/>
  <c r="B1099" i="14" s="1"/>
  <c r="B1104" i="14" s="1"/>
  <c r="I13" i="14"/>
  <c r="B13" i="14"/>
  <c r="B18" i="14" s="1"/>
  <c r="B23" i="14" s="1"/>
  <c r="B28" i="14" s="1"/>
  <c r="B33" i="14" s="1"/>
  <c r="B38" i="14" s="1"/>
  <c r="B43" i="14" s="1"/>
  <c r="B48" i="14" s="1"/>
  <c r="B53" i="14" s="1"/>
  <c r="B58" i="14" s="1"/>
  <c r="B63" i="14" s="1"/>
  <c r="B68" i="14" s="1"/>
  <c r="B73" i="14" s="1"/>
  <c r="B78" i="14" s="1"/>
  <c r="B83" i="14" s="1"/>
  <c r="B88" i="14" s="1"/>
  <c r="B93" i="14" s="1"/>
  <c r="B98" i="14" s="1"/>
  <c r="B103" i="14" s="1"/>
  <c r="B108" i="14" s="1"/>
  <c r="B113" i="14" s="1"/>
  <c r="B118" i="14" s="1"/>
  <c r="B123" i="14" s="1"/>
  <c r="B128" i="14" s="1"/>
  <c r="B133" i="14" s="1"/>
  <c r="B138" i="14" s="1"/>
  <c r="B143" i="14" s="1"/>
  <c r="B148" i="14" s="1"/>
  <c r="B153" i="14" s="1"/>
  <c r="B158" i="14" s="1"/>
  <c r="B163" i="14" s="1"/>
  <c r="B168" i="14" s="1"/>
  <c r="B173" i="14" s="1"/>
  <c r="B178" i="14" s="1"/>
  <c r="B183" i="14" s="1"/>
  <c r="B188" i="14" s="1"/>
  <c r="B193" i="14" s="1"/>
  <c r="B198" i="14" s="1"/>
  <c r="B203" i="14" s="1"/>
  <c r="B208" i="14" s="1"/>
  <c r="B213" i="14" s="1"/>
  <c r="B218" i="14" s="1"/>
  <c r="B223" i="14" s="1"/>
  <c r="B228" i="14" s="1"/>
  <c r="B233" i="14" s="1"/>
  <c r="B238" i="14" s="1"/>
  <c r="B243" i="14" s="1"/>
  <c r="B248" i="14" s="1"/>
  <c r="B253" i="14" s="1"/>
  <c r="B258" i="14" s="1"/>
  <c r="B263" i="14" s="1"/>
  <c r="B268" i="14" s="1"/>
  <c r="B273" i="14" s="1"/>
  <c r="B278" i="14" s="1"/>
  <c r="B283" i="14" s="1"/>
  <c r="B288" i="14" s="1"/>
  <c r="B293" i="14" s="1"/>
  <c r="B298" i="14" s="1"/>
  <c r="B303" i="14" s="1"/>
  <c r="B308" i="14" s="1"/>
  <c r="B313" i="14" s="1"/>
  <c r="B318" i="14" s="1"/>
  <c r="B323" i="14" s="1"/>
  <c r="B328" i="14" s="1"/>
  <c r="B333" i="14" s="1"/>
  <c r="B338" i="14" s="1"/>
  <c r="B343" i="14" s="1"/>
  <c r="B348" i="14" s="1"/>
  <c r="B353" i="14" s="1"/>
  <c r="B358" i="14" s="1"/>
  <c r="B363" i="14" s="1"/>
  <c r="B368" i="14" s="1"/>
  <c r="B373" i="14" s="1"/>
  <c r="B378" i="14" s="1"/>
  <c r="B383" i="14" s="1"/>
  <c r="B388" i="14" s="1"/>
  <c r="B393" i="14" s="1"/>
  <c r="B398" i="14" s="1"/>
  <c r="B403" i="14" s="1"/>
  <c r="B408" i="14" s="1"/>
  <c r="B413" i="14" s="1"/>
  <c r="B418" i="14" s="1"/>
  <c r="B423" i="14" s="1"/>
  <c r="B428" i="14" s="1"/>
  <c r="B433" i="14" s="1"/>
  <c r="B438" i="14" s="1"/>
  <c r="B443" i="14" s="1"/>
  <c r="B448" i="14" s="1"/>
  <c r="B453" i="14" s="1"/>
  <c r="B458" i="14" s="1"/>
  <c r="B463" i="14" s="1"/>
  <c r="B468" i="14" s="1"/>
  <c r="B473" i="14" s="1"/>
  <c r="B478" i="14" s="1"/>
  <c r="B483" i="14" s="1"/>
  <c r="B488" i="14" s="1"/>
  <c r="B493" i="14" s="1"/>
  <c r="B498" i="14" s="1"/>
  <c r="B503" i="14" s="1"/>
  <c r="B508" i="14" s="1"/>
  <c r="B513" i="14" s="1"/>
  <c r="B518" i="14" s="1"/>
  <c r="B523" i="14" s="1"/>
  <c r="B528" i="14" s="1"/>
  <c r="B533" i="14" s="1"/>
  <c r="B538" i="14" s="1"/>
  <c r="B543" i="14" s="1"/>
  <c r="B548" i="14" s="1"/>
  <c r="B553" i="14" s="1"/>
  <c r="B558" i="14" s="1"/>
  <c r="B563" i="14" s="1"/>
  <c r="B568" i="14" s="1"/>
  <c r="B573" i="14" s="1"/>
  <c r="B578" i="14" s="1"/>
  <c r="B583" i="14" s="1"/>
  <c r="B588" i="14" s="1"/>
  <c r="B593" i="14" s="1"/>
  <c r="B598" i="14" s="1"/>
  <c r="B603" i="14" s="1"/>
  <c r="B608" i="14" s="1"/>
  <c r="B613" i="14" s="1"/>
  <c r="B618" i="14" s="1"/>
  <c r="B623" i="14" s="1"/>
  <c r="B628" i="14" s="1"/>
  <c r="B633" i="14" s="1"/>
  <c r="B638" i="14" s="1"/>
  <c r="B643" i="14" s="1"/>
  <c r="B648" i="14" s="1"/>
  <c r="B653" i="14" s="1"/>
  <c r="B658" i="14" s="1"/>
  <c r="B663" i="14" s="1"/>
  <c r="B668" i="14" s="1"/>
  <c r="B673" i="14" s="1"/>
  <c r="B678" i="14" s="1"/>
  <c r="B683" i="14" s="1"/>
  <c r="B688" i="14" s="1"/>
  <c r="B693" i="14" s="1"/>
  <c r="B698" i="14" s="1"/>
  <c r="B703" i="14" s="1"/>
  <c r="B708" i="14" s="1"/>
  <c r="B713" i="14" s="1"/>
  <c r="B718" i="14" s="1"/>
  <c r="B723" i="14" s="1"/>
  <c r="B728" i="14" s="1"/>
  <c r="B733" i="14" s="1"/>
  <c r="B738" i="14" s="1"/>
  <c r="B743" i="14" s="1"/>
  <c r="B748" i="14" s="1"/>
  <c r="B753" i="14" s="1"/>
  <c r="B758" i="14" s="1"/>
  <c r="B763" i="14" s="1"/>
  <c r="B768" i="14" s="1"/>
  <c r="B773" i="14" s="1"/>
  <c r="B778" i="14" s="1"/>
  <c r="B783" i="14" s="1"/>
  <c r="B788" i="14" s="1"/>
  <c r="B793" i="14" s="1"/>
  <c r="B798" i="14" s="1"/>
  <c r="B803" i="14" s="1"/>
  <c r="B808" i="14" s="1"/>
  <c r="B813" i="14" s="1"/>
  <c r="B818" i="14" s="1"/>
  <c r="B823" i="14" s="1"/>
  <c r="B828" i="14" s="1"/>
  <c r="B833" i="14" s="1"/>
  <c r="B838" i="14" s="1"/>
  <c r="B843" i="14" s="1"/>
  <c r="B848" i="14" s="1"/>
  <c r="B853" i="14" s="1"/>
  <c r="B858" i="14" s="1"/>
  <c r="B863" i="14" s="1"/>
  <c r="B868" i="14" s="1"/>
  <c r="B873" i="14" s="1"/>
  <c r="B878" i="14" s="1"/>
  <c r="B883" i="14" s="1"/>
  <c r="B888" i="14" s="1"/>
  <c r="B893" i="14" s="1"/>
  <c r="B898" i="14" s="1"/>
  <c r="B903" i="14" s="1"/>
  <c r="B908" i="14" s="1"/>
  <c r="B913" i="14" s="1"/>
  <c r="B918" i="14" s="1"/>
  <c r="B923" i="14" s="1"/>
  <c r="B928" i="14" s="1"/>
  <c r="B933" i="14" s="1"/>
  <c r="B938" i="14" s="1"/>
  <c r="B943" i="14" s="1"/>
  <c r="B948" i="14" s="1"/>
  <c r="B953" i="14" s="1"/>
  <c r="B958" i="14" s="1"/>
  <c r="B963" i="14" s="1"/>
  <c r="B968" i="14" s="1"/>
  <c r="B973" i="14" s="1"/>
  <c r="B978" i="14" s="1"/>
  <c r="B983" i="14" s="1"/>
  <c r="B988" i="14" s="1"/>
  <c r="B993" i="14" s="1"/>
  <c r="B998" i="14" s="1"/>
  <c r="B1003" i="14" s="1"/>
  <c r="B1008" i="14" s="1"/>
  <c r="B1013" i="14" s="1"/>
  <c r="B1018" i="14" s="1"/>
  <c r="B1023" i="14" s="1"/>
  <c r="B1028" i="14" s="1"/>
  <c r="B1033" i="14" s="1"/>
  <c r="B1038" i="14" s="1"/>
  <c r="B1043" i="14" s="1"/>
  <c r="B1048" i="14" s="1"/>
  <c r="B1053" i="14" s="1"/>
  <c r="B1058" i="14" s="1"/>
  <c r="B1063" i="14" s="1"/>
  <c r="B1068" i="14" s="1"/>
  <c r="B1073" i="14" s="1"/>
  <c r="B1078" i="14" s="1"/>
  <c r="B1083" i="14" s="1"/>
  <c r="B1088" i="14" s="1"/>
  <c r="B1093" i="14" s="1"/>
  <c r="B1098" i="14" s="1"/>
  <c r="B1103" i="14" s="1"/>
  <c r="I12" i="14"/>
  <c r="B12" i="14"/>
  <c r="B17" i="14" s="1"/>
  <c r="B22" i="14" s="1"/>
  <c r="B27" i="14" s="1"/>
  <c r="B32" i="14" s="1"/>
  <c r="B37" i="14" s="1"/>
  <c r="B42" i="14" s="1"/>
  <c r="B47" i="14" s="1"/>
  <c r="B52" i="14" s="1"/>
  <c r="B57" i="14" s="1"/>
  <c r="B62" i="14" s="1"/>
  <c r="B67" i="14" s="1"/>
  <c r="B72" i="14" s="1"/>
  <c r="B77" i="14" s="1"/>
  <c r="B82" i="14" s="1"/>
  <c r="B87" i="14" s="1"/>
  <c r="B92" i="14" s="1"/>
  <c r="B97" i="14" s="1"/>
  <c r="B102" i="14" s="1"/>
  <c r="B107" i="14" s="1"/>
  <c r="B112" i="14" s="1"/>
  <c r="B117" i="14" s="1"/>
  <c r="B122" i="14" s="1"/>
  <c r="B127" i="14" s="1"/>
  <c r="B132" i="14" s="1"/>
  <c r="B137" i="14" s="1"/>
  <c r="B142" i="14" s="1"/>
  <c r="B147" i="14" s="1"/>
  <c r="B152" i="14" s="1"/>
  <c r="B157" i="14" s="1"/>
  <c r="B162" i="14" s="1"/>
  <c r="B167" i="14" s="1"/>
  <c r="B172" i="14" s="1"/>
  <c r="B177" i="14" s="1"/>
  <c r="B182" i="14" s="1"/>
  <c r="B187" i="14" s="1"/>
  <c r="B192" i="14" s="1"/>
  <c r="B197" i="14" s="1"/>
  <c r="B202" i="14" s="1"/>
  <c r="B207" i="14" s="1"/>
  <c r="B212" i="14" s="1"/>
  <c r="B217" i="14" s="1"/>
  <c r="B222" i="14" s="1"/>
  <c r="B227" i="14" s="1"/>
  <c r="B232" i="14" s="1"/>
  <c r="B237" i="14" s="1"/>
  <c r="B242" i="14" s="1"/>
  <c r="B247" i="14" s="1"/>
  <c r="B252" i="14" s="1"/>
  <c r="B257" i="14" s="1"/>
  <c r="B262" i="14" s="1"/>
  <c r="B267" i="14" s="1"/>
  <c r="B272" i="14" s="1"/>
  <c r="B277" i="14" s="1"/>
  <c r="B282" i="14" s="1"/>
  <c r="B287" i="14" s="1"/>
  <c r="B292" i="14" s="1"/>
  <c r="B297" i="14" s="1"/>
  <c r="B302" i="14" s="1"/>
  <c r="B307" i="14" s="1"/>
  <c r="B312" i="14" s="1"/>
  <c r="B317" i="14" s="1"/>
  <c r="B322" i="14" s="1"/>
  <c r="B327" i="14" s="1"/>
  <c r="B332" i="14" s="1"/>
  <c r="B337" i="14" s="1"/>
  <c r="B342" i="14" s="1"/>
  <c r="B347" i="14" s="1"/>
  <c r="B352" i="14" s="1"/>
  <c r="B357" i="14" s="1"/>
  <c r="B362" i="14" s="1"/>
  <c r="B367" i="14" s="1"/>
  <c r="B372" i="14" s="1"/>
  <c r="B377" i="14" s="1"/>
  <c r="B382" i="14" s="1"/>
  <c r="B387" i="14" s="1"/>
  <c r="B392" i="14" s="1"/>
  <c r="B397" i="14" s="1"/>
  <c r="B402" i="14" s="1"/>
  <c r="B407" i="14" s="1"/>
  <c r="B412" i="14" s="1"/>
  <c r="B417" i="14" s="1"/>
  <c r="B422" i="14" s="1"/>
  <c r="B427" i="14" s="1"/>
  <c r="B432" i="14" s="1"/>
  <c r="B437" i="14" s="1"/>
  <c r="B442" i="14" s="1"/>
  <c r="B447" i="14" s="1"/>
  <c r="B452" i="14" s="1"/>
  <c r="B457" i="14" s="1"/>
  <c r="B462" i="14" s="1"/>
  <c r="B467" i="14" s="1"/>
  <c r="B472" i="14" s="1"/>
  <c r="B477" i="14" s="1"/>
  <c r="B482" i="14" s="1"/>
  <c r="B487" i="14" s="1"/>
  <c r="B492" i="14" s="1"/>
  <c r="B497" i="14" s="1"/>
  <c r="B502" i="14" s="1"/>
  <c r="B507" i="14" s="1"/>
  <c r="B512" i="14" s="1"/>
  <c r="B517" i="14" s="1"/>
  <c r="B522" i="14" s="1"/>
  <c r="B527" i="14" s="1"/>
  <c r="B532" i="14" s="1"/>
  <c r="B537" i="14" s="1"/>
  <c r="B542" i="14" s="1"/>
  <c r="B547" i="14" s="1"/>
  <c r="B552" i="14" s="1"/>
  <c r="B557" i="14" s="1"/>
  <c r="B562" i="14" s="1"/>
  <c r="B567" i="14" s="1"/>
  <c r="B572" i="14" s="1"/>
  <c r="B577" i="14" s="1"/>
  <c r="B582" i="14" s="1"/>
  <c r="B587" i="14" s="1"/>
  <c r="B592" i="14" s="1"/>
  <c r="B597" i="14" s="1"/>
  <c r="B602" i="14" s="1"/>
  <c r="B607" i="14" s="1"/>
  <c r="B612" i="14" s="1"/>
  <c r="B617" i="14" s="1"/>
  <c r="B622" i="14" s="1"/>
  <c r="B627" i="14" s="1"/>
  <c r="B632" i="14" s="1"/>
  <c r="B637" i="14" s="1"/>
  <c r="B642" i="14" s="1"/>
  <c r="B647" i="14" s="1"/>
  <c r="B652" i="14" s="1"/>
  <c r="B657" i="14" s="1"/>
  <c r="B662" i="14" s="1"/>
  <c r="B667" i="14" s="1"/>
  <c r="B672" i="14" s="1"/>
  <c r="B677" i="14" s="1"/>
  <c r="B682" i="14" s="1"/>
  <c r="B687" i="14" s="1"/>
  <c r="B692" i="14" s="1"/>
  <c r="B697" i="14" s="1"/>
  <c r="B702" i="14" s="1"/>
  <c r="B707" i="14" s="1"/>
  <c r="B712" i="14" s="1"/>
  <c r="B717" i="14" s="1"/>
  <c r="B722" i="14" s="1"/>
  <c r="B727" i="14" s="1"/>
  <c r="B732" i="14" s="1"/>
  <c r="B737" i="14" s="1"/>
  <c r="B742" i="14" s="1"/>
  <c r="B747" i="14" s="1"/>
  <c r="B752" i="14" s="1"/>
  <c r="B757" i="14" s="1"/>
  <c r="B762" i="14" s="1"/>
  <c r="B767" i="14" s="1"/>
  <c r="B772" i="14" s="1"/>
  <c r="B777" i="14" s="1"/>
  <c r="B782" i="14" s="1"/>
  <c r="B787" i="14" s="1"/>
  <c r="B792" i="14" s="1"/>
  <c r="B797" i="14" s="1"/>
  <c r="B802" i="14" s="1"/>
  <c r="B807" i="14" s="1"/>
  <c r="B812" i="14" s="1"/>
  <c r="B817" i="14" s="1"/>
  <c r="B822" i="14" s="1"/>
  <c r="B827" i="14" s="1"/>
  <c r="B832" i="14" s="1"/>
  <c r="B837" i="14" s="1"/>
  <c r="B842" i="14" s="1"/>
  <c r="B847" i="14" s="1"/>
  <c r="B852" i="14" s="1"/>
  <c r="B857" i="14" s="1"/>
  <c r="B862" i="14" s="1"/>
  <c r="B867" i="14" s="1"/>
  <c r="B872" i="14" s="1"/>
  <c r="B877" i="14" s="1"/>
  <c r="B882" i="14" s="1"/>
  <c r="B887" i="14" s="1"/>
  <c r="B892" i="14" s="1"/>
  <c r="B897" i="14" s="1"/>
  <c r="B902" i="14" s="1"/>
  <c r="B907" i="14" s="1"/>
  <c r="B912" i="14" s="1"/>
  <c r="B917" i="14" s="1"/>
  <c r="B922" i="14" s="1"/>
  <c r="B927" i="14" s="1"/>
  <c r="B932" i="14" s="1"/>
  <c r="B937" i="14" s="1"/>
  <c r="B942" i="14" s="1"/>
  <c r="B947" i="14" s="1"/>
  <c r="B952" i="14" s="1"/>
  <c r="B957" i="14" s="1"/>
  <c r="B962" i="14" s="1"/>
  <c r="B967" i="14" s="1"/>
  <c r="B972" i="14" s="1"/>
  <c r="B977" i="14" s="1"/>
  <c r="B982" i="14" s="1"/>
  <c r="B987" i="14" s="1"/>
  <c r="B992" i="14" s="1"/>
  <c r="B997" i="14" s="1"/>
  <c r="B1002" i="14" s="1"/>
  <c r="B1007" i="14" s="1"/>
  <c r="B1012" i="14" s="1"/>
  <c r="B1017" i="14" s="1"/>
  <c r="B1022" i="14" s="1"/>
  <c r="B1027" i="14" s="1"/>
  <c r="B1032" i="14" s="1"/>
  <c r="B1037" i="14" s="1"/>
  <c r="B1042" i="14" s="1"/>
  <c r="B1047" i="14" s="1"/>
  <c r="B1052" i="14" s="1"/>
  <c r="B1057" i="14" s="1"/>
  <c r="B1062" i="14" s="1"/>
  <c r="B1067" i="14" s="1"/>
  <c r="B1072" i="14" s="1"/>
  <c r="B1077" i="14" s="1"/>
  <c r="B1082" i="14" s="1"/>
  <c r="B1087" i="14" s="1"/>
  <c r="B1092" i="14" s="1"/>
  <c r="B1097" i="14" s="1"/>
  <c r="B1102" i="14" s="1"/>
  <c r="I11" i="14"/>
  <c r="D11" i="14"/>
  <c r="D16" i="14" s="1"/>
  <c r="D21" i="14" s="1"/>
  <c r="D26" i="14" s="1"/>
  <c r="D31" i="14" s="1"/>
  <c r="D36" i="14" s="1"/>
  <c r="D41" i="14" s="1"/>
  <c r="D46" i="14" s="1"/>
  <c r="D51" i="14" s="1"/>
  <c r="D56" i="14" s="1"/>
  <c r="D61" i="14" s="1"/>
  <c r="D66" i="14" s="1"/>
  <c r="D71" i="14" s="1"/>
  <c r="D76" i="14" s="1"/>
  <c r="D81" i="14" s="1"/>
  <c r="D86" i="14" s="1"/>
  <c r="D91" i="14" s="1"/>
  <c r="D96" i="14" s="1"/>
  <c r="D101" i="14" s="1"/>
  <c r="D106" i="14" s="1"/>
  <c r="D111" i="14" s="1"/>
  <c r="D116" i="14" s="1"/>
  <c r="D121" i="14" s="1"/>
  <c r="D126" i="14" s="1"/>
  <c r="D131" i="14" s="1"/>
  <c r="D136" i="14" s="1"/>
  <c r="D141" i="14" s="1"/>
  <c r="D146" i="14" s="1"/>
  <c r="D151" i="14" s="1"/>
  <c r="D156" i="14" s="1"/>
  <c r="D161" i="14" s="1"/>
  <c r="D166" i="14" s="1"/>
  <c r="D171" i="14" s="1"/>
  <c r="D176" i="14" s="1"/>
  <c r="D181" i="14" s="1"/>
  <c r="D186" i="14" s="1"/>
  <c r="D191" i="14" s="1"/>
  <c r="D196" i="14" s="1"/>
  <c r="D201" i="14" s="1"/>
  <c r="D206" i="14" s="1"/>
  <c r="D211" i="14" s="1"/>
  <c r="D216" i="14" s="1"/>
  <c r="D221" i="14" s="1"/>
  <c r="D226" i="14" s="1"/>
  <c r="D231" i="14" s="1"/>
  <c r="D236" i="14" s="1"/>
  <c r="D241" i="14" s="1"/>
  <c r="D246" i="14" s="1"/>
  <c r="D251" i="14" s="1"/>
  <c r="D256" i="14" s="1"/>
  <c r="D261" i="14" s="1"/>
  <c r="D266" i="14" s="1"/>
  <c r="D271" i="14" s="1"/>
  <c r="D276" i="14" s="1"/>
  <c r="D281" i="14" s="1"/>
  <c r="D286" i="14" s="1"/>
  <c r="D291" i="14" s="1"/>
  <c r="D296" i="14" s="1"/>
  <c r="D301" i="14" s="1"/>
  <c r="D306" i="14" s="1"/>
  <c r="D311" i="14" s="1"/>
  <c r="D316" i="14" s="1"/>
  <c r="D321" i="14" s="1"/>
  <c r="D326" i="14" s="1"/>
  <c r="D331" i="14" s="1"/>
  <c r="D336" i="14" s="1"/>
  <c r="D341" i="14" s="1"/>
  <c r="D346" i="14" s="1"/>
  <c r="D351" i="14" s="1"/>
  <c r="D356" i="14" s="1"/>
  <c r="D361" i="14" s="1"/>
  <c r="D366" i="14" s="1"/>
  <c r="D371" i="14" s="1"/>
  <c r="D376" i="14" s="1"/>
  <c r="D381" i="14" s="1"/>
  <c r="D386" i="14" s="1"/>
  <c r="D391" i="14" s="1"/>
  <c r="D396" i="14" s="1"/>
  <c r="D401" i="14" s="1"/>
  <c r="D406" i="14" s="1"/>
  <c r="D411" i="14" s="1"/>
  <c r="D416" i="14" s="1"/>
  <c r="D421" i="14" s="1"/>
  <c r="D426" i="14" s="1"/>
  <c r="D431" i="14" s="1"/>
  <c r="D436" i="14" s="1"/>
  <c r="D441" i="14" s="1"/>
  <c r="D446" i="14" s="1"/>
  <c r="D451" i="14" s="1"/>
  <c r="D456" i="14" s="1"/>
  <c r="D461" i="14" s="1"/>
  <c r="D466" i="14" s="1"/>
  <c r="D471" i="14" s="1"/>
  <c r="D476" i="14" s="1"/>
  <c r="D481" i="14" s="1"/>
  <c r="D486" i="14" s="1"/>
  <c r="D491" i="14" s="1"/>
  <c r="D496" i="14" s="1"/>
  <c r="D501" i="14" s="1"/>
  <c r="D506" i="14" s="1"/>
  <c r="D511" i="14" s="1"/>
  <c r="D516" i="14" s="1"/>
  <c r="D521" i="14" s="1"/>
  <c r="D526" i="14" s="1"/>
  <c r="D531" i="14" s="1"/>
  <c r="D536" i="14" s="1"/>
  <c r="D541" i="14" s="1"/>
  <c r="D546" i="14" s="1"/>
  <c r="D551" i="14" s="1"/>
  <c r="D556" i="14" s="1"/>
  <c r="D561" i="14" s="1"/>
  <c r="D566" i="14" s="1"/>
  <c r="D571" i="14" s="1"/>
  <c r="D576" i="14" s="1"/>
  <c r="D581" i="14" s="1"/>
  <c r="D586" i="14" s="1"/>
  <c r="D591" i="14" s="1"/>
  <c r="D596" i="14" s="1"/>
  <c r="D601" i="14" s="1"/>
  <c r="D606" i="14" s="1"/>
  <c r="D611" i="14" s="1"/>
  <c r="D616" i="14" s="1"/>
  <c r="D621" i="14" s="1"/>
  <c r="D626" i="14" s="1"/>
  <c r="D631" i="14" s="1"/>
  <c r="D636" i="14" s="1"/>
  <c r="D641" i="14" s="1"/>
  <c r="D646" i="14" s="1"/>
  <c r="D651" i="14" s="1"/>
  <c r="D656" i="14" s="1"/>
  <c r="D661" i="14" s="1"/>
  <c r="D666" i="14" s="1"/>
  <c r="D671" i="14" s="1"/>
  <c r="D676" i="14" s="1"/>
  <c r="D681" i="14" s="1"/>
  <c r="D686" i="14" s="1"/>
  <c r="D691" i="14" s="1"/>
  <c r="D696" i="14" s="1"/>
  <c r="D701" i="14" s="1"/>
  <c r="D706" i="14" s="1"/>
  <c r="D711" i="14" s="1"/>
  <c r="D716" i="14" s="1"/>
  <c r="D721" i="14" s="1"/>
  <c r="D726" i="14" s="1"/>
  <c r="D731" i="14" s="1"/>
  <c r="D736" i="14" s="1"/>
  <c r="D741" i="14" s="1"/>
  <c r="D746" i="14" s="1"/>
  <c r="D751" i="14" s="1"/>
  <c r="D756" i="14" s="1"/>
  <c r="D761" i="14" s="1"/>
  <c r="D766" i="14" s="1"/>
  <c r="D771" i="14" s="1"/>
  <c r="D776" i="14" s="1"/>
  <c r="D781" i="14" s="1"/>
  <c r="D786" i="14" s="1"/>
  <c r="D791" i="14" s="1"/>
  <c r="D796" i="14" s="1"/>
  <c r="D801" i="14" s="1"/>
  <c r="D806" i="14" s="1"/>
  <c r="D811" i="14" s="1"/>
  <c r="D816" i="14" s="1"/>
  <c r="D821" i="14" s="1"/>
  <c r="D826" i="14" s="1"/>
  <c r="D831" i="14" s="1"/>
  <c r="D836" i="14" s="1"/>
  <c r="D841" i="14" s="1"/>
  <c r="D846" i="14" s="1"/>
  <c r="D851" i="14" s="1"/>
  <c r="D856" i="14" s="1"/>
  <c r="D861" i="14" s="1"/>
  <c r="D866" i="14" s="1"/>
  <c r="D871" i="14" s="1"/>
  <c r="D876" i="14" s="1"/>
  <c r="D881" i="14" s="1"/>
  <c r="D886" i="14" s="1"/>
  <c r="D891" i="14" s="1"/>
  <c r="D896" i="14" s="1"/>
  <c r="D901" i="14" s="1"/>
  <c r="D906" i="14" s="1"/>
  <c r="D911" i="14" s="1"/>
  <c r="D916" i="14" s="1"/>
  <c r="D921" i="14" s="1"/>
  <c r="D926" i="14" s="1"/>
  <c r="D931" i="14" s="1"/>
  <c r="D936" i="14" s="1"/>
  <c r="D941" i="14" s="1"/>
  <c r="D946" i="14" s="1"/>
  <c r="D951" i="14" s="1"/>
  <c r="D956" i="14" s="1"/>
  <c r="D961" i="14" s="1"/>
  <c r="D966" i="14" s="1"/>
  <c r="D971" i="14" s="1"/>
  <c r="D976" i="14" s="1"/>
  <c r="D981" i="14" s="1"/>
  <c r="D986" i="14" s="1"/>
  <c r="D991" i="14" s="1"/>
  <c r="D996" i="14" s="1"/>
  <c r="D1001" i="14" s="1"/>
  <c r="D1006" i="14" s="1"/>
  <c r="D1011" i="14" s="1"/>
  <c r="D1016" i="14" s="1"/>
  <c r="D1021" i="14" s="1"/>
  <c r="D1026" i="14" s="1"/>
  <c r="D1031" i="14" s="1"/>
  <c r="D1036" i="14" s="1"/>
  <c r="D1041" i="14" s="1"/>
  <c r="D1046" i="14" s="1"/>
  <c r="D1051" i="14" s="1"/>
  <c r="D1056" i="14" s="1"/>
  <c r="D1061" i="14" s="1"/>
  <c r="D1066" i="14" s="1"/>
  <c r="D1071" i="14" s="1"/>
  <c r="D1076" i="14" s="1"/>
  <c r="D1081" i="14" s="1"/>
  <c r="D1086" i="14" s="1"/>
  <c r="D1091" i="14" s="1"/>
  <c r="D1096" i="14" s="1"/>
  <c r="D1101" i="14" s="1"/>
  <c r="B11" i="14"/>
  <c r="B16" i="14" s="1"/>
  <c r="B21" i="14" s="1"/>
  <c r="B26" i="14" s="1"/>
  <c r="B31" i="14" s="1"/>
  <c r="B36" i="14" s="1"/>
  <c r="B41" i="14" s="1"/>
  <c r="B46" i="14" s="1"/>
  <c r="B51" i="14" s="1"/>
  <c r="B56" i="14" s="1"/>
  <c r="B61" i="14" s="1"/>
  <c r="B66" i="14" s="1"/>
  <c r="B71" i="14" s="1"/>
  <c r="B76" i="14" s="1"/>
  <c r="B81" i="14" s="1"/>
  <c r="B86" i="14" s="1"/>
  <c r="B91" i="14" s="1"/>
  <c r="B96" i="14" s="1"/>
  <c r="B101" i="14" s="1"/>
  <c r="B106" i="14" s="1"/>
  <c r="B111" i="14" s="1"/>
  <c r="B116" i="14" s="1"/>
  <c r="B121" i="14" s="1"/>
  <c r="B126" i="14" s="1"/>
  <c r="B131" i="14" s="1"/>
  <c r="B136" i="14" s="1"/>
  <c r="B141" i="14" s="1"/>
  <c r="B146" i="14" s="1"/>
  <c r="B151" i="14" s="1"/>
  <c r="B156" i="14" s="1"/>
  <c r="B161" i="14" s="1"/>
  <c r="B166" i="14" s="1"/>
  <c r="B171" i="14" s="1"/>
  <c r="B176" i="14" s="1"/>
  <c r="B181" i="14" s="1"/>
  <c r="B186" i="14" s="1"/>
  <c r="B191" i="14" s="1"/>
  <c r="B196" i="14" s="1"/>
  <c r="B201" i="14" s="1"/>
  <c r="B206" i="14" s="1"/>
  <c r="B211" i="14" s="1"/>
  <c r="B216" i="14" s="1"/>
  <c r="B221" i="14" s="1"/>
  <c r="B226" i="14" s="1"/>
  <c r="B231" i="14" s="1"/>
  <c r="B236" i="14" s="1"/>
  <c r="B241" i="14" s="1"/>
  <c r="B246" i="14" s="1"/>
  <c r="B251" i="14" s="1"/>
  <c r="B256" i="14" s="1"/>
  <c r="B261" i="14" s="1"/>
  <c r="B266" i="14" s="1"/>
  <c r="B271" i="14" s="1"/>
  <c r="B276" i="14" s="1"/>
  <c r="B281" i="14" s="1"/>
  <c r="B286" i="14" s="1"/>
  <c r="B291" i="14" s="1"/>
  <c r="B296" i="14" s="1"/>
  <c r="B301" i="14" s="1"/>
  <c r="B306" i="14" s="1"/>
  <c r="B311" i="14" s="1"/>
  <c r="B316" i="14" s="1"/>
  <c r="B321" i="14" s="1"/>
  <c r="B326" i="14" s="1"/>
  <c r="B331" i="14" s="1"/>
  <c r="B336" i="14" s="1"/>
  <c r="B341" i="14" s="1"/>
  <c r="B346" i="14" s="1"/>
  <c r="B351" i="14" s="1"/>
  <c r="B356" i="14" s="1"/>
  <c r="B361" i="14" s="1"/>
  <c r="B366" i="14" s="1"/>
  <c r="B371" i="14" s="1"/>
  <c r="B376" i="14" s="1"/>
  <c r="B381" i="14" s="1"/>
  <c r="B386" i="14" s="1"/>
  <c r="B391" i="14" s="1"/>
  <c r="B396" i="14" s="1"/>
  <c r="B401" i="14" s="1"/>
  <c r="B406" i="14" s="1"/>
  <c r="B411" i="14" s="1"/>
  <c r="B416" i="14" s="1"/>
  <c r="B421" i="14" s="1"/>
  <c r="B426" i="14" s="1"/>
  <c r="B431" i="14" s="1"/>
  <c r="B436" i="14" s="1"/>
  <c r="B441" i="14" s="1"/>
  <c r="B446" i="14" s="1"/>
  <c r="B451" i="14" s="1"/>
  <c r="B456" i="14" s="1"/>
  <c r="B461" i="14" s="1"/>
  <c r="B466" i="14" s="1"/>
  <c r="B471" i="14" s="1"/>
  <c r="B476" i="14" s="1"/>
  <c r="B481" i="14" s="1"/>
  <c r="B486" i="14" s="1"/>
  <c r="B491" i="14" s="1"/>
  <c r="B496" i="14" s="1"/>
  <c r="B501" i="14" s="1"/>
  <c r="B506" i="14" s="1"/>
  <c r="B511" i="14" s="1"/>
  <c r="B516" i="14" s="1"/>
  <c r="B521" i="14" s="1"/>
  <c r="B526" i="14" s="1"/>
  <c r="B531" i="14" s="1"/>
  <c r="B536" i="14" s="1"/>
  <c r="B541" i="14" s="1"/>
  <c r="B546" i="14" s="1"/>
  <c r="B551" i="14" s="1"/>
  <c r="B556" i="14" s="1"/>
  <c r="B561" i="14" s="1"/>
  <c r="B566" i="14" s="1"/>
  <c r="B571" i="14" s="1"/>
  <c r="B576" i="14" s="1"/>
  <c r="B581" i="14" s="1"/>
  <c r="B586" i="14" s="1"/>
  <c r="B591" i="14" s="1"/>
  <c r="B596" i="14" s="1"/>
  <c r="B601" i="14" s="1"/>
  <c r="B606" i="14" s="1"/>
  <c r="B611" i="14" s="1"/>
  <c r="B616" i="14" s="1"/>
  <c r="B621" i="14" s="1"/>
  <c r="B626" i="14" s="1"/>
  <c r="B631" i="14" s="1"/>
  <c r="B636" i="14" s="1"/>
  <c r="B641" i="14" s="1"/>
  <c r="B646" i="14" s="1"/>
  <c r="B651" i="14" s="1"/>
  <c r="B656" i="14" s="1"/>
  <c r="B661" i="14" s="1"/>
  <c r="B666" i="14" s="1"/>
  <c r="B671" i="14" s="1"/>
  <c r="B676" i="14" s="1"/>
  <c r="B681" i="14" s="1"/>
  <c r="B686" i="14" s="1"/>
  <c r="B691" i="14" s="1"/>
  <c r="B696" i="14" s="1"/>
  <c r="B701" i="14" s="1"/>
  <c r="B706" i="14" s="1"/>
  <c r="B711" i="14" s="1"/>
  <c r="B716" i="14" s="1"/>
  <c r="B721" i="14" s="1"/>
  <c r="B726" i="14" s="1"/>
  <c r="B731" i="14" s="1"/>
  <c r="B736" i="14" s="1"/>
  <c r="B741" i="14" s="1"/>
  <c r="B746" i="14" s="1"/>
  <c r="B751" i="14" s="1"/>
  <c r="B756" i="14" s="1"/>
  <c r="B761" i="14" s="1"/>
  <c r="B766" i="14" s="1"/>
  <c r="B771" i="14" s="1"/>
  <c r="B776" i="14" s="1"/>
  <c r="B781" i="14" s="1"/>
  <c r="B786" i="14" s="1"/>
  <c r="B791" i="14" s="1"/>
  <c r="B796" i="14" s="1"/>
  <c r="B801" i="14" s="1"/>
  <c r="B806" i="14" s="1"/>
  <c r="B811" i="14" s="1"/>
  <c r="B816" i="14" s="1"/>
  <c r="B821" i="14" s="1"/>
  <c r="B826" i="14" s="1"/>
  <c r="B831" i="14" s="1"/>
  <c r="B836" i="14" s="1"/>
  <c r="B841" i="14" s="1"/>
  <c r="B846" i="14" s="1"/>
  <c r="B851" i="14" s="1"/>
  <c r="B856" i="14" s="1"/>
  <c r="B861" i="14" s="1"/>
  <c r="B866" i="14" s="1"/>
  <c r="B871" i="14" s="1"/>
  <c r="B876" i="14" s="1"/>
  <c r="B881" i="14" s="1"/>
  <c r="B886" i="14" s="1"/>
  <c r="B891" i="14" s="1"/>
  <c r="B896" i="14" s="1"/>
  <c r="B901" i="14" s="1"/>
  <c r="B906" i="14" s="1"/>
  <c r="B911" i="14" s="1"/>
  <c r="B916" i="14" s="1"/>
  <c r="B921" i="14" s="1"/>
  <c r="B926" i="14" s="1"/>
  <c r="B931" i="14" s="1"/>
  <c r="B936" i="14" s="1"/>
  <c r="B941" i="14" s="1"/>
  <c r="B946" i="14" s="1"/>
  <c r="B951" i="14" s="1"/>
  <c r="B956" i="14" s="1"/>
  <c r="B961" i="14" s="1"/>
  <c r="B966" i="14" s="1"/>
  <c r="B971" i="14" s="1"/>
  <c r="B976" i="14" s="1"/>
  <c r="B981" i="14" s="1"/>
  <c r="B986" i="14" s="1"/>
  <c r="B991" i="14" s="1"/>
  <c r="B996" i="14" s="1"/>
  <c r="B1001" i="14" s="1"/>
  <c r="B1006" i="14" s="1"/>
  <c r="B1011" i="14" s="1"/>
  <c r="B1016" i="14" s="1"/>
  <c r="B1021" i="14" s="1"/>
  <c r="B1026" i="14" s="1"/>
  <c r="B1031" i="14" s="1"/>
  <c r="B1036" i="14" s="1"/>
  <c r="B1041" i="14" s="1"/>
  <c r="B1046" i="14" s="1"/>
  <c r="B1051" i="14" s="1"/>
  <c r="B1056" i="14" s="1"/>
  <c r="B1061" i="14" s="1"/>
  <c r="B1066" i="14" s="1"/>
  <c r="B1071" i="14" s="1"/>
  <c r="B1076" i="14" s="1"/>
  <c r="B1081" i="14" s="1"/>
  <c r="B1086" i="14" s="1"/>
  <c r="B1091" i="14" s="1"/>
  <c r="B1096" i="14" s="1"/>
  <c r="B1101" i="14" s="1"/>
  <c r="B2" i="14"/>
  <c r="H145" i="13"/>
  <c r="G145" i="13"/>
  <c r="F145" i="13"/>
  <c r="A145" i="13"/>
  <c r="H144" i="13"/>
  <c r="G144" i="13"/>
  <c r="F144" i="13"/>
  <c r="A144" i="13"/>
  <c r="H143" i="13"/>
  <c r="G143" i="13"/>
  <c r="F143" i="13"/>
  <c r="A143" i="13"/>
  <c r="H142" i="13"/>
  <c r="G142" i="13"/>
  <c r="F142" i="13"/>
  <c r="A142" i="13"/>
  <c r="H141" i="13"/>
  <c r="G141" i="13"/>
  <c r="F141" i="13"/>
  <c r="A141" i="13"/>
  <c r="H140" i="13"/>
  <c r="G140" i="13"/>
  <c r="F140" i="13"/>
  <c r="A140" i="13"/>
  <c r="H139" i="13"/>
  <c r="G139" i="13"/>
  <c r="F139" i="13"/>
  <c r="A139" i="13"/>
  <c r="H138" i="13"/>
  <c r="G138" i="13"/>
  <c r="F138" i="13"/>
  <c r="A138" i="13"/>
  <c r="H137" i="13"/>
  <c r="G137" i="13"/>
  <c r="F137" i="13"/>
  <c r="A137" i="13"/>
  <c r="H136" i="13"/>
  <c r="G136" i="13"/>
  <c r="F136" i="13"/>
  <c r="A136" i="13"/>
  <c r="H135" i="13"/>
  <c r="G135" i="13"/>
  <c r="F135" i="13"/>
  <c r="A135" i="13"/>
  <c r="H134" i="13"/>
  <c r="G134" i="13"/>
  <c r="F134" i="13"/>
  <c r="A134" i="13"/>
  <c r="H133" i="13"/>
  <c r="G133" i="13"/>
  <c r="F133" i="13"/>
  <c r="A133" i="13"/>
  <c r="H132" i="13"/>
  <c r="G132" i="13"/>
  <c r="F132" i="13"/>
  <c r="A132" i="13"/>
  <c r="H131" i="13"/>
  <c r="G131" i="13"/>
  <c r="F131" i="13"/>
  <c r="A131" i="13"/>
  <c r="H130" i="13"/>
  <c r="G130" i="13"/>
  <c r="F130" i="13"/>
  <c r="A130" i="13"/>
  <c r="H129" i="13"/>
  <c r="G129" i="13"/>
  <c r="F129" i="13"/>
  <c r="A129" i="13"/>
  <c r="H128" i="13"/>
  <c r="G128" i="13"/>
  <c r="F128" i="13"/>
  <c r="A128" i="13"/>
  <c r="H127" i="13"/>
  <c r="G127" i="13"/>
  <c r="F127" i="13"/>
  <c r="A127" i="13"/>
  <c r="H126" i="13"/>
  <c r="G126" i="13"/>
  <c r="F126" i="13"/>
  <c r="A126" i="13"/>
  <c r="H125" i="13"/>
  <c r="G125" i="13"/>
  <c r="F125" i="13"/>
  <c r="A125" i="13"/>
  <c r="H124" i="13"/>
  <c r="G124" i="13"/>
  <c r="F124" i="13"/>
  <c r="A124" i="13"/>
  <c r="H123" i="13"/>
  <c r="G123" i="13"/>
  <c r="F123" i="13"/>
  <c r="A123" i="13"/>
  <c r="H122" i="13"/>
  <c r="G122" i="13"/>
  <c r="F122" i="13"/>
  <c r="A122" i="13"/>
  <c r="H121" i="13"/>
  <c r="G121" i="13"/>
  <c r="F121" i="13"/>
  <c r="A121" i="13"/>
  <c r="H120" i="13"/>
  <c r="G120" i="13"/>
  <c r="F120" i="13"/>
  <c r="A120" i="13"/>
  <c r="H119" i="13"/>
  <c r="G119" i="13"/>
  <c r="F119" i="13"/>
  <c r="A119" i="13"/>
  <c r="H118" i="13"/>
  <c r="G118" i="13"/>
  <c r="F118" i="13"/>
  <c r="A118" i="13"/>
  <c r="H117" i="13"/>
  <c r="G117" i="13"/>
  <c r="F117" i="13"/>
  <c r="A117" i="13"/>
  <c r="H116" i="13"/>
  <c r="G116" i="13"/>
  <c r="F116" i="13"/>
  <c r="A116" i="13"/>
  <c r="H115" i="13"/>
  <c r="G115" i="13"/>
  <c r="F115" i="13"/>
  <c r="A115" i="13"/>
  <c r="H114" i="13"/>
  <c r="G114" i="13"/>
  <c r="F114" i="13"/>
  <c r="A114" i="13"/>
  <c r="H113" i="13"/>
  <c r="G113" i="13"/>
  <c r="F113" i="13"/>
  <c r="A113" i="13"/>
  <c r="H112" i="13"/>
  <c r="G112" i="13"/>
  <c r="F112" i="13"/>
  <c r="A112" i="13"/>
  <c r="H111" i="13"/>
  <c r="G111" i="13"/>
  <c r="F111" i="13"/>
  <c r="A111" i="13"/>
  <c r="H110" i="13"/>
  <c r="G110" i="13"/>
  <c r="F110" i="13"/>
  <c r="A110" i="13"/>
  <c r="H109" i="13"/>
  <c r="G109" i="13"/>
  <c r="F109" i="13"/>
  <c r="A109" i="13"/>
  <c r="H108" i="13"/>
  <c r="G108" i="13"/>
  <c r="F108" i="13"/>
  <c r="A108" i="13"/>
  <c r="H107" i="13"/>
  <c r="G107" i="13"/>
  <c r="F107" i="13"/>
  <c r="A107" i="13"/>
  <c r="H106" i="13"/>
  <c r="G106" i="13"/>
  <c r="F106" i="13"/>
  <c r="A106" i="13"/>
  <c r="H105" i="13"/>
  <c r="G105" i="13"/>
  <c r="F105" i="13"/>
  <c r="A105" i="13"/>
  <c r="H104" i="13"/>
  <c r="G104" i="13"/>
  <c r="F104" i="13"/>
  <c r="A104" i="13"/>
  <c r="H103" i="13"/>
  <c r="G103" i="13"/>
  <c r="F103" i="13"/>
  <c r="A103" i="13"/>
  <c r="H102" i="13"/>
  <c r="G102" i="13"/>
  <c r="F102" i="13"/>
  <c r="A102" i="13"/>
  <c r="H101" i="13"/>
  <c r="G101" i="13"/>
  <c r="F101" i="13"/>
  <c r="A101" i="13"/>
  <c r="H100" i="13"/>
  <c r="G100" i="13"/>
  <c r="F100" i="13"/>
  <c r="A100" i="13"/>
  <c r="H99" i="13"/>
  <c r="G99" i="13"/>
  <c r="F99" i="13"/>
  <c r="A99" i="13"/>
  <c r="H98" i="13"/>
  <c r="G98" i="13"/>
  <c r="F98" i="13"/>
  <c r="A98" i="13"/>
  <c r="H97" i="13"/>
  <c r="G97" i="13"/>
  <c r="F97" i="13"/>
  <c r="A97" i="13"/>
  <c r="H96" i="13"/>
  <c r="G96" i="13"/>
  <c r="F96" i="13"/>
  <c r="A96" i="13"/>
  <c r="H95" i="13"/>
  <c r="G95" i="13"/>
  <c r="F95" i="13"/>
  <c r="A95" i="13"/>
  <c r="H94" i="13"/>
  <c r="G94" i="13"/>
  <c r="F94" i="13"/>
  <c r="A94" i="13"/>
  <c r="H93" i="13"/>
  <c r="G93" i="13"/>
  <c r="F93" i="13"/>
  <c r="A93" i="13"/>
  <c r="H92" i="13"/>
  <c r="G92" i="13"/>
  <c r="F92" i="13"/>
  <c r="A92" i="13"/>
  <c r="H91" i="13"/>
  <c r="G91" i="13"/>
  <c r="F91" i="13"/>
  <c r="A91" i="13"/>
  <c r="H90" i="13"/>
  <c r="G90" i="13"/>
  <c r="F90" i="13"/>
  <c r="A90" i="13"/>
  <c r="H89" i="13"/>
  <c r="G89" i="13"/>
  <c r="F89" i="13"/>
  <c r="A89" i="13"/>
  <c r="H88" i="13"/>
  <c r="G88" i="13"/>
  <c r="F88" i="13"/>
  <c r="A88" i="13"/>
  <c r="H87" i="13"/>
  <c r="G87" i="13"/>
  <c r="F87" i="13"/>
  <c r="A87" i="13"/>
  <c r="H86" i="13"/>
  <c r="G86" i="13"/>
  <c r="F86" i="13"/>
  <c r="A86" i="13"/>
  <c r="H85" i="13"/>
  <c r="G85" i="13"/>
  <c r="F85" i="13"/>
  <c r="A85" i="13"/>
  <c r="H84" i="13"/>
  <c r="G84" i="13"/>
  <c r="F84" i="13"/>
  <c r="A84" i="13"/>
  <c r="H83" i="13"/>
  <c r="G83" i="13"/>
  <c r="F83" i="13"/>
  <c r="A83" i="13"/>
  <c r="H82" i="13"/>
  <c r="G82" i="13"/>
  <c r="F82" i="13"/>
  <c r="A82" i="13"/>
  <c r="H81" i="13"/>
  <c r="G81" i="13"/>
  <c r="F81" i="13"/>
  <c r="A81" i="13"/>
  <c r="H80" i="13"/>
  <c r="G80" i="13"/>
  <c r="F80" i="13"/>
  <c r="A80" i="13"/>
  <c r="H79" i="13"/>
  <c r="G79" i="13"/>
  <c r="F79" i="13"/>
  <c r="A79" i="13"/>
  <c r="H78" i="13"/>
  <c r="G78" i="13"/>
  <c r="F78" i="13"/>
  <c r="A78" i="13"/>
  <c r="H77" i="13"/>
  <c r="G77" i="13"/>
  <c r="F77" i="13"/>
  <c r="A77" i="13"/>
  <c r="H76" i="13"/>
  <c r="G76" i="13"/>
  <c r="F76" i="13"/>
  <c r="A76" i="13"/>
  <c r="H75" i="13"/>
  <c r="G75" i="13"/>
  <c r="F75" i="13"/>
  <c r="A75" i="13"/>
  <c r="H74" i="13"/>
  <c r="G74" i="13"/>
  <c r="F74" i="13"/>
  <c r="A74" i="13"/>
  <c r="H73" i="13"/>
  <c r="G73" i="13"/>
  <c r="F73" i="13"/>
  <c r="A73" i="13"/>
  <c r="H72" i="13"/>
  <c r="G72" i="13"/>
  <c r="F72" i="13"/>
  <c r="A72" i="13"/>
  <c r="H71" i="13"/>
  <c r="G71" i="13"/>
  <c r="F71" i="13"/>
  <c r="A71" i="13"/>
  <c r="H70" i="13"/>
  <c r="G70" i="13"/>
  <c r="F70" i="13"/>
  <c r="A70" i="13"/>
  <c r="H69" i="13"/>
  <c r="G69" i="13"/>
  <c r="F69" i="13"/>
  <c r="A69" i="13"/>
  <c r="H68" i="13"/>
  <c r="G68" i="13"/>
  <c r="F68" i="13"/>
  <c r="A68" i="13"/>
  <c r="H67" i="13"/>
  <c r="G67" i="13"/>
  <c r="F67" i="13"/>
  <c r="A67" i="13"/>
  <c r="H66" i="13"/>
  <c r="G66" i="13"/>
  <c r="F66" i="13"/>
  <c r="A66" i="13"/>
  <c r="H65" i="13"/>
  <c r="G65" i="13"/>
  <c r="F65" i="13"/>
  <c r="A65" i="13"/>
  <c r="H64" i="13"/>
  <c r="G64" i="13"/>
  <c r="F64" i="13"/>
  <c r="A64" i="13"/>
  <c r="H63" i="13"/>
  <c r="G63" i="13"/>
  <c r="F63" i="13"/>
  <c r="A63" i="13"/>
  <c r="H62" i="13"/>
  <c r="G62" i="13"/>
  <c r="F62" i="13"/>
  <c r="A62" i="13"/>
  <c r="H61" i="13"/>
  <c r="G61" i="13"/>
  <c r="F61" i="13"/>
  <c r="A61" i="13"/>
  <c r="H60" i="13"/>
  <c r="G60" i="13"/>
  <c r="F60" i="13"/>
  <c r="A60" i="13"/>
  <c r="H59" i="13"/>
  <c r="G59" i="13"/>
  <c r="F59" i="13"/>
  <c r="A59" i="13"/>
  <c r="H58" i="13"/>
  <c r="G58" i="13"/>
  <c r="F58" i="13"/>
  <c r="A58" i="13"/>
  <c r="H57" i="13"/>
  <c r="G57" i="13"/>
  <c r="F57" i="13"/>
  <c r="A57" i="13"/>
  <c r="H56" i="13"/>
  <c r="G56" i="13"/>
  <c r="F56" i="13"/>
  <c r="A56" i="13"/>
  <c r="H55" i="13"/>
  <c r="G55" i="13"/>
  <c r="F55" i="13"/>
  <c r="A55" i="13"/>
  <c r="H54" i="13"/>
  <c r="G54" i="13"/>
  <c r="F54" i="13"/>
  <c r="A54" i="13"/>
  <c r="H53" i="13"/>
  <c r="G53" i="13"/>
  <c r="F53" i="13"/>
  <c r="A53" i="13"/>
  <c r="H52" i="13"/>
  <c r="G52" i="13"/>
  <c r="F52" i="13"/>
  <c r="A52" i="13"/>
  <c r="H51" i="13"/>
  <c r="G51" i="13"/>
  <c r="F51" i="13"/>
  <c r="A51" i="13"/>
  <c r="H50" i="13"/>
  <c r="G50" i="13"/>
  <c r="F50" i="13"/>
  <c r="A50" i="13"/>
  <c r="H49" i="13"/>
  <c r="G49" i="13"/>
  <c r="F49" i="13"/>
  <c r="A49" i="13"/>
  <c r="H48" i="13"/>
  <c r="G48" i="13"/>
  <c r="F48" i="13"/>
  <c r="A48" i="13"/>
  <c r="H47" i="13"/>
  <c r="G47" i="13"/>
  <c r="F47" i="13"/>
  <c r="A47" i="13"/>
  <c r="H46" i="13"/>
  <c r="G46" i="13"/>
  <c r="F46" i="13"/>
  <c r="A46" i="13"/>
  <c r="H45" i="13"/>
  <c r="G45" i="13"/>
  <c r="F45" i="13"/>
  <c r="A45" i="13"/>
  <c r="H44" i="13"/>
  <c r="G44" i="13"/>
  <c r="F44" i="13"/>
  <c r="A44" i="13"/>
  <c r="H43" i="13"/>
  <c r="G43" i="13"/>
  <c r="F43" i="13"/>
  <c r="A43" i="13"/>
  <c r="H42" i="13"/>
  <c r="G42" i="13"/>
  <c r="F42" i="13"/>
  <c r="A42" i="13"/>
  <c r="H41" i="13"/>
  <c r="G41" i="13"/>
  <c r="F41" i="13"/>
  <c r="A41" i="13"/>
  <c r="H40" i="13"/>
  <c r="G40" i="13"/>
  <c r="F40" i="13"/>
  <c r="A40" i="13"/>
  <c r="H39" i="13"/>
  <c r="G39" i="13"/>
  <c r="F39" i="13"/>
  <c r="A39" i="13"/>
  <c r="H38" i="13"/>
  <c r="G38" i="13"/>
  <c r="F38" i="13"/>
  <c r="A38" i="13"/>
  <c r="H37" i="13"/>
  <c r="G37" i="13"/>
  <c r="F37" i="13"/>
  <c r="A37" i="13"/>
  <c r="H36" i="13"/>
  <c r="G36" i="13"/>
  <c r="F36" i="13"/>
  <c r="A36" i="13"/>
  <c r="H35" i="13"/>
  <c r="G35" i="13"/>
  <c r="F35" i="13"/>
  <c r="A35" i="13"/>
  <c r="H34" i="13"/>
  <c r="G34" i="13"/>
  <c r="F34" i="13"/>
  <c r="A34" i="13"/>
  <c r="H33" i="13"/>
  <c r="G33" i="13"/>
  <c r="F33" i="13"/>
  <c r="A33" i="13"/>
  <c r="H32" i="13"/>
  <c r="G32" i="13"/>
  <c r="F32" i="13"/>
  <c r="A32" i="13"/>
  <c r="H31" i="13"/>
  <c r="G31" i="13"/>
  <c r="F31" i="13"/>
  <c r="A31" i="13"/>
  <c r="H30" i="13"/>
  <c r="G30" i="13"/>
  <c r="F30" i="13"/>
  <c r="A30" i="13"/>
  <c r="H29" i="13"/>
  <c r="G29" i="13"/>
  <c r="F29" i="13"/>
  <c r="A29" i="13"/>
  <c r="H28" i="13"/>
  <c r="G28" i="13"/>
  <c r="F28" i="13"/>
  <c r="A28" i="13"/>
  <c r="H27" i="13"/>
  <c r="G27" i="13"/>
  <c r="F27" i="13"/>
  <c r="A27" i="13"/>
  <c r="H26" i="13"/>
  <c r="G26" i="13"/>
  <c r="F26" i="13"/>
  <c r="A26" i="13"/>
  <c r="H25" i="13"/>
  <c r="G25" i="13"/>
  <c r="F25" i="13"/>
  <c r="A25" i="13"/>
  <c r="H24" i="13"/>
  <c r="G24" i="13"/>
  <c r="F24" i="13"/>
  <c r="A24" i="13"/>
  <c r="H23" i="13"/>
  <c r="G23" i="13"/>
  <c r="F23" i="13"/>
  <c r="A23" i="13"/>
  <c r="H22" i="13"/>
  <c r="G22" i="13"/>
  <c r="F22" i="13"/>
  <c r="A22" i="13"/>
  <c r="H21" i="13"/>
  <c r="G21" i="13"/>
  <c r="F21" i="13"/>
  <c r="A21" i="13"/>
  <c r="H20" i="13"/>
  <c r="G20" i="13"/>
  <c r="F20" i="13"/>
  <c r="A20" i="13"/>
  <c r="H19" i="13"/>
  <c r="G19" i="13"/>
  <c r="F19" i="13"/>
  <c r="A19" i="13"/>
  <c r="H18" i="13"/>
  <c r="G18" i="13"/>
  <c r="F18" i="13"/>
  <c r="A18" i="13"/>
  <c r="H17" i="13"/>
  <c r="G17" i="13"/>
  <c r="F17" i="13"/>
  <c r="A17" i="13"/>
  <c r="H16" i="13"/>
  <c r="G16" i="13"/>
  <c r="F16" i="13"/>
  <c r="A16" i="13"/>
  <c r="H15" i="13"/>
  <c r="G15" i="13"/>
  <c r="F15" i="13"/>
  <c r="A15" i="13"/>
  <c r="H14" i="13"/>
  <c r="G14" i="13"/>
  <c r="F14" i="13"/>
  <c r="A14" i="13"/>
  <c r="H13" i="13"/>
  <c r="G13" i="13"/>
  <c r="F13" i="13"/>
  <c r="A13" i="13"/>
  <c r="H12" i="13"/>
  <c r="G12" i="13"/>
  <c r="F12" i="13"/>
  <c r="A12" i="13"/>
  <c r="H11" i="13"/>
  <c r="G11" i="13"/>
  <c r="F11" i="13"/>
  <c r="A11" i="13"/>
  <c r="H10" i="13"/>
  <c r="G10" i="13"/>
  <c r="F10" i="13"/>
  <c r="A10" i="13"/>
  <c r="H9" i="13"/>
  <c r="G9" i="13"/>
  <c r="F9" i="13"/>
  <c r="A9" i="13"/>
  <c r="H8" i="13"/>
  <c r="G8" i="13"/>
  <c r="F8" i="13"/>
  <c r="A8" i="13"/>
  <c r="H7" i="13"/>
  <c r="G7" i="13"/>
  <c r="F7" i="13"/>
  <c r="A7" i="13"/>
  <c r="H6" i="13"/>
  <c r="G6" i="13"/>
  <c r="F6" i="13"/>
  <c r="A6" i="13"/>
  <c r="H5" i="13"/>
  <c r="G5" i="13"/>
  <c r="F5" i="13"/>
  <c r="A5" i="13"/>
  <c r="H4" i="13"/>
  <c r="G4" i="13"/>
  <c r="F4" i="13"/>
  <c r="A4" i="13"/>
  <c r="H3" i="13"/>
  <c r="G3" i="13"/>
  <c r="F3" i="13"/>
  <c r="A3" i="13"/>
  <c r="H2" i="13"/>
  <c r="G2" i="13"/>
  <c r="F2" i="13"/>
  <c r="D2" i="13" a="1"/>
  <c r="A2" i="13"/>
  <c r="B8" i="12" a="1"/>
  <c r="B8" i="12" s="1"/>
  <c r="A8" i="12" s="1"/>
  <c r="M6" i="12"/>
  <c r="K5" i="12"/>
  <c r="J1" i="12"/>
  <c r="I1" i="12"/>
  <c r="H1" i="12"/>
  <c r="G1" i="12"/>
  <c r="F1" i="12"/>
  <c r="E1" i="12"/>
  <c r="D1" i="12"/>
  <c r="C1" i="12"/>
  <c r="L2" i="11"/>
  <c r="C850" i="10"/>
  <c r="C845" i="10"/>
  <c r="C840" i="10"/>
  <c r="C835" i="10"/>
  <c r="C830" i="10"/>
  <c r="C825" i="10"/>
  <c r="C820" i="10"/>
  <c r="C815" i="10"/>
  <c r="C810" i="10"/>
  <c r="C805" i="10"/>
  <c r="C800" i="10"/>
  <c r="C795" i="10"/>
  <c r="C790" i="10"/>
  <c r="C785" i="10"/>
  <c r="C780" i="10"/>
  <c r="C775" i="10"/>
  <c r="C770" i="10"/>
  <c r="C765" i="10"/>
  <c r="C760" i="10"/>
  <c r="C755" i="10"/>
  <c r="C750" i="10"/>
  <c r="C745" i="10"/>
  <c r="C740" i="10"/>
  <c r="C735" i="10"/>
  <c r="C730" i="10"/>
  <c r="C725" i="10"/>
  <c r="C720" i="10"/>
  <c r="C715" i="10"/>
  <c r="C710" i="10"/>
  <c r="C705" i="10"/>
  <c r="C700" i="10"/>
  <c r="C695" i="10"/>
  <c r="C690" i="10"/>
  <c r="C685" i="10"/>
  <c r="C680" i="10"/>
  <c r="C675" i="10"/>
  <c r="C670" i="10"/>
  <c r="C665" i="10"/>
  <c r="C660" i="10"/>
  <c r="C655" i="10"/>
  <c r="C650" i="10"/>
  <c r="C645" i="10"/>
  <c r="C640" i="10"/>
  <c r="C635" i="10"/>
  <c r="C630" i="10"/>
  <c r="C625" i="10"/>
  <c r="C620" i="10"/>
  <c r="C615" i="10"/>
  <c r="C610" i="10"/>
  <c r="C605" i="10"/>
  <c r="C600" i="10"/>
  <c r="C595" i="10"/>
  <c r="C590" i="10"/>
  <c r="C585" i="10"/>
  <c r="C580" i="10"/>
  <c r="C575" i="10"/>
  <c r="C570" i="10"/>
  <c r="C565" i="10"/>
  <c r="C560" i="10"/>
  <c r="C555" i="10"/>
  <c r="C550" i="10"/>
  <c r="C545" i="10"/>
  <c r="C540" i="10"/>
  <c r="C535" i="10"/>
  <c r="C530" i="10"/>
  <c r="C525" i="10"/>
  <c r="C520" i="10"/>
  <c r="C515" i="10"/>
  <c r="C510" i="10"/>
  <c r="C505" i="10"/>
  <c r="C500" i="10"/>
  <c r="C495" i="10"/>
  <c r="C490" i="10"/>
  <c r="C485" i="10"/>
  <c r="C480" i="10"/>
  <c r="C475" i="10"/>
  <c r="C470" i="10"/>
  <c r="C465" i="10"/>
  <c r="C460" i="10"/>
  <c r="C455" i="10"/>
  <c r="C450" i="10"/>
  <c r="C445" i="10"/>
  <c r="C440" i="10"/>
  <c r="C435" i="10"/>
  <c r="C430" i="10"/>
  <c r="C425" i="10"/>
  <c r="C420" i="10"/>
  <c r="C415" i="10"/>
  <c r="C410" i="10"/>
  <c r="C405" i="10"/>
  <c r="C400" i="10"/>
  <c r="C395" i="10"/>
  <c r="C390" i="10"/>
  <c r="C385" i="10"/>
  <c r="C380" i="10"/>
  <c r="C375" i="10"/>
  <c r="C370" i="10"/>
  <c r="C365" i="10"/>
  <c r="C360" i="10"/>
  <c r="C355" i="10"/>
  <c r="C350" i="10"/>
  <c r="C345" i="10"/>
  <c r="C340" i="10"/>
  <c r="C335" i="10"/>
  <c r="C330" i="10"/>
  <c r="C325" i="10"/>
  <c r="C320" i="10"/>
  <c r="C315" i="10"/>
  <c r="C310" i="10"/>
  <c r="C305" i="10"/>
  <c r="C300" i="10"/>
  <c r="C295" i="10"/>
  <c r="C290" i="10"/>
  <c r="C285" i="10"/>
  <c r="C280" i="10"/>
  <c r="C275" i="10"/>
  <c r="C270" i="10"/>
  <c r="C265" i="10"/>
  <c r="C260" i="10"/>
  <c r="C255" i="10"/>
  <c r="C250" i="10"/>
  <c r="C245" i="10"/>
  <c r="C240" i="10"/>
  <c r="C235" i="10"/>
  <c r="C230" i="10"/>
  <c r="C225" i="10"/>
  <c r="C220" i="10"/>
  <c r="C215" i="10"/>
  <c r="C210" i="10"/>
  <c r="C205" i="10"/>
  <c r="C200" i="10"/>
  <c r="C195" i="10"/>
  <c r="C190" i="10"/>
  <c r="C185" i="10"/>
  <c r="C180" i="10"/>
  <c r="C175" i="10"/>
  <c r="C170" i="10"/>
  <c r="C165" i="10"/>
  <c r="C160" i="10"/>
  <c r="C155" i="10"/>
  <c r="C150" i="10"/>
  <c r="C145" i="10"/>
  <c r="C140" i="10"/>
  <c r="C135" i="10"/>
  <c r="C130" i="10"/>
  <c r="C125" i="10"/>
  <c r="C120" i="10"/>
  <c r="C115" i="10"/>
  <c r="C110" i="10"/>
  <c r="C105" i="10"/>
  <c r="C100" i="10"/>
  <c r="C95" i="10"/>
  <c r="C90" i="10"/>
  <c r="C85" i="10"/>
  <c r="C80" i="10"/>
  <c r="C75" i="10"/>
  <c r="C70" i="10"/>
  <c r="C65" i="10"/>
  <c r="C60" i="10"/>
  <c r="C55" i="10"/>
  <c r="C50" i="10"/>
  <c r="C45" i="10"/>
  <c r="C40" i="10"/>
  <c r="C35" i="10"/>
  <c r="C30" i="10"/>
  <c r="C25" i="10"/>
  <c r="C20" i="10"/>
  <c r="C15" i="10"/>
  <c r="C10" i="10"/>
  <c r="A9" i="10"/>
  <c r="A8" i="10"/>
  <c r="A7" i="10"/>
  <c r="A6" i="10"/>
  <c r="I854" i="10"/>
  <c r="H854" i="10"/>
  <c r="G854" i="10"/>
  <c r="F854" i="10"/>
  <c r="E854" i="10"/>
  <c r="I853" i="10"/>
  <c r="H853" i="10"/>
  <c r="G853" i="10"/>
  <c r="F853" i="10"/>
  <c r="E853" i="10"/>
  <c r="I852" i="10"/>
  <c r="H852" i="10"/>
  <c r="G852" i="10"/>
  <c r="F852" i="10"/>
  <c r="E852" i="10"/>
  <c r="I851" i="10"/>
  <c r="H851" i="10"/>
  <c r="G851" i="10"/>
  <c r="F851" i="10"/>
  <c r="E851" i="10"/>
  <c r="I850" i="10"/>
  <c r="H850" i="10"/>
  <c r="G850" i="10"/>
  <c r="F850" i="10"/>
  <c r="E850" i="10"/>
  <c r="I849" i="10"/>
  <c r="H849" i="10"/>
  <c r="G849" i="10"/>
  <c r="F849" i="10"/>
  <c r="E849" i="10"/>
  <c r="I848" i="10"/>
  <c r="H848" i="10"/>
  <c r="G848" i="10"/>
  <c r="F848" i="10"/>
  <c r="E848" i="10"/>
  <c r="I847" i="10"/>
  <c r="H847" i="10"/>
  <c r="G847" i="10"/>
  <c r="F847" i="10"/>
  <c r="E847" i="10"/>
  <c r="I846" i="10"/>
  <c r="H846" i="10"/>
  <c r="G846" i="10"/>
  <c r="F846" i="10"/>
  <c r="E846" i="10"/>
  <c r="I845" i="10"/>
  <c r="H845" i="10"/>
  <c r="G845" i="10"/>
  <c r="F845" i="10"/>
  <c r="E845" i="10"/>
  <c r="I844" i="10"/>
  <c r="H844" i="10"/>
  <c r="G844" i="10"/>
  <c r="F844" i="10"/>
  <c r="E844" i="10"/>
  <c r="I843" i="10"/>
  <c r="H843" i="10"/>
  <c r="G843" i="10"/>
  <c r="F843" i="10"/>
  <c r="E843" i="10"/>
  <c r="I842" i="10"/>
  <c r="H842" i="10"/>
  <c r="G842" i="10"/>
  <c r="F842" i="10"/>
  <c r="E842" i="10"/>
  <c r="I841" i="10"/>
  <c r="H841" i="10"/>
  <c r="G841" i="10"/>
  <c r="F841" i="10"/>
  <c r="E841" i="10"/>
  <c r="I840" i="10"/>
  <c r="H840" i="10"/>
  <c r="G840" i="10"/>
  <c r="F840" i="10"/>
  <c r="E840" i="10"/>
  <c r="I839" i="10"/>
  <c r="H839" i="10"/>
  <c r="G839" i="10"/>
  <c r="F839" i="10"/>
  <c r="E839" i="10"/>
  <c r="I838" i="10"/>
  <c r="H838" i="10"/>
  <c r="G838" i="10"/>
  <c r="F838" i="10"/>
  <c r="E838" i="10"/>
  <c r="I837" i="10"/>
  <c r="H837" i="10"/>
  <c r="G837" i="10"/>
  <c r="F837" i="10"/>
  <c r="E837" i="10"/>
  <c r="I836" i="10"/>
  <c r="H836" i="10"/>
  <c r="G836" i="10"/>
  <c r="F836" i="10"/>
  <c r="E836" i="10"/>
  <c r="I835" i="10"/>
  <c r="H835" i="10"/>
  <c r="G835" i="10"/>
  <c r="F835" i="10"/>
  <c r="E835" i="10"/>
  <c r="I834" i="10"/>
  <c r="H834" i="10"/>
  <c r="G834" i="10"/>
  <c r="F834" i="10"/>
  <c r="E834" i="10"/>
  <c r="I833" i="10"/>
  <c r="H833" i="10"/>
  <c r="G833" i="10"/>
  <c r="F833" i="10"/>
  <c r="E833" i="10"/>
  <c r="I832" i="10"/>
  <c r="H832" i="10"/>
  <c r="G832" i="10"/>
  <c r="F832" i="10"/>
  <c r="E832" i="10"/>
  <c r="I831" i="10"/>
  <c r="H831" i="10"/>
  <c r="G831" i="10"/>
  <c r="F831" i="10"/>
  <c r="E831" i="10"/>
  <c r="I830" i="10"/>
  <c r="H830" i="10"/>
  <c r="G830" i="10"/>
  <c r="F830" i="10"/>
  <c r="E830" i="10"/>
  <c r="I829" i="10"/>
  <c r="H829" i="10"/>
  <c r="G829" i="10"/>
  <c r="F829" i="10"/>
  <c r="E829" i="10"/>
  <c r="I828" i="10"/>
  <c r="H828" i="10"/>
  <c r="G828" i="10"/>
  <c r="F828" i="10"/>
  <c r="E828" i="10"/>
  <c r="I827" i="10"/>
  <c r="H827" i="10"/>
  <c r="G827" i="10"/>
  <c r="F827" i="10"/>
  <c r="E827" i="10"/>
  <c r="I826" i="10"/>
  <c r="H826" i="10"/>
  <c r="G826" i="10"/>
  <c r="F826" i="10"/>
  <c r="E826" i="10"/>
  <c r="I825" i="10"/>
  <c r="H825" i="10"/>
  <c r="G825" i="10"/>
  <c r="F825" i="10"/>
  <c r="E825" i="10"/>
  <c r="I824" i="10"/>
  <c r="H824" i="10"/>
  <c r="G824" i="10"/>
  <c r="F824" i="10"/>
  <c r="E824" i="10"/>
  <c r="I823" i="10"/>
  <c r="H823" i="10"/>
  <c r="G823" i="10"/>
  <c r="F823" i="10"/>
  <c r="E823" i="10"/>
  <c r="I822" i="10"/>
  <c r="H822" i="10"/>
  <c r="G822" i="10"/>
  <c r="F822" i="10"/>
  <c r="E822" i="10"/>
  <c r="I821" i="10"/>
  <c r="H821" i="10"/>
  <c r="G821" i="10"/>
  <c r="F821" i="10"/>
  <c r="E821" i="10"/>
  <c r="I820" i="10"/>
  <c r="H820" i="10"/>
  <c r="G820" i="10"/>
  <c r="F820" i="10"/>
  <c r="E820" i="10"/>
  <c r="I819" i="10"/>
  <c r="H819" i="10"/>
  <c r="G819" i="10"/>
  <c r="F819" i="10"/>
  <c r="E819" i="10"/>
  <c r="I818" i="10"/>
  <c r="H818" i="10"/>
  <c r="G818" i="10"/>
  <c r="F818" i="10"/>
  <c r="E818" i="10"/>
  <c r="I817" i="10"/>
  <c r="H817" i="10"/>
  <c r="G817" i="10"/>
  <c r="F817" i="10"/>
  <c r="E817" i="10"/>
  <c r="I816" i="10"/>
  <c r="H816" i="10"/>
  <c r="G816" i="10"/>
  <c r="F816" i="10"/>
  <c r="E816" i="10"/>
  <c r="I815" i="10"/>
  <c r="H815" i="10"/>
  <c r="G815" i="10"/>
  <c r="F815" i="10"/>
  <c r="E815" i="10"/>
  <c r="I814" i="10"/>
  <c r="H814" i="10"/>
  <c r="G814" i="10"/>
  <c r="F814" i="10"/>
  <c r="E814" i="10"/>
  <c r="I813" i="10"/>
  <c r="H813" i="10"/>
  <c r="G813" i="10"/>
  <c r="F813" i="10"/>
  <c r="E813" i="10"/>
  <c r="I812" i="10"/>
  <c r="H812" i="10"/>
  <c r="G812" i="10"/>
  <c r="F812" i="10"/>
  <c r="E812" i="10"/>
  <c r="I811" i="10"/>
  <c r="H811" i="10"/>
  <c r="G811" i="10"/>
  <c r="F811" i="10"/>
  <c r="E811" i="10"/>
  <c r="I810" i="10"/>
  <c r="H810" i="10"/>
  <c r="G810" i="10"/>
  <c r="F810" i="10"/>
  <c r="E810" i="10"/>
  <c r="I809" i="10"/>
  <c r="H809" i="10"/>
  <c r="G809" i="10"/>
  <c r="F809" i="10"/>
  <c r="E809" i="10"/>
  <c r="I808" i="10"/>
  <c r="H808" i="10"/>
  <c r="G808" i="10"/>
  <c r="F808" i="10"/>
  <c r="E808" i="10"/>
  <c r="I807" i="10"/>
  <c r="H807" i="10"/>
  <c r="G807" i="10"/>
  <c r="F807" i="10"/>
  <c r="E807" i="10"/>
  <c r="I806" i="10"/>
  <c r="H806" i="10"/>
  <c r="G806" i="10"/>
  <c r="F806" i="10"/>
  <c r="E806" i="10"/>
  <c r="I805" i="10"/>
  <c r="H805" i="10"/>
  <c r="G805" i="10"/>
  <c r="F805" i="10"/>
  <c r="E805" i="10"/>
  <c r="I804" i="10"/>
  <c r="H804" i="10"/>
  <c r="G804" i="10"/>
  <c r="F804" i="10"/>
  <c r="E804" i="10"/>
  <c r="I803" i="10"/>
  <c r="H803" i="10"/>
  <c r="G803" i="10"/>
  <c r="F803" i="10"/>
  <c r="E803" i="10"/>
  <c r="I802" i="10"/>
  <c r="H802" i="10"/>
  <c r="G802" i="10"/>
  <c r="F802" i="10"/>
  <c r="E802" i="10"/>
  <c r="I801" i="10"/>
  <c r="H801" i="10"/>
  <c r="G801" i="10"/>
  <c r="F801" i="10"/>
  <c r="E801" i="10"/>
  <c r="I800" i="10"/>
  <c r="H800" i="10"/>
  <c r="G800" i="10"/>
  <c r="F800" i="10"/>
  <c r="E800" i="10"/>
  <c r="I799" i="10"/>
  <c r="H799" i="10"/>
  <c r="G799" i="10"/>
  <c r="F799" i="10"/>
  <c r="E799" i="10"/>
  <c r="I798" i="10"/>
  <c r="H798" i="10"/>
  <c r="G798" i="10"/>
  <c r="F798" i="10"/>
  <c r="E798" i="10"/>
  <c r="I797" i="10"/>
  <c r="H797" i="10"/>
  <c r="G797" i="10"/>
  <c r="F797" i="10"/>
  <c r="E797" i="10"/>
  <c r="I796" i="10"/>
  <c r="H796" i="10"/>
  <c r="G796" i="10"/>
  <c r="F796" i="10"/>
  <c r="E796" i="10"/>
  <c r="I795" i="10"/>
  <c r="H795" i="10"/>
  <c r="G795" i="10"/>
  <c r="F795" i="10"/>
  <c r="E795" i="10"/>
  <c r="I794" i="10"/>
  <c r="H794" i="10"/>
  <c r="G794" i="10"/>
  <c r="F794" i="10"/>
  <c r="E794" i="10"/>
  <c r="I793" i="10"/>
  <c r="H793" i="10"/>
  <c r="G793" i="10"/>
  <c r="F793" i="10"/>
  <c r="E793" i="10"/>
  <c r="I792" i="10"/>
  <c r="H792" i="10"/>
  <c r="G792" i="10"/>
  <c r="F792" i="10"/>
  <c r="E792" i="10"/>
  <c r="I791" i="10"/>
  <c r="H791" i="10"/>
  <c r="G791" i="10"/>
  <c r="F791" i="10"/>
  <c r="E791" i="10"/>
  <c r="I790" i="10"/>
  <c r="H790" i="10"/>
  <c r="G790" i="10"/>
  <c r="F790" i="10"/>
  <c r="E790" i="10"/>
  <c r="I789" i="10"/>
  <c r="H789" i="10"/>
  <c r="G789" i="10"/>
  <c r="F789" i="10"/>
  <c r="E789" i="10"/>
  <c r="I788" i="10"/>
  <c r="H788" i="10"/>
  <c r="G788" i="10"/>
  <c r="F788" i="10"/>
  <c r="E788" i="10"/>
  <c r="I787" i="10"/>
  <c r="H787" i="10"/>
  <c r="G787" i="10"/>
  <c r="F787" i="10"/>
  <c r="E787" i="10"/>
  <c r="I786" i="10"/>
  <c r="H786" i="10"/>
  <c r="G786" i="10"/>
  <c r="F786" i="10"/>
  <c r="E786" i="10"/>
  <c r="I785" i="10"/>
  <c r="H785" i="10"/>
  <c r="G785" i="10"/>
  <c r="F785" i="10"/>
  <c r="E785" i="10"/>
  <c r="I784" i="10"/>
  <c r="H784" i="10"/>
  <c r="G784" i="10"/>
  <c r="F784" i="10"/>
  <c r="E784" i="10"/>
  <c r="I783" i="10"/>
  <c r="H783" i="10"/>
  <c r="G783" i="10"/>
  <c r="F783" i="10"/>
  <c r="E783" i="10"/>
  <c r="I782" i="10"/>
  <c r="H782" i="10"/>
  <c r="G782" i="10"/>
  <c r="F782" i="10"/>
  <c r="E782" i="10"/>
  <c r="I781" i="10"/>
  <c r="H781" i="10"/>
  <c r="G781" i="10"/>
  <c r="F781" i="10"/>
  <c r="E781" i="10"/>
  <c r="I780" i="10"/>
  <c r="H780" i="10"/>
  <c r="G780" i="10"/>
  <c r="F780" i="10"/>
  <c r="E780" i="10"/>
  <c r="I779" i="10"/>
  <c r="H779" i="10"/>
  <c r="G779" i="10"/>
  <c r="F779" i="10"/>
  <c r="E779" i="10"/>
  <c r="I778" i="10"/>
  <c r="H778" i="10"/>
  <c r="G778" i="10"/>
  <c r="F778" i="10"/>
  <c r="E778" i="10"/>
  <c r="I777" i="10"/>
  <c r="H777" i="10"/>
  <c r="G777" i="10"/>
  <c r="F777" i="10"/>
  <c r="E777" i="10"/>
  <c r="I776" i="10"/>
  <c r="H776" i="10"/>
  <c r="G776" i="10"/>
  <c r="F776" i="10"/>
  <c r="E776" i="10"/>
  <c r="I775" i="10"/>
  <c r="H775" i="10"/>
  <c r="G775" i="10"/>
  <c r="F775" i="10"/>
  <c r="E775" i="10"/>
  <c r="I774" i="10"/>
  <c r="H774" i="10"/>
  <c r="G774" i="10"/>
  <c r="F774" i="10"/>
  <c r="E774" i="10"/>
  <c r="I773" i="10"/>
  <c r="H773" i="10"/>
  <c r="G773" i="10"/>
  <c r="F773" i="10"/>
  <c r="E773" i="10"/>
  <c r="I772" i="10"/>
  <c r="H772" i="10"/>
  <c r="G772" i="10"/>
  <c r="F772" i="10"/>
  <c r="E772" i="10"/>
  <c r="I771" i="10"/>
  <c r="H771" i="10"/>
  <c r="G771" i="10"/>
  <c r="F771" i="10"/>
  <c r="E771" i="10"/>
  <c r="I770" i="10"/>
  <c r="H770" i="10"/>
  <c r="G770" i="10"/>
  <c r="F770" i="10"/>
  <c r="E770" i="10"/>
  <c r="I769" i="10"/>
  <c r="H769" i="10"/>
  <c r="G769" i="10"/>
  <c r="F769" i="10"/>
  <c r="E769" i="10"/>
  <c r="I768" i="10"/>
  <c r="H768" i="10"/>
  <c r="G768" i="10"/>
  <c r="F768" i="10"/>
  <c r="E768" i="10"/>
  <c r="I767" i="10"/>
  <c r="H767" i="10"/>
  <c r="G767" i="10"/>
  <c r="F767" i="10"/>
  <c r="E767" i="10"/>
  <c r="I766" i="10"/>
  <c r="H766" i="10"/>
  <c r="G766" i="10"/>
  <c r="F766" i="10"/>
  <c r="E766" i="10"/>
  <c r="I765" i="10"/>
  <c r="H765" i="10"/>
  <c r="G765" i="10"/>
  <c r="F765" i="10"/>
  <c r="E765" i="10"/>
  <c r="I764" i="10"/>
  <c r="H764" i="10"/>
  <c r="G764" i="10"/>
  <c r="F764" i="10"/>
  <c r="E764" i="10"/>
  <c r="I763" i="10"/>
  <c r="H763" i="10"/>
  <c r="G763" i="10"/>
  <c r="F763" i="10"/>
  <c r="E763" i="10"/>
  <c r="I762" i="10"/>
  <c r="H762" i="10"/>
  <c r="G762" i="10"/>
  <c r="F762" i="10"/>
  <c r="E762" i="10"/>
  <c r="I761" i="10"/>
  <c r="H761" i="10"/>
  <c r="G761" i="10"/>
  <c r="F761" i="10"/>
  <c r="E761" i="10"/>
  <c r="I760" i="10"/>
  <c r="H760" i="10"/>
  <c r="G760" i="10"/>
  <c r="F760" i="10"/>
  <c r="E760" i="10"/>
  <c r="I759" i="10"/>
  <c r="H759" i="10"/>
  <c r="G759" i="10"/>
  <c r="F759" i="10"/>
  <c r="E759" i="10"/>
  <c r="I758" i="10"/>
  <c r="H758" i="10"/>
  <c r="G758" i="10"/>
  <c r="F758" i="10"/>
  <c r="E758" i="10"/>
  <c r="I757" i="10"/>
  <c r="H757" i="10"/>
  <c r="G757" i="10"/>
  <c r="F757" i="10"/>
  <c r="E757" i="10"/>
  <c r="I756" i="10"/>
  <c r="H756" i="10"/>
  <c r="G756" i="10"/>
  <c r="F756" i="10"/>
  <c r="E756" i="10"/>
  <c r="I755" i="10"/>
  <c r="H755" i="10"/>
  <c r="G755" i="10"/>
  <c r="F755" i="10"/>
  <c r="E755" i="10"/>
  <c r="I754" i="10"/>
  <c r="H754" i="10"/>
  <c r="G754" i="10"/>
  <c r="F754" i="10"/>
  <c r="E754" i="10"/>
  <c r="I753" i="10"/>
  <c r="H753" i="10"/>
  <c r="G753" i="10"/>
  <c r="F753" i="10"/>
  <c r="E753" i="10"/>
  <c r="I752" i="10"/>
  <c r="H752" i="10"/>
  <c r="G752" i="10"/>
  <c r="F752" i="10"/>
  <c r="E752" i="10"/>
  <c r="I751" i="10"/>
  <c r="H751" i="10"/>
  <c r="G751" i="10"/>
  <c r="F751" i="10"/>
  <c r="E751" i="10"/>
  <c r="I750" i="10"/>
  <c r="H750" i="10"/>
  <c r="G750" i="10"/>
  <c r="F750" i="10"/>
  <c r="E750" i="10"/>
  <c r="I749" i="10"/>
  <c r="H749" i="10"/>
  <c r="G749" i="10"/>
  <c r="F749" i="10"/>
  <c r="E749" i="10"/>
  <c r="I748" i="10"/>
  <c r="H748" i="10"/>
  <c r="G748" i="10"/>
  <c r="F748" i="10"/>
  <c r="E748" i="10"/>
  <c r="I747" i="10"/>
  <c r="H747" i="10"/>
  <c r="G747" i="10"/>
  <c r="F747" i="10"/>
  <c r="E747" i="10"/>
  <c r="I746" i="10"/>
  <c r="H746" i="10"/>
  <c r="G746" i="10"/>
  <c r="F746" i="10"/>
  <c r="E746" i="10"/>
  <c r="I745" i="10"/>
  <c r="H745" i="10"/>
  <c r="G745" i="10"/>
  <c r="F745" i="10"/>
  <c r="E745" i="10"/>
  <c r="I744" i="10"/>
  <c r="H744" i="10"/>
  <c r="G744" i="10"/>
  <c r="F744" i="10"/>
  <c r="E744" i="10"/>
  <c r="I743" i="10"/>
  <c r="H743" i="10"/>
  <c r="G743" i="10"/>
  <c r="F743" i="10"/>
  <c r="E743" i="10"/>
  <c r="I742" i="10"/>
  <c r="H742" i="10"/>
  <c r="G742" i="10"/>
  <c r="F742" i="10"/>
  <c r="E742" i="10"/>
  <c r="I741" i="10"/>
  <c r="H741" i="10"/>
  <c r="G741" i="10"/>
  <c r="F741" i="10"/>
  <c r="E741" i="10"/>
  <c r="I740" i="10"/>
  <c r="H740" i="10"/>
  <c r="G740" i="10"/>
  <c r="F740" i="10"/>
  <c r="E740" i="10"/>
  <c r="I739" i="10"/>
  <c r="H739" i="10"/>
  <c r="G739" i="10"/>
  <c r="F739" i="10"/>
  <c r="E739" i="10"/>
  <c r="I738" i="10"/>
  <c r="H738" i="10"/>
  <c r="G738" i="10"/>
  <c r="F738" i="10"/>
  <c r="E738" i="10"/>
  <c r="I737" i="10"/>
  <c r="H737" i="10"/>
  <c r="G737" i="10"/>
  <c r="F737" i="10"/>
  <c r="E737" i="10"/>
  <c r="I736" i="10"/>
  <c r="H736" i="10"/>
  <c r="G736" i="10"/>
  <c r="F736" i="10"/>
  <c r="E736" i="10"/>
  <c r="I735" i="10"/>
  <c r="H735" i="10"/>
  <c r="G735" i="10"/>
  <c r="F735" i="10"/>
  <c r="E735" i="10"/>
  <c r="I734" i="10"/>
  <c r="H734" i="10"/>
  <c r="G734" i="10"/>
  <c r="F734" i="10"/>
  <c r="E734" i="10"/>
  <c r="I733" i="10"/>
  <c r="H733" i="10"/>
  <c r="G733" i="10"/>
  <c r="F733" i="10"/>
  <c r="E733" i="10"/>
  <c r="I732" i="10"/>
  <c r="H732" i="10"/>
  <c r="G732" i="10"/>
  <c r="F732" i="10"/>
  <c r="E732" i="10"/>
  <c r="I731" i="10"/>
  <c r="H731" i="10"/>
  <c r="G731" i="10"/>
  <c r="F731" i="10"/>
  <c r="E731" i="10"/>
  <c r="I730" i="10"/>
  <c r="H730" i="10"/>
  <c r="G730" i="10"/>
  <c r="F730" i="10"/>
  <c r="E730" i="10"/>
  <c r="I729" i="10"/>
  <c r="H729" i="10"/>
  <c r="G729" i="10"/>
  <c r="F729" i="10"/>
  <c r="E729" i="10"/>
  <c r="I728" i="10"/>
  <c r="H728" i="10"/>
  <c r="G728" i="10"/>
  <c r="F728" i="10"/>
  <c r="E728" i="10"/>
  <c r="I727" i="10"/>
  <c r="H727" i="10"/>
  <c r="G727" i="10"/>
  <c r="F727" i="10"/>
  <c r="E727" i="10"/>
  <c r="I726" i="10"/>
  <c r="H726" i="10"/>
  <c r="G726" i="10"/>
  <c r="F726" i="10"/>
  <c r="E726" i="10"/>
  <c r="I725" i="10"/>
  <c r="H725" i="10"/>
  <c r="G725" i="10"/>
  <c r="F725" i="10"/>
  <c r="E725" i="10"/>
  <c r="I724" i="10"/>
  <c r="H724" i="10"/>
  <c r="G724" i="10"/>
  <c r="F724" i="10"/>
  <c r="E724" i="10"/>
  <c r="I723" i="10"/>
  <c r="H723" i="10"/>
  <c r="G723" i="10"/>
  <c r="F723" i="10"/>
  <c r="E723" i="10"/>
  <c r="I722" i="10"/>
  <c r="H722" i="10"/>
  <c r="G722" i="10"/>
  <c r="F722" i="10"/>
  <c r="E722" i="10"/>
  <c r="I721" i="10"/>
  <c r="H721" i="10"/>
  <c r="G721" i="10"/>
  <c r="F721" i="10"/>
  <c r="E721" i="10"/>
  <c r="I720" i="10"/>
  <c r="H720" i="10"/>
  <c r="G720" i="10"/>
  <c r="F720" i="10"/>
  <c r="E720" i="10"/>
  <c r="I719" i="10"/>
  <c r="H719" i="10"/>
  <c r="G719" i="10"/>
  <c r="F719" i="10"/>
  <c r="E719" i="10"/>
  <c r="I718" i="10"/>
  <c r="H718" i="10"/>
  <c r="G718" i="10"/>
  <c r="F718" i="10"/>
  <c r="E718" i="10"/>
  <c r="I717" i="10"/>
  <c r="H717" i="10"/>
  <c r="G717" i="10"/>
  <c r="F717" i="10"/>
  <c r="E717" i="10"/>
  <c r="I716" i="10"/>
  <c r="H716" i="10"/>
  <c r="G716" i="10"/>
  <c r="F716" i="10"/>
  <c r="E716" i="10"/>
  <c r="I715" i="10"/>
  <c r="H715" i="10"/>
  <c r="G715" i="10"/>
  <c r="F715" i="10"/>
  <c r="E715" i="10"/>
  <c r="I714" i="10"/>
  <c r="H714" i="10"/>
  <c r="G714" i="10"/>
  <c r="F714" i="10"/>
  <c r="E714" i="10"/>
  <c r="I713" i="10"/>
  <c r="H713" i="10"/>
  <c r="G713" i="10"/>
  <c r="F713" i="10"/>
  <c r="E713" i="10"/>
  <c r="I712" i="10"/>
  <c r="H712" i="10"/>
  <c r="G712" i="10"/>
  <c r="F712" i="10"/>
  <c r="E712" i="10"/>
  <c r="I711" i="10"/>
  <c r="H711" i="10"/>
  <c r="G711" i="10"/>
  <c r="F711" i="10"/>
  <c r="E711" i="10"/>
  <c r="I710" i="10"/>
  <c r="H710" i="10"/>
  <c r="G710" i="10"/>
  <c r="F710" i="10"/>
  <c r="E710" i="10"/>
  <c r="I709" i="10"/>
  <c r="H709" i="10"/>
  <c r="G709" i="10"/>
  <c r="F709" i="10"/>
  <c r="E709" i="10"/>
  <c r="I708" i="10"/>
  <c r="H708" i="10"/>
  <c r="G708" i="10"/>
  <c r="F708" i="10"/>
  <c r="E708" i="10"/>
  <c r="I707" i="10"/>
  <c r="H707" i="10"/>
  <c r="G707" i="10"/>
  <c r="F707" i="10"/>
  <c r="E707" i="10"/>
  <c r="I706" i="10"/>
  <c r="H706" i="10"/>
  <c r="G706" i="10"/>
  <c r="F706" i="10"/>
  <c r="E706" i="10"/>
  <c r="I705" i="10"/>
  <c r="H705" i="10"/>
  <c r="G705" i="10"/>
  <c r="F705" i="10"/>
  <c r="E705" i="10"/>
  <c r="I704" i="10"/>
  <c r="H704" i="10"/>
  <c r="G704" i="10"/>
  <c r="F704" i="10"/>
  <c r="E704" i="10"/>
  <c r="I703" i="10"/>
  <c r="H703" i="10"/>
  <c r="G703" i="10"/>
  <c r="F703" i="10"/>
  <c r="E703" i="10"/>
  <c r="I702" i="10"/>
  <c r="H702" i="10"/>
  <c r="G702" i="10"/>
  <c r="F702" i="10"/>
  <c r="E702" i="10"/>
  <c r="I701" i="10"/>
  <c r="H701" i="10"/>
  <c r="G701" i="10"/>
  <c r="F701" i="10"/>
  <c r="E701" i="10"/>
  <c r="I700" i="10"/>
  <c r="H700" i="10"/>
  <c r="G700" i="10"/>
  <c r="F700" i="10"/>
  <c r="E700" i="10"/>
  <c r="I699" i="10"/>
  <c r="H699" i="10"/>
  <c r="G699" i="10"/>
  <c r="F699" i="10"/>
  <c r="E699" i="10"/>
  <c r="I698" i="10"/>
  <c r="H698" i="10"/>
  <c r="G698" i="10"/>
  <c r="F698" i="10"/>
  <c r="E698" i="10"/>
  <c r="I697" i="10"/>
  <c r="H697" i="10"/>
  <c r="G697" i="10"/>
  <c r="F697" i="10"/>
  <c r="E697" i="10"/>
  <c r="I696" i="10"/>
  <c r="H696" i="10"/>
  <c r="G696" i="10"/>
  <c r="F696" i="10"/>
  <c r="E696" i="10"/>
  <c r="I695" i="10"/>
  <c r="H695" i="10"/>
  <c r="G695" i="10"/>
  <c r="F695" i="10"/>
  <c r="E695" i="10"/>
  <c r="I694" i="10"/>
  <c r="H694" i="10"/>
  <c r="G694" i="10"/>
  <c r="F694" i="10"/>
  <c r="E694" i="10"/>
  <c r="I693" i="10"/>
  <c r="H693" i="10"/>
  <c r="G693" i="10"/>
  <c r="F693" i="10"/>
  <c r="E693" i="10"/>
  <c r="I692" i="10"/>
  <c r="H692" i="10"/>
  <c r="G692" i="10"/>
  <c r="F692" i="10"/>
  <c r="E692" i="10"/>
  <c r="I691" i="10"/>
  <c r="H691" i="10"/>
  <c r="G691" i="10"/>
  <c r="F691" i="10"/>
  <c r="E691" i="10"/>
  <c r="I690" i="10"/>
  <c r="H690" i="10"/>
  <c r="G690" i="10"/>
  <c r="F690" i="10"/>
  <c r="E690" i="10"/>
  <c r="I689" i="10"/>
  <c r="H689" i="10"/>
  <c r="G689" i="10"/>
  <c r="F689" i="10"/>
  <c r="E689" i="10"/>
  <c r="I688" i="10"/>
  <c r="H688" i="10"/>
  <c r="G688" i="10"/>
  <c r="F688" i="10"/>
  <c r="E688" i="10"/>
  <c r="I687" i="10"/>
  <c r="H687" i="10"/>
  <c r="G687" i="10"/>
  <c r="F687" i="10"/>
  <c r="E687" i="10"/>
  <c r="I686" i="10"/>
  <c r="H686" i="10"/>
  <c r="G686" i="10"/>
  <c r="F686" i="10"/>
  <c r="E686" i="10"/>
  <c r="I685" i="10"/>
  <c r="H685" i="10"/>
  <c r="G685" i="10"/>
  <c r="F685" i="10"/>
  <c r="E685" i="10"/>
  <c r="I684" i="10"/>
  <c r="H684" i="10"/>
  <c r="G684" i="10"/>
  <c r="F684" i="10"/>
  <c r="E684" i="10"/>
  <c r="I683" i="10"/>
  <c r="H683" i="10"/>
  <c r="G683" i="10"/>
  <c r="F683" i="10"/>
  <c r="E683" i="10"/>
  <c r="I682" i="10"/>
  <c r="H682" i="10"/>
  <c r="G682" i="10"/>
  <c r="F682" i="10"/>
  <c r="E682" i="10"/>
  <c r="I681" i="10"/>
  <c r="H681" i="10"/>
  <c r="G681" i="10"/>
  <c r="F681" i="10"/>
  <c r="E681" i="10"/>
  <c r="I680" i="10"/>
  <c r="H680" i="10"/>
  <c r="G680" i="10"/>
  <c r="F680" i="10"/>
  <c r="E680" i="10"/>
  <c r="I679" i="10"/>
  <c r="H679" i="10"/>
  <c r="G679" i="10"/>
  <c r="F679" i="10"/>
  <c r="E679" i="10"/>
  <c r="I678" i="10"/>
  <c r="H678" i="10"/>
  <c r="G678" i="10"/>
  <c r="F678" i="10"/>
  <c r="E678" i="10"/>
  <c r="I677" i="10"/>
  <c r="H677" i="10"/>
  <c r="G677" i="10"/>
  <c r="F677" i="10"/>
  <c r="E677" i="10"/>
  <c r="I676" i="10"/>
  <c r="H676" i="10"/>
  <c r="G676" i="10"/>
  <c r="F676" i="10"/>
  <c r="E676" i="10"/>
  <c r="I675" i="10"/>
  <c r="H675" i="10"/>
  <c r="G675" i="10"/>
  <c r="F675" i="10"/>
  <c r="E675" i="10"/>
  <c r="I674" i="10"/>
  <c r="H674" i="10"/>
  <c r="G674" i="10"/>
  <c r="F674" i="10"/>
  <c r="E674" i="10"/>
  <c r="I673" i="10"/>
  <c r="H673" i="10"/>
  <c r="G673" i="10"/>
  <c r="F673" i="10"/>
  <c r="E673" i="10"/>
  <c r="I672" i="10"/>
  <c r="H672" i="10"/>
  <c r="G672" i="10"/>
  <c r="F672" i="10"/>
  <c r="E672" i="10"/>
  <c r="I671" i="10"/>
  <c r="H671" i="10"/>
  <c r="G671" i="10"/>
  <c r="F671" i="10"/>
  <c r="E671" i="10"/>
  <c r="I670" i="10"/>
  <c r="H670" i="10"/>
  <c r="G670" i="10"/>
  <c r="F670" i="10"/>
  <c r="E670" i="10"/>
  <c r="I669" i="10"/>
  <c r="H669" i="10"/>
  <c r="G669" i="10"/>
  <c r="F669" i="10"/>
  <c r="E669" i="10"/>
  <c r="I668" i="10"/>
  <c r="H668" i="10"/>
  <c r="G668" i="10"/>
  <c r="F668" i="10"/>
  <c r="E668" i="10"/>
  <c r="I667" i="10"/>
  <c r="H667" i="10"/>
  <c r="G667" i="10"/>
  <c r="F667" i="10"/>
  <c r="E667" i="10"/>
  <c r="I666" i="10"/>
  <c r="H666" i="10"/>
  <c r="G666" i="10"/>
  <c r="F666" i="10"/>
  <c r="E666" i="10"/>
  <c r="I665" i="10"/>
  <c r="H665" i="10"/>
  <c r="G665" i="10"/>
  <c r="F665" i="10"/>
  <c r="E665" i="10"/>
  <c r="I664" i="10"/>
  <c r="H664" i="10"/>
  <c r="G664" i="10"/>
  <c r="F664" i="10"/>
  <c r="E664" i="10"/>
  <c r="I663" i="10"/>
  <c r="H663" i="10"/>
  <c r="G663" i="10"/>
  <c r="F663" i="10"/>
  <c r="E663" i="10"/>
  <c r="I662" i="10"/>
  <c r="H662" i="10"/>
  <c r="G662" i="10"/>
  <c r="F662" i="10"/>
  <c r="E662" i="10"/>
  <c r="I661" i="10"/>
  <c r="H661" i="10"/>
  <c r="G661" i="10"/>
  <c r="F661" i="10"/>
  <c r="E661" i="10"/>
  <c r="I660" i="10"/>
  <c r="H660" i="10"/>
  <c r="G660" i="10"/>
  <c r="F660" i="10"/>
  <c r="E660" i="10"/>
  <c r="I659" i="10"/>
  <c r="H659" i="10"/>
  <c r="G659" i="10"/>
  <c r="F659" i="10"/>
  <c r="E659" i="10"/>
  <c r="I658" i="10"/>
  <c r="H658" i="10"/>
  <c r="G658" i="10"/>
  <c r="F658" i="10"/>
  <c r="E658" i="10"/>
  <c r="I657" i="10"/>
  <c r="H657" i="10"/>
  <c r="G657" i="10"/>
  <c r="F657" i="10"/>
  <c r="E657" i="10"/>
  <c r="I656" i="10"/>
  <c r="H656" i="10"/>
  <c r="G656" i="10"/>
  <c r="F656" i="10"/>
  <c r="E656" i="10"/>
  <c r="I655" i="10"/>
  <c r="H655" i="10"/>
  <c r="G655" i="10"/>
  <c r="F655" i="10"/>
  <c r="E655" i="10"/>
  <c r="I654" i="10"/>
  <c r="H654" i="10"/>
  <c r="G654" i="10"/>
  <c r="F654" i="10"/>
  <c r="E654" i="10"/>
  <c r="I653" i="10"/>
  <c r="H653" i="10"/>
  <c r="G653" i="10"/>
  <c r="F653" i="10"/>
  <c r="E653" i="10"/>
  <c r="I652" i="10"/>
  <c r="H652" i="10"/>
  <c r="G652" i="10"/>
  <c r="F652" i="10"/>
  <c r="E652" i="10"/>
  <c r="I651" i="10"/>
  <c r="H651" i="10"/>
  <c r="G651" i="10"/>
  <c r="F651" i="10"/>
  <c r="E651" i="10"/>
  <c r="I650" i="10"/>
  <c r="H650" i="10"/>
  <c r="G650" i="10"/>
  <c r="F650" i="10"/>
  <c r="E650" i="10"/>
  <c r="I649" i="10"/>
  <c r="H649" i="10"/>
  <c r="G649" i="10"/>
  <c r="F649" i="10"/>
  <c r="E649" i="10"/>
  <c r="I648" i="10"/>
  <c r="H648" i="10"/>
  <c r="G648" i="10"/>
  <c r="F648" i="10"/>
  <c r="E648" i="10"/>
  <c r="I647" i="10"/>
  <c r="H647" i="10"/>
  <c r="G647" i="10"/>
  <c r="F647" i="10"/>
  <c r="E647" i="10"/>
  <c r="I646" i="10"/>
  <c r="H646" i="10"/>
  <c r="G646" i="10"/>
  <c r="F646" i="10"/>
  <c r="E646" i="10"/>
  <c r="I645" i="10"/>
  <c r="H645" i="10"/>
  <c r="G645" i="10"/>
  <c r="F645" i="10"/>
  <c r="E645" i="10"/>
  <c r="I644" i="10"/>
  <c r="H644" i="10"/>
  <c r="G644" i="10"/>
  <c r="F644" i="10"/>
  <c r="E644" i="10"/>
  <c r="I643" i="10"/>
  <c r="H643" i="10"/>
  <c r="G643" i="10"/>
  <c r="F643" i="10"/>
  <c r="E643" i="10"/>
  <c r="I642" i="10"/>
  <c r="H642" i="10"/>
  <c r="G642" i="10"/>
  <c r="F642" i="10"/>
  <c r="E642" i="10"/>
  <c r="I641" i="10"/>
  <c r="H641" i="10"/>
  <c r="G641" i="10"/>
  <c r="F641" i="10"/>
  <c r="E641" i="10"/>
  <c r="I640" i="10"/>
  <c r="H640" i="10"/>
  <c r="G640" i="10"/>
  <c r="F640" i="10"/>
  <c r="E640" i="10"/>
  <c r="I639" i="10"/>
  <c r="H639" i="10"/>
  <c r="G639" i="10"/>
  <c r="F639" i="10"/>
  <c r="E639" i="10"/>
  <c r="I638" i="10"/>
  <c r="H638" i="10"/>
  <c r="G638" i="10"/>
  <c r="F638" i="10"/>
  <c r="E638" i="10"/>
  <c r="I637" i="10"/>
  <c r="H637" i="10"/>
  <c r="G637" i="10"/>
  <c r="F637" i="10"/>
  <c r="E637" i="10"/>
  <c r="I636" i="10"/>
  <c r="H636" i="10"/>
  <c r="G636" i="10"/>
  <c r="F636" i="10"/>
  <c r="E636" i="10"/>
  <c r="I635" i="10"/>
  <c r="H635" i="10"/>
  <c r="G635" i="10"/>
  <c r="F635" i="10"/>
  <c r="E635" i="10"/>
  <c r="I634" i="10"/>
  <c r="H634" i="10"/>
  <c r="G634" i="10"/>
  <c r="F634" i="10"/>
  <c r="E634" i="10"/>
  <c r="I633" i="10"/>
  <c r="H633" i="10"/>
  <c r="G633" i="10"/>
  <c r="F633" i="10"/>
  <c r="E633" i="10"/>
  <c r="I632" i="10"/>
  <c r="H632" i="10"/>
  <c r="G632" i="10"/>
  <c r="F632" i="10"/>
  <c r="E632" i="10"/>
  <c r="I631" i="10"/>
  <c r="H631" i="10"/>
  <c r="G631" i="10"/>
  <c r="F631" i="10"/>
  <c r="E631" i="10"/>
  <c r="I630" i="10"/>
  <c r="H630" i="10"/>
  <c r="G630" i="10"/>
  <c r="F630" i="10"/>
  <c r="E630" i="10"/>
  <c r="I629" i="10"/>
  <c r="H629" i="10"/>
  <c r="G629" i="10"/>
  <c r="F629" i="10"/>
  <c r="E629" i="10"/>
  <c r="I628" i="10"/>
  <c r="H628" i="10"/>
  <c r="G628" i="10"/>
  <c r="F628" i="10"/>
  <c r="E628" i="10"/>
  <c r="I627" i="10"/>
  <c r="H627" i="10"/>
  <c r="G627" i="10"/>
  <c r="F627" i="10"/>
  <c r="E627" i="10"/>
  <c r="I626" i="10"/>
  <c r="H626" i="10"/>
  <c r="G626" i="10"/>
  <c r="F626" i="10"/>
  <c r="E626" i="10"/>
  <c r="I625" i="10"/>
  <c r="H625" i="10"/>
  <c r="G625" i="10"/>
  <c r="F625" i="10"/>
  <c r="E625" i="10"/>
  <c r="I624" i="10"/>
  <c r="H624" i="10"/>
  <c r="G624" i="10"/>
  <c r="F624" i="10"/>
  <c r="E624" i="10"/>
  <c r="I623" i="10"/>
  <c r="H623" i="10"/>
  <c r="G623" i="10"/>
  <c r="F623" i="10"/>
  <c r="E623" i="10"/>
  <c r="I622" i="10"/>
  <c r="H622" i="10"/>
  <c r="G622" i="10"/>
  <c r="F622" i="10"/>
  <c r="E622" i="10"/>
  <c r="I621" i="10"/>
  <c r="H621" i="10"/>
  <c r="G621" i="10"/>
  <c r="F621" i="10"/>
  <c r="E621" i="10"/>
  <c r="I620" i="10"/>
  <c r="H620" i="10"/>
  <c r="G620" i="10"/>
  <c r="F620" i="10"/>
  <c r="E620" i="10"/>
  <c r="I619" i="10"/>
  <c r="H619" i="10"/>
  <c r="G619" i="10"/>
  <c r="F619" i="10"/>
  <c r="E619" i="10"/>
  <c r="I618" i="10"/>
  <c r="H618" i="10"/>
  <c r="G618" i="10"/>
  <c r="F618" i="10"/>
  <c r="E618" i="10"/>
  <c r="I617" i="10"/>
  <c r="H617" i="10"/>
  <c r="G617" i="10"/>
  <c r="F617" i="10"/>
  <c r="E617" i="10"/>
  <c r="I616" i="10"/>
  <c r="H616" i="10"/>
  <c r="G616" i="10"/>
  <c r="F616" i="10"/>
  <c r="E616" i="10"/>
  <c r="I615" i="10"/>
  <c r="H615" i="10"/>
  <c r="G615" i="10"/>
  <c r="F615" i="10"/>
  <c r="E615" i="10"/>
  <c r="I614" i="10"/>
  <c r="H614" i="10"/>
  <c r="G614" i="10"/>
  <c r="F614" i="10"/>
  <c r="E614" i="10"/>
  <c r="I613" i="10"/>
  <c r="H613" i="10"/>
  <c r="G613" i="10"/>
  <c r="F613" i="10"/>
  <c r="E613" i="10"/>
  <c r="I612" i="10"/>
  <c r="H612" i="10"/>
  <c r="G612" i="10"/>
  <c r="F612" i="10"/>
  <c r="E612" i="10"/>
  <c r="I611" i="10"/>
  <c r="H611" i="10"/>
  <c r="G611" i="10"/>
  <c r="F611" i="10"/>
  <c r="E611" i="10"/>
  <c r="I610" i="10"/>
  <c r="H610" i="10"/>
  <c r="G610" i="10"/>
  <c r="F610" i="10"/>
  <c r="E610" i="10"/>
  <c r="I609" i="10"/>
  <c r="H609" i="10"/>
  <c r="G609" i="10"/>
  <c r="F609" i="10"/>
  <c r="E609" i="10"/>
  <c r="I608" i="10"/>
  <c r="H608" i="10"/>
  <c r="G608" i="10"/>
  <c r="F608" i="10"/>
  <c r="E608" i="10"/>
  <c r="I607" i="10"/>
  <c r="H607" i="10"/>
  <c r="G607" i="10"/>
  <c r="F607" i="10"/>
  <c r="E607" i="10"/>
  <c r="I606" i="10"/>
  <c r="H606" i="10"/>
  <c r="G606" i="10"/>
  <c r="F606" i="10"/>
  <c r="E606" i="10"/>
  <c r="I605" i="10"/>
  <c r="H605" i="10"/>
  <c r="G605" i="10"/>
  <c r="F605" i="10"/>
  <c r="E605" i="10"/>
  <c r="I604" i="10"/>
  <c r="H604" i="10"/>
  <c r="G604" i="10"/>
  <c r="F604" i="10"/>
  <c r="E604" i="10"/>
  <c r="I603" i="10"/>
  <c r="H603" i="10"/>
  <c r="G603" i="10"/>
  <c r="F603" i="10"/>
  <c r="E603" i="10"/>
  <c r="I602" i="10"/>
  <c r="H602" i="10"/>
  <c r="G602" i="10"/>
  <c r="F602" i="10"/>
  <c r="E602" i="10"/>
  <c r="I601" i="10"/>
  <c r="H601" i="10"/>
  <c r="G601" i="10"/>
  <c r="F601" i="10"/>
  <c r="E601" i="10"/>
  <c r="I600" i="10"/>
  <c r="H600" i="10"/>
  <c r="G600" i="10"/>
  <c r="F600" i="10"/>
  <c r="E600" i="10"/>
  <c r="I599" i="10"/>
  <c r="H599" i="10"/>
  <c r="G599" i="10"/>
  <c r="F599" i="10"/>
  <c r="E599" i="10"/>
  <c r="I598" i="10"/>
  <c r="H598" i="10"/>
  <c r="G598" i="10"/>
  <c r="F598" i="10"/>
  <c r="E598" i="10"/>
  <c r="I597" i="10"/>
  <c r="H597" i="10"/>
  <c r="G597" i="10"/>
  <c r="F597" i="10"/>
  <c r="E597" i="10"/>
  <c r="I596" i="10"/>
  <c r="H596" i="10"/>
  <c r="G596" i="10"/>
  <c r="F596" i="10"/>
  <c r="E596" i="10"/>
  <c r="I595" i="10"/>
  <c r="H595" i="10"/>
  <c r="G595" i="10"/>
  <c r="F595" i="10"/>
  <c r="E595" i="10"/>
  <c r="I594" i="10"/>
  <c r="H594" i="10"/>
  <c r="G594" i="10"/>
  <c r="F594" i="10"/>
  <c r="E594" i="10"/>
  <c r="I593" i="10"/>
  <c r="H593" i="10"/>
  <c r="G593" i="10"/>
  <c r="F593" i="10"/>
  <c r="E593" i="10"/>
  <c r="I592" i="10"/>
  <c r="H592" i="10"/>
  <c r="G592" i="10"/>
  <c r="F592" i="10"/>
  <c r="E592" i="10"/>
  <c r="I591" i="10"/>
  <c r="H591" i="10"/>
  <c r="G591" i="10"/>
  <c r="F591" i="10"/>
  <c r="E591" i="10"/>
  <c r="I590" i="10"/>
  <c r="H590" i="10"/>
  <c r="G590" i="10"/>
  <c r="F590" i="10"/>
  <c r="E590" i="10"/>
  <c r="I589" i="10"/>
  <c r="H589" i="10"/>
  <c r="G589" i="10"/>
  <c r="F589" i="10"/>
  <c r="E589" i="10"/>
  <c r="I588" i="10"/>
  <c r="H588" i="10"/>
  <c r="G588" i="10"/>
  <c r="F588" i="10"/>
  <c r="E588" i="10"/>
  <c r="I587" i="10"/>
  <c r="H587" i="10"/>
  <c r="G587" i="10"/>
  <c r="F587" i="10"/>
  <c r="E587" i="10"/>
  <c r="I586" i="10"/>
  <c r="H586" i="10"/>
  <c r="G586" i="10"/>
  <c r="F586" i="10"/>
  <c r="E586" i="10"/>
  <c r="I585" i="10"/>
  <c r="H585" i="10"/>
  <c r="G585" i="10"/>
  <c r="F585" i="10"/>
  <c r="E585" i="10"/>
  <c r="I584" i="10"/>
  <c r="H584" i="10"/>
  <c r="G584" i="10"/>
  <c r="F584" i="10"/>
  <c r="E584" i="10"/>
  <c r="I583" i="10"/>
  <c r="H583" i="10"/>
  <c r="G583" i="10"/>
  <c r="F583" i="10"/>
  <c r="E583" i="10"/>
  <c r="I582" i="10"/>
  <c r="H582" i="10"/>
  <c r="G582" i="10"/>
  <c r="F582" i="10"/>
  <c r="E582" i="10"/>
  <c r="I581" i="10"/>
  <c r="H581" i="10"/>
  <c r="G581" i="10"/>
  <c r="F581" i="10"/>
  <c r="E581" i="10"/>
  <c r="I580" i="10"/>
  <c r="H580" i="10"/>
  <c r="G580" i="10"/>
  <c r="F580" i="10"/>
  <c r="E580" i="10"/>
  <c r="I579" i="10"/>
  <c r="H579" i="10"/>
  <c r="G579" i="10"/>
  <c r="F579" i="10"/>
  <c r="E579" i="10"/>
  <c r="I578" i="10"/>
  <c r="H578" i="10"/>
  <c r="G578" i="10"/>
  <c r="F578" i="10"/>
  <c r="E578" i="10"/>
  <c r="I577" i="10"/>
  <c r="H577" i="10"/>
  <c r="G577" i="10"/>
  <c r="F577" i="10"/>
  <c r="E577" i="10"/>
  <c r="I576" i="10"/>
  <c r="H576" i="10"/>
  <c r="G576" i="10"/>
  <c r="F576" i="10"/>
  <c r="E576" i="10"/>
  <c r="I575" i="10"/>
  <c r="H575" i="10"/>
  <c r="G575" i="10"/>
  <c r="F575" i="10"/>
  <c r="E575" i="10"/>
  <c r="I574" i="10"/>
  <c r="H574" i="10"/>
  <c r="G574" i="10"/>
  <c r="F574" i="10"/>
  <c r="E574" i="10"/>
  <c r="I573" i="10"/>
  <c r="H573" i="10"/>
  <c r="G573" i="10"/>
  <c r="F573" i="10"/>
  <c r="E573" i="10"/>
  <c r="I572" i="10"/>
  <c r="H572" i="10"/>
  <c r="G572" i="10"/>
  <c r="F572" i="10"/>
  <c r="E572" i="10"/>
  <c r="I571" i="10"/>
  <c r="H571" i="10"/>
  <c r="G571" i="10"/>
  <c r="F571" i="10"/>
  <c r="E571" i="10"/>
  <c r="I570" i="10"/>
  <c r="H570" i="10"/>
  <c r="G570" i="10"/>
  <c r="F570" i="10"/>
  <c r="E570" i="10"/>
  <c r="I569" i="10"/>
  <c r="H569" i="10"/>
  <c r="G569" i="10"/>
  <c r="F569" i="10"/>
  <c r="E569" i="10"/>
  <c r="I568" i="10"/>
  <c r="H568" i="10"/>
  <c r="G568" i="10"/>
  <c r="F568" i="10"/>
  <c r="E568" i="10"/>
  <c r="I567" i="10"/>
  <c r="H567" i="10"/>
  <c r="G567" i="10"/>
  <c r="F567" i="10"/>
  <c r="E567" i="10"/>
  <c r="I566" i="10"/>
  <c r="H566" i="10"/>
  <c r="G566" i="10"/>
  <c r="F566" i="10"/>
  <c r="E566" i="10"/>
  <c r="I565" i="10"/>
  <c r="H565" i="10"/>
  <c r="G565" i="10"/>
  <c r="F565" i="10"/>
  <c r="E565" i="10"/>
  <c r="I564" i="10"/>
  <c r="H564" i="10"/>
  <c r="G564" i="10"/>
  <c r="F564" i="10"/>
  <c r="E564" i="10"/>
  <c r="I563" i="10"/>
  <c r="H563" i="10"/>
  <c r="G563" i="10"/>
  <c r="F563" i="10"/>
  <c r="E563" i="10"/>
  <c r="I562" i="10"/>
  <c r="H562" i="10"/>
  <c r="G562" i="10"/>
  <c r="F562" i="10"/>
  <c r="E562" i="10"/>
  <c r="I561" i="10"/>
  <c r="H561" i="10"/>
  <c r="G561" i="10"/>
  <c r="F561" i="10"/>
  <c r="E561" i="10"/>
  <c r="I560" i="10"/>
  <c r="H560" i="10"/>
  <c r="G560" i="10"/>
  <c r="F560" i="10"/>
  <c r="E560" i="10"/>
  <c r="I559" i="10"/>
  <c r="H559" i="10"/>
  <c r="G559" i="10"/>
  <c r="F559" i="10"/>
  <c r="E559" i="10"/>
  <c r="I558" i="10"/>
  <c r="H558" i="10"/>
  <c r="G558" i="10"/>
  <c r="F558" i="10"/>
  <c r="E558" i="10"/>
  <c r="I557" i="10"/>
  <c r="H557" i="10"/>
  <c r="G557" i="10"/>
  <c r="F557" i="10"/>
  <c r="E557" i="10"/>
  <c r="I556" i="10"/>
  <c r="H556" i="10"/>
  <c r="G556" i="10"/>
  <c r="F556" i="10"/>
  <c r="E556" i="10"/>
  <c r="I555" i="10"/>
  <c r="H555" i="10"/>
  <c r="G555" i="10"/>
  <c r="F555" i="10"/>
  <c r="E555" i="10"/>
  <c r="I554" i="10"/>
  <c r="H554" i="10"/>
  <c r="G554" i="10"/>
  <c r="F554" i="10"/>
  <c r="E554" i="10"/>
  <c r="I553" i="10"/>
  <c r="H553" i="10"/>
  <c r="G553" i="10"/>
  <c r="F553" i="10"/>
  <c r="E553" i="10"/>
  <c r="I552" i="10"/>
  <c r="H552" i="10"/>
  <c r="G552" i="10"/>
  <c r="F552" i="10"/>
  <c r="E552" i="10"/>
  <c r="I551" i="10"/>
  <c r="H551" i="10"/>
  <c r="G551" i="10"/>
  <c r="F551" i="10"/>
  <c r="E551" i="10"/>
  <c r="I550" i="10"/>
  <c r="H550" i="10"/>
  <c r="G550" i="10"/>
  <c r="F550" i="10"/>
  <c r="E550" i="10"/>
  <c r="I549" i="10"/>
  <c r="H549" i="10"/>
  <c r="G549" i="10"/>
  <c r="F549" i="10"/>
  <c r="E549" i="10"/>
  <c r="I548" i="10"/>
  <c r="H548" i="10"/>
  <c r="G548" i="10"/>
  <c r="F548" i="10"/>
  <c r="E548" i="10"/>
  <c r="I547" i="10"/>
  <c r="H547" i="10"/>
  <c r="G547" i="10"/>
  <c r="F547" i="10"/>
  <c r="E547" i="10"/>
  <c r="I546" i="10"/>
  <c r="H546" i="10"/>
  <c r="G546" i="10"/>
  <c r="F546" i="10"/>
  <c r="E546" i="10"/>
  <c r="I545" i="10"/>
  <c r="H545" i="10"/>
  <c r="G545" i="10"/>
  <c r="F545" i="10"/>
  <c r="E545" i="10"/>
  <c r="I544" i="10"/>
  <c r="H544" i="10"/>
  <c r="G544" i="10"/>
  <c r="F544" i="10"/>
  <c r="E544" i="10"/>
  <c r="I543" i="10"/>
  <c r="H543" i="10"/>
  <c r="G543" i="10"/>
  <c r="F543" i="10"/>
  <c r="E543" i="10"/>
  <c r="I542" i="10"/>
  <c r="H542" i="10"/>
  <c r="G542" i="10"/>
  <c r="F542" i="10"/>
  <c r="E542" i="10"/>
  <c r="I541" i="10"/>
  <c r="H541" i="10"/>
  <c r="G541" i="10"/>
  <c r="F541" i="10"/>
  <c r="E541" i="10"/>
  <c r="I540" i="10"/>
  <c r="H540" i="10"/>
  <c r="G540" i="10"/>
  <c r="F540" i="10"/>
  <c r="E540" i="10"/>
  <c r="I539" i="10"/>
  <c r="H539" i="10"/>
  <c r="G539" i="10"/>
  <c r="F539" i="10"/>
  <c r="E539" i="10"/>
  <c r="I538" i="10"/>
  <c r="H538" i="10"/>
  <c r="G538" i="10"/>
  <c r="F538" i="10"/>
  <c r="E538" i="10"/>
  <c r="I537" i="10"/>
  <c r="H537" i="10"/>
  <c r="G537" i="10"/>
  <c r="F537" i="10"/>
  <c r="E537" i="10"/>
  <c r="I536" i="10"/>
  <c r="H536" i="10"/>
  <c r="G536" i="10"/>
  <c r="F536" i="10"/>
  <c r="E536" i="10"/>
  <c r="I535" i="10"/>
  <c r="H535" i="10"/>
  <c r="G535" i="10"/>
  <c r="F535" i="10"/>
  <c r="E535" i="10"/>
  <c r="I534" i="10"/>
  <c r="H534" i="10"/>
  <c r="G534" i="10"/>
  <c r="F534" i="10"/>
  <c r="E534" i="10"/>
  <c r="I533" i="10"/>
  <c r="H533" i="10"/>
  <c r="G533" i="10"/>
  <c r="F533" i="10"/>
  <c r="E533" i="10"/>
  <c r="I532" i="10"/>
  <c r="H532" i="10"/>
  <c r="G532" i="10"/>
  <c r="F532" i="10"/>
  <c r="E532" i="10"/>
  <c r="I531" i="10"/>
  <c r="H531" i="10"/>
  <c r="G531" i="10"/>
  <c r="F531" i="10"/>
  <c r="E531" i="10"/>
  <c r="I530" i="10"/>
  <c r="H530" i="10"/>
  <c r="G530" i="10"/>
  <c r="F530" i="10"/>
  <c r="E530" i="10"/>
  <c r="E5" i="10" a="1"/>
  <c r="E5" i="10"/>
  <c r="C5" i="10"/>
  <c r="A5" i="10"/>
  <c r="B2" i="10"/>
  <c r="E418" i="9"/>
  <c r="D418" i="9"/>
  <c r="E417" i="9"/>
  <c r="D417" i="9"/>
  <c r="E416" i="9"/>
  <c r="D416" i="9"/>
  <c r="E415" i="9"/>
  <c r="D415" i="9"/>
  <c r="E414" i="9"/>
  <c r="D414" i="9"/>
  <c r="E413" i="9"/>
  <c r="D413" i="9"/>
  <c r="E412" i="9"/>
  <c r="D412" i="9"/>
  <c r="E411" i="9"/>
  <c r="D411" i="9"/>
  <c r="E410" i="9"/>
  <c r="D410" i="9"/>
  <c r="E409" i="9"/>
  <c r="D409" i="9"/>
  <c r="E408" i="9"/>
  <c r="D408" i="9"/>
  <c r="E407" i="9"/>
  <c r="D407" i="9"/>
  <c r="E406" i="9"/>
  <c r="D406" i="9"/>
  <c r="E405" i="9"/>
  <c r="D405" i="9"/>
  <c r="E404" i="9"/>
  <c r="D404" i="9"/>
  <c r="E403" i="9"/>
  <c r="D403" i="9"/>
  <c r="E402" i="9"/>
  <c r="D402" i="9"/>
  <c r="E401" i="9"/>
  <c r="D401" i="9"/>
  <c r="E400" i="9"/>
  <c r="D400" i="9"/>
  <c r="E399" i="9"/>
  <c r="D399" i="9"/>
  <c r="E398" i="9"/>
  <c r="D398" i="9"/>
  <c r="E397" i="9"/>
  <c r="D397" i="9"/>
  <c r="E396" i="9"/>
  <c r="D396" i="9"/>
  <c r="E395" i="9"/>
  <c r="D395" i="9"/>
  <c r="E394" i="9"/>
  <c r="D394" i="9"/>
  <c r="E393" i="9"/>
  <c r="D393" i="9"/>
  <c r="E392" i="9"/>
  <c r="D392" i="9"/>
  <c r="E391" i="9"/>
  <c r="D391" i="9"/>
  <c r="E390" i="9"/>
  <c r="D390" i="9"/>
  <c r="E389" i="9"/>
  <c r="D389" i="9"/>
  <c r="E388" i="9"/>
  <c r="D388" i="9"/>
  <c r="E387" i="9"/>
  <c r="D387" i="9"/>
  <c r="E386" i="9"/>
  <c r="D386" i="9"/>
  <c r="E385" i="9"/>
  <c r="D385" i="9"/>
  <c r="E384" i="9"/>
  <c r="D384" i="9"/>
  <c r="E382" i="9"/>
  <c r="D382" i="9"/>
  <c r="E381" i="9"/>
  <c r="D381" i="9"/>
  <c r="E380" i="9"/>
  <c r="D380" i="9"/>
  <c r="E379" i="9"/>
  <c r="D379" i="9"/>
  <c r="E378" i="9"/>
  <c r="D378" i="9"/>
  <c r="E377" i="9"/>
  <c r="D377" i="9"/>
  <c r="E376" i="9"/>
  <c r="D376" i="9"/>
  <c r="E375" i="9"/>
  <c r="D375" i="9"/>
  <c r="E374" i="9"/>
  <c r="D374" i="9"/>
  <c r="E373" i="9"/>
  <c r="D373" i="9"/>
  <c r="E372" i="9"/>
  <c r="D372" i="9"/>
  <c r="E371" i="9"/>
  <c r="D371" i="9"/>
  <c r="E370" i="9"/>
  <c r="D370" i="9"/>
  <c r="E369" i="9"/>
  <c r="D369" i="9"/>
  <c r="E368" i="9"/>
  <c r="D368" i="9"/>
  <c r="E367" i="9"/>
  <c r="D367" i="9"/>
  <c r="E366" i="9"/>
  <c r="D366" i="9"/>
  <c r="E365" i="9"/>
  <c r="D365" i="9"/>
  <c r="E364" i="9"/>
  <c r="D364" i="9"/>
  <c r="E363" i="9"/>
  <c r="D363" i="9"/>
  <c r="E362" i="9"/>
  <c r="D362" i="9"/>
  <c r="E361" i="9"/>
  <c r="D361" i="9"/>
  <c r="E360" i="9"/>
  <c r="D360" i="9"/>
  <c r="E359" i="9"/>
  <c r="D359" i="9"/>
  <c r="E358" i="9"/>
  <c r="D358" i="9"/>
  <c r="E357" i="9"/>
  <c r="D357" i="9"/>
  <c r="E356" i="9"/>
  <c r="D356" i="9"/>
  <c r="E355" i="9"/>
  <c r="D355" i="9"/>
  <c r="E354" i="9"/>
  <c r="D354" i="9"/>
  <c r="E353" i="9"/>
  <c r="D353" i="9"/>
  <c r="E352" i="9"/>
  <c r="D352" i="9"/>
  <c r="E351" i="9"/>
  <c r="D351" i="9"/>
  <c r="E350" i="9"/>
  <c r="D350" i="9"/>
  <c r="E349" i="9"/>
  <c r="D349" i="9"/>
  <c r="E348" i="9"/>
  <c r="D348" i="9"/>
  <c r="E347" i="9"/>
  <c r="D347" i="9"/>
  <c r="AM182" i="8"/>
  <c r="AM181" i="8"/>
  <c r="AM180" i="8"/>
  <c r="AM179" i="8"/>
  <c r="AM178" i="8"/>
  <c r="AM177" i="8"/>
  <c r="AM176" i="8"/>
  <c r="AM175" i="8"/>
  <c r="AM174" i="8"/>
  <c r="AM173" i="8"/>
  <c r="AM172" i="8"/>
  <c r="AM171" i="8"/>
  <c r="AM170" i="8"/>
  <c r="AM169" i="8"/>
  <c r="AM168" i="8"/>
  <c r="AM167" i="8"/>
  <c r="AM166" i="8"/>
  <c r="AM165" i="8"/>
  <c r="AM164" i="8"/>
  <c r="AM163" i="8"/>
  <c r="AM162" i="8"/>
  <c r="AM161" i="8"/>
  <c r="AM160" i="8"/>
  <c r="AM159" i="8"/>
  <c r="AM158" i="8"/>
  <c r="AM157" i="8"/>
  <c r="AM156" i="8"/>
  <c r="AM155" i="8"/>
  <c r="AM154" i="8"/>
  <c r="AM153" i="8"/>
  <c r="AM152" i="8"/>
  <c r="AM151" i="8"/>
  <c r="AM150" i="8"/>
  <c r="AM149" i="8"/>
  <c r="AM148" i="8"/>
  <c r="AM147" i="8"/>
  <c r="AM146" i="8"/>
  <c r="AM145" i="8"/>
  <c r="AM144" i="8"/>
  <c r="AM143" i="8"/>
  <c r="AM142" i="8"/>
  <c r="AM141" i="8"/>
  <c r="AM140" i="8"/>
  <c r="AM139" i="8"/>
  <c r="AM138" i="8"/>
  <c r="AM137" i="8"/>
  <c r="AM136" i="8"/>
  <c r="AM135" i="8"/>
  <c r="AM134" i="8"/>
  <c r="AM133" i="8"/>
  <c r="AM132" i="8"/>
  <c r="AM131" i="8"/>
  <c r="AM130" i="8"/>
  <c r="AM129" i="8"/>
  <c r="AM128" i="8"/>
  <c r="AM127" i="8"/>
  <c r="AM126" i="8"/>
  <c r="AM125" i="8"/>
  <c r="AM124" i="8"/>
  <c r="AM123" i="8"/>
  <c r="AM122" i="8"/>
  <c r="AM121" i="8"/>
  <c r="AM120" i="8"/>
  <c r="AM119" i="8"/>
  <c r="AM118" i="8"/>
  <c r="AM117" i="8"/>
  <c r="AM116" i="8"/>
  <c r="AM115" i="8"/>
  <c r="AM114" i="8"/>
  <c r="AM113" i="8"/>
  <c r="AM112" i="8"/>
  <c r="AM111" i="8"/>
  <c r="AM110" i="8"/>
  <c r="AM109" i="8"/>
  <c r="AM108" i="8"/>
  <c r="AM107" i="8"/>
  <c r="AM106" i="8"/>
  <c r="AM105" i="8"/>
  <c r="AM104" i="8"/>
  <c r="AM103" i="8"/>
  <c r="AM102" i="8"/>
  <c r="AM101" i="8"/>
  <c r="AM100" i="8"/>
  <c r="AM99" i="8"/>
  <c r="AM98" i="8"/>
  <c r="AM97" i="8"/>
  <c r="AM96" i="8"/>
  <c r="AM95" i="8"/>
  <c r="AM94" i="8"/>
  <c r="AM93" i="8"/>
  <c r="AM92" i="8"/>
  <c r="AM91" i="8"/>
  <c r="AM89" i="8"/>
  <c r="AM88" i="8"/>
  <c r="AM87" i="8"/>
  <c r="AM86" i="8"/>
  <c r="AM85" i="8"/>
  <c r="AM84" i="8"/>
  <c r="AM83" i="8"/>
  <c r="AM82" i="8"/>
  <c r="AM81" i="8"/>
  <c r="AM80" i="8"/>
  <c r="AM79" i="8"/>
  <c r="AM78" i="8"/>
  <c r="AM77" i="8"/>
  <c r="AM76" i="8"/>
  <c r="AM75" i="8"/>
  <c r="AM74" i="8"/>
  <c r="AM73" i="8"/>
  <c r="AM7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M42" i="8"/>
  <c r="AM41" i="8"/>
  <c r="AM40" i="8"/>
  <c r="AM39" i="8"/>
  <c r="AM38" i="8"/>
  <c r="AM3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M6" i="8"/>
  <c r="AM5" i="8"/>
  <c r="I57" i="7"/>
  <c r="L3" i="7"/>
  <c r="AA1550" i="6"/>
  <c r="AA1549" i="6"/>
  <c r="AA1548" i="6"/>
  <c r="AA1547" i="6"/>
  <c r="AA1546" i="6"/>
  <c r="AA1545" i="6"/>
  <c r="AA1544" i="6"/>
  <c r="AA1543" i="6"/>
  <c r="AA1542" i="6"/>
  <c r="AA1541" i="6"/>
  <c r="AA1540" i="6"/>
  <c r="AA1539" i="6"/>
  <c r="AA1538" i="6"/>
  <c r="AA1537" i="6"/>
  <c r="AA1536" i="6"/>
  <c r="AA1535" i="6"/>
  <c r="AA1534" i="6"/>
  <c r="AA1533" i="6"/>
  <c r="AA1532" i="6"/>
  <c r="AA1531" i="6"/>
  <c r="AA1530" i="6"/>
  <c r="AA1529" i="6"/>
  <c r="AA1528" i="6"/>
  <c r="AA1527" i="6"/>
  <c r="AA1526" i="6"/>
  <c r="AA1525" i="6"/>
  <c r="AA1524" i="6"/>
  <c r="AA1523" i="6"/>
  <c r="AA1522" i="6"/>
  <c r="AA1521" i="6"/>
  <c r="AA1520" i="6"/>
  <c r="AA1519" i="6"/>
  <c r="AA1518" i="6"/>
  <c r="AA1517" i="6"/>
  <c r="AA1516" i="6"/>
  <c r="AA1515" i="6"/>
  <c r="AA1514" i="6"/>
  <c r="AA1513" i="6"/>
  <c r="AA1512" i="6"/>
  <c r="AA1511" i="6"/>
  <c r="AA1510" i="6"/>
  <c r="AA1509" i="6"/>
  <c r="AA1508" i="6"/>
  <c r="AA1507" i="6"/>
  <c r="AA1506" i="6"/>
  <c r="AA1505" i="6"/>
  <c r="AA1504" i="6"/>
  <c r="AA1503" i="6"/>
  <c r="AA1502" i="6"/>
  <c r="AA1501" i="6"/>
  <c r="AA1500" i="6"/>
  <c r="AA1499" i="6"/>
  <c r="AA1498" i="6"/>
  <c r="AA1497" i="6"/>
  <c r="AA1496" i="6"/>
  <c r="AA1495" i="6"/>
  <c r="AA1494" i="6"/>
  <c r="AA1493" i="6"/>
  <c r="AA1492" i="6"/>
  <c r="AA1491" i="6"/>
  <c r="AA1490" i="6"/>
  <c r="AA1489" i="6"/>
  <c r="AA1488" i="6"/>
  <c r="AA1487" i="6"/>
  <c r="AA1486" i="6"/>
  <c r="AA1485" i="6"/>
  <c r="AA1484" i="6"/>
  <c r="AA1483" i="6"/>
  <c r="AA1482" i="6"/>
  <c r="AA1481" i="6"/>
  <c r="AA1480" i="6"/>
  <c r="AA1479" i="6"/>
  <c r="AA1478" i="6"/>
  <c r="AA1477" i="6"/>
  <c r="AA1476" i="6"/>
  <c r="AA1475" i="6"/>
  <c r="AA1474" i="6"/>
  <c r="AA1473" i="6"/>
  <c r="AA1472" i="6"/>
  <c r="AA1471" i="6"/>
  <c r="AA1470" i="6"/>
  <c r="AA1469" i="6"/>
  <c r="AA1468" i="6"/>
  <c r="AA1467" i="6"/>
  <c r="AA1466" i="6"/>
  <c r="AA1465" i="6"/>
  <c r="AA1464" i="6"/>
  <c r="AA1463" i="6"/>
  <c r="AA1462" i="6"/>
  <c r="AA1461" i="6"/>
  <c r="AA1460" i="6"/>
  <c r="AA1459" i="6"/>
  <c r="AA1458" i="6"/>
  <c r="AA1457" i="6"/>
  <c r="AA1456" i="6"/>
  <c r="AA1455" i="6"/>
  <c r="AA1454" i="6"/>
  <c r="AA1453" i="6"/>
  <c r="AA1452" i="6"/>
  <c r="AA1451" i="6"/>
  <c r="AA1450" i="6"/>
  <c r="AA1449" i="6"/>
  <c r="AA1448" i="6"/>
  <c r="AA1447" i="6"/>
  <c r="AA1446" i="6"/>
  <c r="AA1445" i="6"/>
  <c r="AA1444" i="6"/>
  <c r="AA1443" i="6"/>
  <c r="AA1442" i="6"/>
  <c r="AA1441" i="6"/>
  <c r="AA1440" i="6"/>
  <c r="AA1439" i="6"/>
  <c r="AA1438" i="6"/>
  <c r="AA1437" i="6"/>
  <c r="AA1436" i="6"/>
  <c r="AA1435" i="6"/>
  <c r="AA1434" i="6"/>
  <c r="AA1433" i="6"/>
  <c r="AA1432" i="6"/>
  <c r="AA1431" i="6"/>
  <c r="AA1430" i="6"/>
  <c r="AA1429" i="6"/>
  <c r="AA1428" i="6"/>
  <c r="AA1427" i="6"/>
  <c r="AA1426" i="6"/>
  <c r="AA1425" i="6"/>
  <c r="AA1424" i="6"/>
  <c r="AA1423" i="6"/>
  <c r="AA1422" i="6"/>
  <c r="AA1421" i="6"/>
  <c r="AA1420" i="6"/>
  <c r="AA1419" i="6"/>
  <c r="AA1418" i="6"/>
  <c r="AA1417" i="6"/>
  <c r="AA1416" i="6"/>
  <c r="AA1415" i="6"/>
  <c r="AA1414" i="6"/>
  <c r="AA1413" i="6"/>
  <c r="AA1412" i="6"/>
  <c r="AA1411" i="6"/>
  <c r="AA1410" i="6"/>
  <c r="AA1409" i="6"/>
  <c r="AA1408" i="6"/>
  <c r="AA1407" i="6"/>
  <c r="AA1406" i="6"/>
  <c r="AA1405" i="6"/>
  <c r="AA1404" i="6"/>
  <c r="AA1403" i="6"/>
  <c r="AA1402" i="6"/>
  <c r="AA1401" i="6"/>
  <c r="AA1400" i="6"/>
  <c r="AA1399" i="6"/>
  <c r="AA1398" i="6"/>
  <c r="AA1397" i="6"/>
  <c r="AA1396" i="6"/>
  <c r="AA1395" i="6"/>
  <c r="AA1394" i="6"/>
  <c r="AA1393" i="6"/>
  <c r="AA1392" i="6"/>
  <c r="AA1391" i="6"/>
  <c r="AA1390" i="6"/>
  <c r="AA1389" i="6"/>
  <c r="AA1388" i="6"/>
  <c r="AA1387" i="6"/>
  <c r="AA1386" i="6"/>
  <c r="AA1385" i="6"/>
  <c r="AA1384" i="6"/>
  <c r="AA1383" i="6"/>
  <c r="AA1382" i="6"/>
  <c r="AA1381" i="6"/>
  <c r="AA1380" i="6"/>
  <c r="AA1379" i="6"/>
  <c r="AA1378" i="6"/>
  <c r="AA1377" i="6"/>
  <c r="AA1376" i="6"/>
  <c r="AA1375" i="6"/>
  <c r="AA1374" i="6"/>
  <c r="AA1373" i="6"/>
  <c r="AA1372" i="6"/>
  <c r="AA1371" i="6"/>
  <c r="AA1370" i="6"/>
  <c r="AA1369" i="6"/>
  <c r="AA1368" i="6"/>
  <c r="AA1367" i="6"/>
  <c r="AA1366" i="6"/>
  <c r="AA1365" i="6"/>
  <c r="AA1364" i="6"/>
  <c r="AA1363" i="6"/>
  <c r="AA1362" i="6"/>
  <c r="AA1361" i="6"/>
  <c r="AA1360" i="6"/>
  <c r="AA1359" i="6"/>
  <c r="AA1358" i="6"/>
  <c r="AA1357" i="6"/>
  <c r="AA1356" i="6"/>
  <c r="AA1355" i="6"/>
  <c r="AA1354" i="6"/>
  <c r="AA1353" i="6"/>
  <c r="AA1352" i="6"/>
  <c r="AA1351" i="6"/>
  <c r="AA1350" i="6"/>
  <c r="AA1349" i="6"/>
  <c r="AA1348" i="6"/>
  <c r="AA1347" i="6"/>
  <c r="AA1346" i="6"/>
  <c r="AA1345" i="6"/>
  <c r="AA1344" i="6"/>
  <c r="AA1343" i="6"/>
  <c r="AA1342" i="6"/>
  <c r="AA1341" i="6"/>
  <c r="AA1340" i="6"/>
  <c r="AA1339" i="6"/>
  <c r="AA1338" i="6"/>
  <c r="AA1337" i="6"/>
  <c r="AA1336" i="6"/>
  <c r="AA1335" i="6"/>
  <c r="AA1334" i="6"/>
  <c r="AA1333" i="6"/>
  <c r="AA1332" i="6"/>
  <c r="AA1331" i="6"/>
  <c r="AA1330" i="6"/>
  <c r="AA1329" i="6"/>
  <c r="AA1328" i="6"/>
  <c r="AA1327" i="6"/>
  <c r="AA1326" i="6"/>
  <c r="AA1325" i="6"/>
  <c r="AA1324" i="6"/>
  <c r="AA1323" i="6"/>
  <c r="AA1322" i="6"/>
  <c r="AA1321" i="6"/>
  <c r="AA1320" i="6"/>
  <c r="AA1319" i="6"/>
  <c r="AA1318" i="6"/>
  <c r="AA1317" i="6"/>
  <c r="AA1316" i="6"/>
  <c r="AA1315" i="6"/>
  <c r="AA1314" i="6"/>
  <c r="AA1313" i="6"/>
  <c r="AA1312" i="6"/>
  <c r="AA1311" i="6"/>
  <c r="AA1310" i="6"/>
  <c r="AA1309" i="6"/>
  <c r="AA1308" i="6"/>
  <c r="AA1307" i="6"/>
  <c r="AA1306" i="6"/>
  <c r="AA1305" i="6"/>
  <c r="AA1304" i="6"/>
  <c r="AA1303" i="6"/>
  <c r="AA1302" i="6"/>
  <c r="AA1301" i="6"/>
  <c r="AA1300" i="6"/>
  <c r="AA1299" i="6"/>
  <c r="AA1298" i="6"/>
  <c r="AA1297" i="6"/>
  <c r="AA1296" i="6"/>
  <c r="AA1295" i="6"/>
  <c r="AA1294" i="6"/>
  <c r="AA1293" i="6"/>
  <c r="AA1292" i="6"/>
  <c r="AA1291" i="6"/>
  <c r="AA1290" i="6"/>
  <c r="AA1289" i="6"/>
  <c r="AA1288" i="6"/>
  <c r="AA1287" i="6"/>
  <c r="AA1286" i="6"/>
  <c r="AA1285" i="6"/>
  <c r="AA1284" i="6"/>
  <c r="AA1283" i="6"/>
  <c r="AA1282" i="6"/>
  <c r="AA1281" i="6"/>
  <c r="AA1280" i="6"/>
  <c r="AA1279" i="6"/>
  <c r="AA1278" i="6"/>
  <c r="AA1277" i="6"/>
  <c r="AA1276" i="6"/>
  <c r="AA1275" i="6"/>
  <c r="AA1274" i="6"/>
  <c r="AA1273" i="6"/>
  <c r="AA1272" i="6"/>
  <c r="AA1271" i="6"/>
  <c r="AA1270" i="6"/>
  <c r="AA1269" i="6"/>
  <c r="AA1268" i="6"/>
  <c r="AA1267" i="6"/>
  <c r="AA1266" i="6"/>
  <c r="AA1265" i="6"/>
  <c r="AA1264" i="6"/>
  <c r="AA1263" i="6"/>
  <c r="AA1262" i="6"/>
  <c r="AA1261" i="6"/>
  <c r="AA1260" i="6"/>
  <c r="AA1259" i="6"/>
  <c r="AA1258" i="6"/>
  <c r="AA1257" i="6"/>
  <c r="AA1256" i="6"/>
  <c r="AA1255" i="6"/>
  <c r="AA1254" i="6"/>
  <c r="AA1253" i="6"/>
  <c r="AA1252" i="6"/>
  <c r="AA1251" i="6"/>
  <c r="AA1250" i="6"/>
  <c r="AA1249" i="6"/>
  <c r="AA1248" i="6"/>
  <c r="AA1247" i="6"/>
  <c r="AA1246" i="6"/>
  <c r="AA1245" i="6"/>
  <c r="AA1244" i="6"/>
  <c r="AA1243" i="6"/>
  <c r="AA1242" i="6"/>
  <c r="AA1241" i="6"/>
  <c r="AA1240" i="6"/>
  <c r="AA1239" i="6"/>
  <c r="AA1238" i="6"/>
  <c r="AA1237" i="6"/>
  <c r="AA1236" i="6"/>
  <c r="AA1235" i="6"/>
  <c r="AA1234" i="6"/>
  <c r="AA1233" i="6"/>
  <c r="AA1232" i="6"/>
  <c r="AA1231" i="6"/>
  <c r="AA1230" i="6"/>
  <c r="AA1229" i="6"/>
  <c r="AA1228" i="6"/>
  <c r="AA1227" i="6"/>
  <c r="AA1226" i="6"/>
  <c r="AA1225" i="6"/>
  <c r="AA1224" i="6"/>
  <c r="AA1223" i="6"/>
  <c r="AA1222" i="6"/>
  <c r="AA1221" i="6"/>
  <c r="AA1220" i="6"/>
  <c r="AA1219" i="6"/>
  <c r="AA1218" i="6"/>
  <c r="AA1217" i="6"/>
  <c r="AA1216" i="6"/>
  <c r="AA1215" i="6"/>
  <c r="AA1214" i="6"/>
  <c r="AA1213" i="6"/>
  <c r="AA1212" i="6"/>
  <c r="AA1211" i="6"/>
  <c r="AA1210" i="6"/>
  <c r="AA1209" i="6"/>
  <c r="AA1208" i="6"/>
  <c r="AA1207" i="6"/>
  <c r="AA1206" i="6"/>
  <c r="AA1205" i="6"/>
  <c r="AA1204" i="6"/>
  <c r="AA1203" i="6"/>
  <c r="AA1202" i="6"/>
  <c r="AA1201" i="6"/>
  <c r="AA1200" i="6"/>
  <c r="AA1199" i="6"/>
  <c r="AA1198" i="6"/>
  <c r="AA1197" i="6"/>
  <c r="AA1196" i="6"/>
  <c r="AA1195" i="6"/>
  <c r="AA1194" i="6"/>
  <c r="AA1193" i="6"/>
  <c r="AA1192" i="6"/>
  <c r="AA1191" i="6"/>
  <c r="AA1190" i="6"/>
  <c r="AA1189" i="6"/>
  <c r="AA1188" i="6"/>
  <c r="AA1187" i="6"/>
  <c r="AA1186" i="6"/>
  <c r="AA1185" i="6"/>
  <c r="AA1184" i="6"/>
  <c r="AA1183" i="6"/>
  <c r="AA1182" i="6"/>
  <c r="AA1181" i="6"/>
  <c r="AA1180" i="6"/>
  <c r="AA1179" i="6"/>
  <c r="AA1178" i="6"/>
  <c r="AA1177" i="6"/>
  <c r="AA1176" i="6"/>
  <c r="AA1175" i="6"/>
  <c r="AA1174" i="6"/>
  <c r="AA1173" i="6"/>
  <c r="AA1172" i="6"/>
  <c r="AA1171" i="6"/>
  <c r="AA1170" i="6"/>
  <c r="AA1169" i="6"/>
  <c r="AA1168" i="6"/>
  <c r="AA1167" i="6"/>
  <c r="AA1166" i="6"/>
  <c r="AA1165" i="6"/>
  <c r="AA1164" i="6"/>
  <c r="AA1163" i="6"/>
  <c r="AA1162" i="6"/>
  <c r="AA1161" i="6"/>
  <c r="AA1160" i="6"/>
  <c r="AA1159" i="6"/>
  <c r="AA1158" i="6"/>
  <c r="AA1157" i="6"/>
  <c r="AA1156" i="6"/>
  <c r="AA1155" i="6"/>
  <c r="AA1154" i="6"/>
  <c r="AA1153" i="6"/>
  <c r="AA1152" i="6"/>
  <c r="AA1151" i="6"/>
  <c r="AA1150" i="6"/>
  <c r="AA1149" i="6"/>
  <c r="AA1148" i="6"/>
  <c r="AA1147" i="6"/>
  <c r="AA1146" i="6"/>
  <c r="AA1145" i="6"/>
  <c r="AA1144" i="6"/>
  <c r="AA1143" i="6"/>
  <c r="AA1142" i="6"/>
  <c r="AA1141" i="6"/>
  <c r="AA1140" i="6"/>
  <c r="AA1139" i="6"/>
  <c r="AA1138" i="6"/>
  <c r="AA1137" i="6"/>
  <c r="AA1136" i="6"/>
  <c r="AA1135" i="6"/>
  <c r="AA1134" i="6"/>
  <c r="AA1133" i="6"/>
  <c r="AA1132" i="6"/>
  <c r="AA1131" i="6"/>
  <c r="AA1130" i="6"/>
  <c r="AA1129" i="6"/>
  <c r="AA1128" i="6"/>
  <c r="AA1127" i="6"/>
  <c r="AA1126" i="6"/>
  <c r="AA1125" i="6"/>
  <c r="AA1124" i="6"/>
  <c r="AA1123" i="6"/>
  <c r="AA1122" i="6"/>
  <c r="AA1121" i="6"/>
  <c r="AA1120" i="6"/>
  <c r="AA1119" i="6"/>
  <c r="AA1118" i="6"/>
  <c r="AA1117" i="6"/>
  <c r="AA1116" i="6"/>
  <c r="AA1115" i="6"/>
  <c r="AA1114" i="6"/>
  <c r="AA1113" i="6"/>
  <c r="AA1112" i="6"/>
  <c r="AA1111" i="6"/>
  <c r="AA1110" i="6"/>
  <c r="AA1109" i="6"/>
  <c r="AA1108" i="6"/>
  <c r="AA1107" i="6"/>
  <c r="AA1106" i="6"/>
  <c r="AA1105" i="6"/>
  <c r="AA1104" i="6"/>
  <c r="AA1103" i="6"/>
  <c r="AA1102" i="6"/>
  <c r="AA1101" i="6"/>
  <c r="AA1100" i="6"/>
  <c r="AA1099" i="6"/>
  <c r="AA1098" i="6"/>
  <c r="AA1097" i="6"/>
  <c r="AA1096" i="6"/>
  <c r="AA1095" i="6"/>
  <c r="AA1094" i="6"/>
  <c r="AA1093" i="6"/>
  <c r="AA1092" i="6"/>
  <c r="AA1091" i="6"/>
  <c r="AA1090" i="6"/>
  <c r="AA1089" i="6"/>
  <c r="AA1088" i="6"/>
  <c r="AA1087" i="6"/>
  <c r="AA1086" i="6"/>
  <c r="AA1085" i="6"/>
  <c r="AA1084" i="6"/>
  <c r="AA1083" i="6"/>
  <c r="AA1082" i="6"/>
  <c r="AA1081" i="6"/>
  <c r="AA1080" i="6"/>
  <c r="AA1079" i="6"/>
  <c r="AA1078" i="6"/>
  <c r="AA1077" i="6"/>
  <c r="AA1076" i="6"/>
  <c r="AA1075" i="6"/>
  <c r="AA1074" i="6"/>
  <c r="AA1073" i="6"/>
  <c r="AA1072" i="6"/>
  <c r="AA1071" i="6"/>
  <c r="AA1070" i="6"/>
  <c r="AA1069" i="6"/>
  <c r="AA1068" i="6"/>
  <c r="AA1067" i="6"/>
  <c r="AA1066" i="6"/>
  <c r="AA1065" i="6"/>
  <c r="AA1064" i="6"/>
  <c r="AA1063" i="6"/>
  <c r="AA1062" i="6"/>
  <c r="AA1061" i="6"/>
  <c r="AA1060" i="6"/>
  <c r="AA1059" i="6"/>
  <c r="AA1058" i="6"/>
  <c r="AA1057" i="6"/>
  <c r="AA1056" i="6"/>
  <c r="AA1055" i="6"/>
  <c r="AA1054" i="6"/>
  <c r="AA1053" i="6"/>
  <c r="AA1052" i="6"/>
  <c r="AA1051" i="6"/>
  <c r="AA1050" i="6"/>
  <c r="AA1049" i="6"/>
  <c r="AA1048" i="6"/>
  <c r="AA1047" i="6"/>
  <c r="AA1046" i="6"/>
  <c r="AA1045" i="6"/>
  <c r="AA1044" i="6"/>
  <c r="AA1043" i="6"/>
  <c r="AA1042" i="6"/>
  <c r="AA1041" i="6"/>
  <c r="AA1040" i="6"/>
  <c r="AA1039" i="6"/>
  <c r="AA1038" i="6"/>
  <c r="AA1037" i="6"/>
  <c r="AA1036" i="6"/>
  <c r="AA1035" i="6"/>
  <c r="AA1034" i="6"/>
  <c r="AA1033" i="6"/>
  <c r="AA1032" i="6"/>
  <c r="AA1031" i="6"/>
  <c r="AA1030" i="6"/>
  <c r="AA1029" i="6"/>
  <c r="AA1028" i="6"/>
  <c r="AA1027" i="6"/>
  <c r="AA1026" i="6"/>
  <c r="AA1025" i="6"/>
  <c r="AA1024" i="6"/>
  <c r="AA1023" i="6"/>
  <c r="AA1022" i="6"/>
  <c r="AA1021" i="6"/>
  <c r="AA1020" i="6"/>
  <c r="AA1019" i="6"/>
  <c r="AA1018" i="6"/>
  <c r="AA1017" i="6"/>
  <c r="AA1016" i="6"/>
  <c r="AA1015" i="6"/>
  <c r="AA1014" i="6"/>
  <c r="AA1013" i="6"/>
  <c r="AA1012" i="6"/>
  <c r="AA1011" i="6"/>
  <c r="AA1010" i="6"/>
  <c r="AA1009" i="6"/>
  <c r="AA1008" i="6"/>
  <c r="AA1007" i="6"/>
  <c r="AA1006" i="6"/>
  <c r="AA1005" i="6"/>
  <c r="AA1004" i="6"/>
  <c r="AA1003" i="6"/>
  <c r="AA1002" i="6"/>
  <c r="AA1001" i="6"/>
  <c r="AA1000" i="6"/>
  <c r="AA999" i="6"/>
  <c r="AA998" i="6"/>
  <c r="AA997" i="6"/>
  <c r="AA996" i="6"/>
  <c r="AA995" i="6"/>
  <c r="AA994" i="6"/>
  <c r="AA993" i="6"/>
  <c r="AA992" i="6"/>
  <c r="AA991" i="6"/>
  <c r="AA990" i="6"/>
  <c r="AA989" i="6"/>
  <c r="AA988" i="6"/>
  <c r="AA987" i="6"/>
  <c r="AA986" i="6"/>
  <c r="AA985" i="6"/>
  <c r="AA984" i="6"/>
  <c r="AA983" i="6"/>
  <c r="AA982" i="6"/>
  <c r="AA981" i="6"/>
  <c r="AA980" i="6"/>
  <c r="AA979" i="6"/>
  <c r="AA978" i="6"/>
  <c r="AA977" i="6"/>
  <c r="AA976" i="6"/>
  <c r="AA975" i="6"/>
  <c r="AA974" i="6"/>
  <c r="AA973" i="6"/>
  <c r="AA972" i="6"/>
  <c r="AA971" i="6"/>
  <c r="AA970" i="6"/>
  <c r="AA969" i="6"/>
  <c r="AA968" i="6"/>
  <c r="AA967" i="6"/>
  <c r="AA966" i="6"/>
  <c r="AA965" i="6"/>
  <c r="AA964" i="6"/>
  <c r="AA963" i="6"/>
  <c r="AA962" i="6"/>
  <c r="AA961" i="6"/>
  <c r="AA960" i="6"/>
  <c r="AA959" i="6"/>
  <c r="AA958" i="6"/>
  <c r="AA957" i="6"/>
  <c r="AA956" i="6"/>
  <c r="AA955" i="6"/>
  <c r="AA954" i="6"/>
  <c r="AA953" i="6"/>
  <c r="AA952" i="6"/>
  <c r="AA951" i="6"/>
  <c r="AA950" i="6"/>
  <c r="AA949" i="6"/>
  <c r="AA948" i="6"/>
  <c r="AA947" i="6"/>
  <c r="AA946" i="6"/>
  <c r="AA945" i="6"/>
  <c r="AA944" i="6"/>
  <c r="AA943" i="6"/>
  <c r="AA942" i="6"/>
  <c r="AA941" i="6"/>
  <c r="AA940" i="6"/>
  <c r="AA939" i="6"/>
  <c r="AA938" i="6"/>
  <c r="AA937" i="6"/>
  <c r="AA936" i="6"/>
  <c r="AA935" i="6"/>
  <c r="AA934" i="6"/>
  <c r="AA933" i="6"/>
  <c r="AA932" i="6"/>
  <c r="AA931" i="6"/>
  <c r="AA930" i="6"/>
  <c r="AA929" i="6"/>
  <c r="AA928" i="6"/>
  <c r="AA927" i="6"/>
  <c r="AA926" i="6"/>
  <c r="AA925" i="6"/>
  <c r="AA924" i="6"/>
  <c r="AA923" i="6"/>
  <c r="AA922" i="6"/>
  <c r="AA921" i="6"/>
  <c r="AA920" i="6"/>
  <c r="AA919" i="6"/>
  <c r="AA918" i="6"/>
  <c r="AA917" i="6"/>
  <c r="AA916" i="6"/>
  <c r="AA915" i="6"/>
  <c r="AA914" i="6"/>
  <c r="AA913" i="6"/>
  <c r="AA912" i="6"/>
  <c r="AA911" i="6"/>
  <c r="AA910" i="6"/>
  <c r="AA909" i="6"/>
  <c r="AA908" i="6"/>
  <c r="AA907" i="6"/>
  <c r="AA906" i="6"/>
  <c r="AA905" i="6"/>
  <c r="AA904" i="6"/>
  <c r="AA903" i="6"/>
  <c r="AA902" i="6"/>
  <c r="AA901" i="6"/>
  <c r="AA900" i="6"/>
  <c r="AA899" i="6"/>
  <c r="AA898" i="6"/>
  <c r="AA897" i="6"/>
  <c r="AA896" i="6"/>
  <c r="AA895" i="6"/>
  <c r="AA894" i="6"/>
  <c r="AA893" i="6"/>
  <c r="AA892" i="6"/>
  <c r="AA891" i="6"/>
  <c r="AA890" i="6"/>
  <c r="AA889" i="6"/>
  <c r="AA888" i="6"/>
  <c r="AA887" i="6"/>
  <c r="AA886" i="6"/>
  <c r="AA885" i="6"/>
  <c r="AA884" i="6"/>
  <c r="AA883" i="6"/>
  <c r="AA882" i="6"/>
  <c r="AA881" i="6"/>
  <c r="AA880" i="6"/>
  <c r="AA879" i="6"/>
  <c r="AA878" i="6"/>
  <c r="AA877" i="6"/>
  <c r="AA876" i="6"/>
  <c r="AA875" i="6"/>
  <c r="AA874" i="6"/>
  <c r="AA873" i="6"/>
  <c r="AA872" i="6"/>
  <c r="AA871" i="6"/>
  <c r="AA870" i="6"/>
  <c r="AA869" i="6"/>
  <c r="AA868" i="6"/>
  <c r="AA867" i="6"/>
  <c r="AA866" i="6"/>
  <c r="AA865" i="6"/>
  <c r="AA864" i="6"/>
  <c r="AA863" i="6"/>
  <c r="AA862" i="6"/>
  <c r="AA861" i="6"/>
  <c r="AA860" i="6"/>
  <c r="AA859" i="6"/>
  <c r="AA858" i="6"/>
  <c r="AA857" i="6"/>
  <c r="AA856" i="6"/>
  <c r="AA855" i="6"/>
  <c r="AA854" i="6"/>
  <c r="AA853" i="6"/>
  <c r="AA852" i="6"/>
  <c r="AA851" i="6"/>
  <c r="AA850" i="6"/>
  <c r="AA849" i="6"/>
  <c r="AA848" i="6"/>
  <c r="AA847" i="6"/>
  <c r="AA846" i="6"/>
  <c r="AA845" i="6"/>
  <c r="AA844" i="6"/>
  <c r="AA843" i="6"/>
  <c r="AA842" i="6"/>
  <c r="AA841" i="6"/>
  <c r="AA840" i="6"/>
  <c r="AA839" i="6"/>
  <c r="AA838" i="6"/>
  <c r="AA837" i="6"/>
  <c r="AA836" i="6"/>
  <c r="AA835" i="6"/>
  <c r="AA834" i="6"/>
  <c r="AA833" i="6"/>
  <c r="AA832" i="6"/>
  <c r="AA831" i="6"/>
  <c r="AA830" i="6"/>
  <c r="AA829" i="6"/>
  <c r="AA828" i="6"/>
  <c r="AA827" i="6"/>
  <c r="AA826" i="6"/>
  <c r="AA825" i="6"/>
  <c r="AA824" i="6"/>
  <c r="AA823" i="6"/>
  <c r="AA822" i="6"/>
  <c r="AA821" i="6"/>
  <c r="AA820" i="6"/>
  <c r="AA819" i="6"/>
  <c r="AA818" i="6"/>
  <c r="AA817" i="6"/>
  <c r="AA816" i="6"/>
  <c r="AA815" i="6"/>
  <c r="AA814" i="6"/>
  <c r="AA813" i="6"/>
  <c r="AA812" i="6"/>
  <c r="AA811" i="6"/>
  <c r="AA810" i="6"/>
  <c r="AA809" i="6"/>
  <c r="AA808" i="6"/>
  <c r="AA807" i="6"/>
  <c r="AA806" i="6"/>
  <c r="AA805" i="6"/>
  <c r="AA804" i="6"/>
  <c r="AA803" i="6"/>
  <c r="AA802" i="6"/>
  <c r="AA801" i="6"/>
  <c r="AA800" i="6"/>
  <c r="AA799" i="6"/>
  <c r="AA798" i="6"/>
  <c r="AA797" i="6"/>
  <c r="AA796" i="6"/>
  <c r="AA795" i="6"/>
  <c r="AA794" i="6"/>
  <c r="AA793" i="6"/>
  <c r="AA792" i="6"/>
  <c r="AA791" i="6"/>
  <c r="AA790" i="6"/>
  <c r="AA789" i="6"/>
  <c r="AA788" i="6"/>
  <c r="AA787" i="6"/>
  <c r="AA786" i="6"/>
  <c r="AA785" i="6"/>
  <c r="AA784" i="6"/>
  <c r="AA783" i="6"/>
  <c r="AA782" i="6"/>
  <c r="AA781" i="6"/>
  <c r="AA780" i="6"/>
  <c r="AA779" i="6"/>
  <c r="AA778" i="6"/>
  <c r="AA777" i="6"/>
  <c r="AA776" i="6"/>
  <c r="AA775" i="6"/>
  <c r="AA774" i="6"/>
  <c r="AA773" i="6"/>
  <c r="AA772" i="6"/>
  <c r="AA771" i="6"/>
  <c r="AA770" i="6"/>
  <c r="AA769" i="6"/>
  <c r="AA768" i="6"/>
  <c r="AA767" i="6"/>
  <c r="AA766" i="6"/>
  <c r="AA765" i="6"/>
  <c r="AA764" i="6"/>
  <c r="AA763" i="6"/>
  <c r="AA762" i="6"/>
  <c r="AA761" i="6"/>
  <c r="AA760" i="6"/>
  <c r="AA759" i="6"/>
  <c r="AA758" i="6"/>
  <c r="AA757" i="6"/>
  <c r="AA756" i="6"/>
  <c r="AA755" i="6"/>
  <c r="AA754" i="6"/>
  <c r="AA753" i="6"/>
  <c r="AA752" i="6"/>
  <c r="AA751" i="6"/>
  <c r="AA750" i="6"/>
  <c r="AA749" i="6"/>
  <c r="AA748" i="6"/>
  <c r="AA747" i="6"/>
  <c r="AA746" i="6"/>
  <c r="AA745" i="6"/>
  <c r="AA744" i="6"/>
  <c r="AA743" i="6"/>
  <c r="AA742" i="6"/>
  <c r="AA741" i="6"/>
  <c r="AA740" i="6"/>
  <c r="AA739" i="6"/>
  <c r="AA738" i="6"/>
  <c r="AA737" i="6"/>
  <c r="AA736" i="6"/>
  <c r="AA735" i="6"/>
  <c r="AA734" i="6"/>
  <c r="AA733" i="6"/>
  <c r="AA732" i="6"/>
  <c r="AA731" i="6"/>
  <c r="AA730" i="6"/>
  <c r="AA729" i="6"/>
  <c r="AA728" i="6"/>
  <c r="AA727" i="6"/>
  <c r="AA726" i="6"/>
  <c r="AA725" i="6"/>
  <c r="AA724" i="6"/>
  <c r="AA723" i="6"/>
  <c r="AA722" i="6"/>
  <c r="AA721" i="6"/>
  <c r="AA720" i="6"/>
  <c r="AA719" i="6"/>
  <c r="AA718" i="6"/>
  <c r="AA717" i="6"/>
  <c r="AA716" i="6"/>
  <c r="AA715" i="6"/>
  <c r="AA714" i="6"/>
  <c r="AA713" i="6"/>
  <c r="AA712" i="6"/>
  <c r="AA711" i="6"/>
  <c r="AA710" i="6"/>
  <c r="AA709" i="6"/>
  <c r="AA708" i="6"/>
  <c r="AA707" i="6"/>
  <c r="AA706" i="6"/>
  <c r="AA705" i="6"/>
  <c r="AA704" i="6"/>
  <c r="AA703" i="6"/>
  <c r="AA702" i="6"/>
  <c r="AA701" i="6"/>
  <c r="AA700" i="6"/>
  <c r="AA699" i="6"/>
  <c r="AA698" i="6"/>
  <c r="AA697" i="6"/>
  <c r="AA696" i="6"/>
  <c r="AA695" i="6"/>
  <c r="AA694" i="6"/>
  <c r="AA693" i="6"/>
  <c r="AA692" i="6"/>
  <c r="AA691" i="6"/>
  <c r="AA690" i="6"/>
  <c r="AA689" i="6"/>
  <c r="AA688" i="6"/>
  <c r="AA687" i="6"/>
  <c r="AA686" i="6"/>
  <c r="AA685" i="6"/>
  <c r="AA684" i="6"/>
  <c r="AA683" i="6"/>
  <c r="AA682" i="6"/>
  <c r="AA681" i="6"/>
  <c r="AA680" i="6"/>
  <c r="AA679" i="6"/>
  <c r="AA678" i="6"/>
  <c r="AA677" i="6"/>
  <c r="AA676" i="6"/>
  <c r="AA675" i="6"/>
  <c r="AA674" i="6"/>
  <c r="AA673" i="6"/>
  <c r="AA672" i="6"/>
  <c r="AA671" i="6"/>
  <c r="AA670" i="6"/>
  <c r="AA669" i="6"/>
  <c r="AA668" i="6"/>
  <c r="AA667" i="6"/>
  <c r="AA666" i="6"/>
  <c r="AA665" i="6"/>
  <c r="AA664" i="6"/>
  <c r="AA663" i="6"/>
  <c r="AA662" i="6"/>
  <c r="AA661" i="6"/>
  <c r="AA660" i="6"/>
  <c r="AA659" i="6"/>
  <c r="AA658" i="6"/>
  <c r="AA657" i="6"/>
  <c r="AA656" i="6"/>
  <c r="AA655" i="6"/>
  <c r="AA654" i="6"/>
  <c r="AA653" i="6"/>
  <c r="AA652" i="6"/>
  <c r="AA651" i="6"/>
  <c r="AA650" i="6"/>
  <c r="AA649" i="6"/>
  <c r="AA648" i="6"/>
  <c r="AA647" i="6"/>
  <c r="AA646" i="6"/>
  <c r="AA645" i="6"/>
  <c r="AA644" i="6"/>
  <c r="AA643" i="6"/>
  <c r="AA642" i="6"/>
  <c r="AA641" i="6"/>
  <c r="AA640" i="6"/>
  <c r="AA639" i="6"/>
  <c r="AA638" i="6"/>
  <c r="AA637" i="6"/>
  <c r="AA636" i="6"/>
  <c r="AA635" i="6"/>
  <c r="AA634" i="6"/>
  <c r="AA633" i="6"/>
  <c r="AA632" i="6"/>
  <c r="AA631" i="6"/>
  <c r="AA630" i="6"/>
  <c r="AA629" i="6"/>
  <c r="AA628" i="6"/>
  <c r="AA627" i="6"/>
  <c r="AA626" i="6"/>
  <c r="AA625" i="6"/>
  <c r="AA624" i="6"/>
  <c r="AA623" i="6"/>
  <c r="AA622" i="6"/>
  <c r="AA621" i="6"/>
  <c r="AA620" i="6"/>
  <c r="AA619" i="6"/>
  <c r="AA618" i="6"/>
  <c r="AA617" i="6"/>
  <c r="AA616" i="6"/>
  <c r="AA615" i="6"/>
  <c r="AA614" i="6"/>
  <c r="AA613" i="6"/>
  <c r="AA612" i="6"/>
  <c r="AA611" i="6"/>
  <c r="AA610" i="6"/>
  <c r="AA609" i="6"/>
  <c r="AA608" i="6"/>
  <c r="AA607" i="6"/>
  <c r="AA606" i="6"/>
  <c r="AA605" i="6"/>
  <c r="AA604" i="6"/>
  <c r="AA603" i="6"/>
  <c r="AA602" i="6"/>
  <c r="AA601" i="6"/>
  <c r="AA600" i="6"/>
  <c r="AA599" i="6"/>
  <c r="AA598" i="6"/>
  <c r="AA597" i="6"/>
  <c r="AA596" i="6"/>
  <c r="AA595" i="6"/>
  <c r="AA594" i="6"/>
  <c r="AA593" i="6"/>
  <c r="AA592" i="6"/>
  <c r="AA591" i="6"/>
  <c r="AA590" i="6"/>
  <c r="AA589" i="6"/>
  <c r="AA588" i="6"/>
  <c r="AA587" i="6"/>
  <c r="AA586" i="6"/>
  <c r="AA585" i="6"/>
  <c r="AA584" i="6"/>
  <c r="AA583" i="6"/>
  <c r="AA582" i="6"/>
  <c r="AA581" i="6"/>
  <c r="AA580" i="6"/>
  <c r="AA579" i="6"/>
  <c r="AA578" i="6"/>
  <c r="AA577" i="6"/>
  <c r="AA576" i="6"/>
  <c r="AA575" i="6"/>
  <c r="AA574" i="6"/>
  <c r="AA573" i="6"/>
  <c r="AA572" i="6"/>
  <c r="AA571" i="6"/>
  <c r="AA570" i="6"/>
  <c r="AA569" i="6"/>
  <c r="AA568" i="6"/>
  <c r="AA567" i="6"/>
  <c r="AA566" i="6"/>
  <c r="AA565" i="6"/>
  <c r="AA564" i="6"/>
  <c r="AA563" i="6"/>
  <c r="AA562" i="6"/>
  <c r="AA561" i="6"/>
  <c r="AA560" i="6"/>
  <c r="AA559" i="6"/>
  <c r="AA558" i="6"/>
  <c r="AA557" i="6"/>
  <c r="AA556" i="6"/>
  <c r="AA555" i="6"/>
  <c r="AA554" i="6"/>
  <c r="AA553" i="6"/>
  <c r="AA552" i="6"/>
  <c r="AA551" i="6"/>
  <c r="AA550" i="6"/>
  <c r="AA549" i="6"/>
  <c r="AA548" i="6"/>
  <c r="AA547" i="6"/>
  <c r="AA546" i="6"/>
  <c r="AA545" i="6"/>
  <c r="AA544" i="6"/>
  <c r="AA543" i="6"/>
  <c r="AA542" i="6"/>
  <c r="AA541" i="6"/>
  <c r="AA540" i="6"/>
  <c r="AA539" i="6"/>
  <c r="AA538" i="6"/>
  <c r="AA537" i="6"/>
  <c r="AA536" i="6"/>
  <c r="AA535" i="6"/>
  <c r="AA534" i="6"/>
  <c r="AA533" i="6"/>
  <c r="AA532" i="6"/>
  <c r="AA531" i="6"/>
  <c r="AA530" i="6"/>
  <c r="AA529" i="6"/>
  <c r="AA528" i="6"/>
  <c r="AA527" i="6"/>
  <c r="AA526" i="6"/>
  <c r="AA525" i="6"/>
  <c r="AA524" i="6"/>
  <c r="AA523" i="6"/>
  <c r="AA522" i="6"/>
  <c r="AA521" i="6"/>
  <c r="AA520" i="6"/>
  <c r="AA519" i="6"/>
  <c r="AA518" i="6"/>
  <c r="AA517" i="6"/>
  <c r="AA516" i="6"/>
  <c r="AA515" i="6"/>
  <c r="AA514" i="6"/>
  <c r="AA513" i="6"/>
  <c r="AA512" i="6"/>
  <c r="AA511" i="6"/>
  <c r="AA510" i="6"/>
  <c r="AA509" i="6"/>
  <c r="AA508" i="6"/>
  <c r="AA507" i="6"/>
  <c r="AA506" i="6"/>
  <c r="AA505" i="6"/>
  <c r="AA504" i="6"/>
  <c r="AA503" i="6"/>
  <c r="AA502" i="6"/>
  <c r="AA501" i="6"/>
  <c r="AA500" i="6"/>
  <c r="AA499" i="6"/>
  <c r="AA498" i="6"/>
  <c r="AA497" i="6"/>
  <c r="AA496" i="6"/>
  <c r="AA495" i="6"/>
  <c r="AA494" i="6"/>
  <c r="AA493" i="6"/>
  <c r="AA492" i="6"/>
  <c r="AA491" i="6"/>
  <c r="AA490" i="6"/>
  <c r="AA489" i="6"/>
  <c r="AA488" i="6"/>
  <c r="AA487" i="6"/>
  <c r="AA486" i="6"/>
  <c r="AA485" i="6"/>
  <c r="AA484" i="6"/>
  <c r="AA483" i="6"/>
  <c r="AA482" i="6"/>
  <c r="AA481" i="6"/>
  <c r="AA480" i="6"/>
  <c r="AA479" i="6"/>
  <c r="AA478" i="6"/>
  <c r="AA477" i="6"/>
  <c r="AA476" i="6"/>
  <c r="AA475" i="6"/>
  <c r="AA474" i="6"/>
  <c r="AA473" i="6"/>
  <c r="AA472" i="6"/>
  <c r="AA471" i="6"/>
  <c r="AA470" i="6"/>
  <c r="AA469" i="6"/>
  <c r="AA468" i="6"/>
  <c r="AA467" i="6"/>
  <c r="AA466" i="6"/>
  <c r="AA465" i="6"/>
  <c r="AA464" i="6"/>
  <c r="AA463" i="6"/>
  <c r="AA462" i="6"/>
  <c r="AA461" i="6"/>
  <c r="AA460" i="6"/>
  <c r="AA459" i="6"/>
  <c r="AA458" i="6"/>
  <c r="AA457" i="6"/>
  <c r="AA456" i="6"/>
  <c r="AA455" i="6"/>
  <c r="AA454" i="6"/>
  <c r="AA453" i="6"/>
  <c r="AA452" i="6"/>
  <c r="AA451" i="6"/>
  <c r="AA450" i="6"/>
  <c r="AA449" i="6"/>
  <c r="AA448" i="6"/>
  <c r="AA447" i="6"/>
  <c r="AA446" i="6"/>
  <c r="AA445" i="6"/>
  <c r="AA444" i="6"/>
  <c r="AA443" i="6"/>
  <c r="AA442" i="6"/>
  <c r="AA441" i="6"/>
  <c r="AA440" i="6"/>
  <c r="AA439" i="6"/>
  <c r="AA438" i="6"/>
  <c r="AA437" i="6"/>
  <c r="AA436" i="6"/>
  <c r="AA435" i="6"/>
  <c r="AA434" i="6"/>
  <c r="AA433" i="6"/>
  <c r="AA432" i="6"/>
  <c r="AA431" i="6"/>
  <c r="AA430" i="6"/>
  <c r="AA429" i="6"/>
  <c r="AA428" i="6"/>
  <c r="AA427" i="6"/>
  <c r="AA426" i="6"/>
  <c r="AA425" i="6"/>
  <c r="AA424" i="6"/>
  <c r="AA423" i="6"/>
  <c r="AA422" i="6"/>
  <c r="AA421" i="6"/>
  <c r="AA420" i="6"/>
  <c r="AA419" i="6"/>
  <c r="AA418" i="6"/>
  <c r="AA417" i="6"/>
  <c r="AA416" i="6"/>
  <c r="AA415" i="6"/>
  <c r="AA414" i="6"/>
  <c r="AA413" i="6"/>
  <c r="AA412" i="6"/>
  <c r="AA411" i="6"/>
  <c r="AA410" i="6"/>
  <c r="AA409" i="6"/>
  <c r="AA408" i="6"/>
  <c r="AA407" i="6"/>
  <c r="AA406" i="6"/>
  <c r="AA405" i="6"/>
  <c r="AA404" i="6"/>
  <c r="AA403" i="6"/>
  <c r="AA402" i="6"/>
  <c r="AA401" i="6"/>
  <c r="AA400" i="6"/>
  <c r="AA399" i="6"/>
  <c r="AA398" i="6"/>
  <c r="AA397" i="6"/>
  <c r="AA396" i="6"/>
  <c r="AA395" i="6"/>
  <c r="AA394" i="6"/>
  <c r="AA393" i="6"/>
  <c r="AA392" i="6"/>
  <c r="AA391" i="6"/>
  <c r="AA390" i="6"/>
  <c r="AA389" i="6"/>
  <c r="AA388" i="6"/>
  <c r="AA387" i="6"/>
  <c r="AA386" i="6"/>
  <c r="AA385" i="6"/>
  <c r="AA384" i="6"/>
  <c r="AA383" i="6"/>
  <c r="AA382" i="6"/>
  <c r="AA381" i="6"/>
  <c r="AA380" i="6"/>
  <c r="AA379" i="6"/>
  <c r="AA378" i="6"/>
  <c r="AA377" i="6"/>
  <c r="AA376" i="6"/>
  <c r="AA375" i="6"/>
  <c r="AA374" i="6"/>
  <c r="AA373" i="6"/>
  <c r="AA372" i="6"/>
  <c r="AA371" i="6"/>
  <c r="AA370" i="6"/>
  <c r="AA369" i="6"/>
  <c r="AA368" i="6"/>
  <c r="AA367" i="6"/>
  <c r="AA366" i="6"/>
  <c r="AA365" i="6"/>
  <c r="AA364" i="6"/>
  <c r="AA363" i="6"/>
  <c r="AA362" i="6"/>
  <c r="AA361" i="6"/>
  <c r="AA360" i="6"/>
  <c r="AA359" i="6"/>
  <c r="AA358" i="6"/>
  <c r="AA357" i="6"/>
  <c r="AA356" i="6"/>
  <c r="AA355" i="6"/>
  <c r="AA354" i="6"/>
  <c r="AA353" i="6"/>
  <c r="AA352" i="6"/>
  <c r="AA351" i="6"/>
  <c r="AA350" i="6"/>
  <c r="AA349" i="6"/>
  <c r="AA348" i="6"/>
  <c r="AA347" i="6"/>
  <c r="AA346" i="6"/>
  <c r="AA345" i="6"/>
  <c r="AA344" i="6"/>
  <c r="AA343" i="6"/>
  <c r="AA342" i="6"/>
  <c r="AA341" i="6"/>
  <c r="AA340" i="6"/>
  <c r="AA339" i="6"/>
  <c r="AA338" i="6"/>
  <c r="AA337" i="6"/>
  <c r="AA336" i="6"/>
  <c r="AA335" i="6"/>
  <c r="AA334" i="6"/>
  <c r="AA333" i="6"/>
  <c r="AA332" i="6"/>
  <c r="AA331" i="6"/>
  <c r="AA330" i="6"/>
  <c r="AA329" i="6"/>
  <c r="AA328" i="6"/>
  <c r="AA327" i="6"/>
  <c r="AA326" i="6"/>
  <c r="AA325" i="6"/>
  <c r="AA324" i="6"/>
  <c r="AA323" i="6"/>
  <c r="AA322" i="6"/>
  <c r="AA321" i="6"/>
  <c r="AA320" i="6"/>
  <c r="AA319" i="6"/>
  <c r="AA318" i="6"/>
  <c r="AA317" i="6"/>
  <c r="AA316" i="6"/>
  <c r="AA315" i="6"/>
  <c r="AA314" i="6"/>
  <c r="AA313" i="6"/>
  <c r="AA312" i="6"/>
  <c r="AA311" i="6"/>
  <c r="AA310" i="6"/>
  <c r="AA309" i="6"/>
  <c r="AA308" i="6"/>
  <c r="AA307" i="6"/>
  <c r="AA306" i="6"/>
  <c r="AA305" i="6"/>
  <c r="AA304" i="6"/>
  <c r="AA303" i="6"/>
  <c r="AA302" i="6"/>
  <c r="AA301" i="6"/>
  <c r="AA300" i="6"/>
  <c r="AA299" i="6"/>
  <c r="AA298" i="6"/>
  <c r="AA297" i="6"/>
  <c r="AA296" i="6"/>
  <c r="AA295" i="6"/>
  <c r="AA294" i="6"/>
  <c r="AA293" i="6"/>
  <c r="AA292" i="6"/>
  <c r="AA291" i="6"/>
  <c r="AA290" i="6"/>
  <c r="AA289" i="6"/>
  <c r="AA288" i="6"/>
  <c r="AA287" i="6"/>
  <c r="AA286" i="6"/>
  <c r="AA285" i="6"/>
  <c r="AA284" i="6"/>
  <c r="AA283" i="6"/>
  <c r="AA282" i="6"/>
  <c r="AA281" i="6"/>
  <c r="AA280" i="6"/>
  <c r="AA279" i="6"/>
  <c r="AA278" i="6"/>
  <c r="AA277" i="6"/>
  <c r="AA276" i="6"/>
  <c r="AA275" i="6"/>
  <c r="AA274" i="6"/>
  <c r="AA273" i="6"/>
  <c r="AA272" i="6"/>
  <c r="AA271" i="6"/>
  <c r="AA270" i="6"/>
  <c r="AA269" i="6"/>
  <c r="AA268" i="6"/>
  <c r="AA267" i="6"/>
  <c r="AA266" i="6"/>
  <c r="AA265" i="6"/>
  <c r="AA264" i="6"/>
  <c r="AA263" i="6"/>
  <c r="AA262" i="6"/>
  <c r="AA261" i="6"/>
  <c r="AA260" i="6"/>
  <c r="AA259" i="6"/>
  <c r="AA258" i="6"/>
  <c r="AA257" i="6"/>
  <c r="AA256" i="6"/>
  <c r="AA255" i="6"/>
  <c r="AA254" i="6"/>
  <c r="AA253" i="6"/>
  <c r="AA252" i="6"/>
  <c r="AA251" i="6"/>
  <c r="AA250" i="6"/>
  <c r="AA249" i="6"/>
  <c r="AA248" i="6"/>
  <c r="AA247" i="6"/>
  <c r="AA246" i="6"/>
  <c r="AA245" i="6"/>
  <c r="AA244" i="6"/>
  <c r="AA243" i="6"/>
  <c r="AA242" i="6"/>
  <c r="AA241" i="6"/>
  <c r="AA240" i="6"/>
  <c r="AA239" i="6"/>
  <c r="AA238" i="6"/>
  <c r="AA237" i="6"/>
  <c r="AA236" i="6"/>
  <c r="AA235" i="6"/>
  <c r="AA234" i="6"/>
  <c r="AA233" i="6"/>
  <c r="AA232" i="6"/>
  <c r="AA231" i="6"/>
  <c r="AA230" i="6"/>
  <c r="AA229" i="6"/>
  <c r="AA228" i="6"/>
  <c r="AA227" i="6"/>
  <c r="AA226" i="6"/>
  <c r="AA225" i="6"/>
  <c r="AA224" i="6"/>
  <c r="AA223" i="6"/>
  <c r="AA222" i="6"/>
  <c r="AA221" i="6"/>
  <c r="AA220" i="6"/>
  <c r="AA219" i="6"/>
  <c r="AA218" i="6"/>
  <c r="AA217" i="6"/>
  <c r="AA216" i="6"/>
  <c r="AA215" i="6"/>
  <c r="AA214" i="6"/>
  <c r="AA213" i="6"/>
  <c r="AA212" i="6"/>
  <c r="AA211" i="6"/>
  <c r="AA210" i="6"/>
  <c r="AA209" i="6"/>
  <c r="AA208" i="6"/>
  <c r="AA207" i="6"/>
  <c r="AA206" i="6"/>
  <c r="AA205" i="6"/>
  <c r="AA204" i="6"/>
  <c r="AA203" i="6"/>
  <c r="AA202" i="6"/>
  <c r="AA201" i="6"/>
  <c r="AA200" i="6"/>
  <c r="AA199" i="6"/>
  <c r="AA198" i="6"/>
  <c r="AA197" i="6"/>
  <c r="AA196" i="6"/>
  <c r="AA195" i="6"/>
  <c r="AA194" i="6"/>
  <c r="AA193" i="6"/>
  <c r="AA192" i="6"/>
  <c r="AA191" i="6"/>
  <c r="AA190" i="6"/>
  <c r="AA189" i="6"/>
  <c r="AA188" i="6"/>
  <c r="AA187" i="6"/>
  <c r="AA186" i="6"/>
  <c r="AA185" i="6"/>
  <c r="AA184" i="6"/>
  <c r="AA183" i="6"/>
  <c r="AA182" i="6"/>
  <c r="AA181" i="6"/>
  <c r="AA180" i="6"/>
  <c r="AA179" i="6"/>
  <c r="AA178" i="6"/>
  <c r="AA177" i="6"/>
  <c r="AA176" i="6"/>
  <c r="AA175" i="6"/>
  <c r="AA174" i="6"/>
  <c r="AA173" i="6"/>
  <c r="AA172" i="6"/>
  <c r="AA171" i="6"/>
  <c r="AA170" i="6"/>
  <c r="AA169" i="6"/>
  <c r="AA168" i="6"/>
  <c r="AA167" i="6"/>
  <c r="AA166" i="6"/>
  <c r="AA165" i="6"/>
  <c r="AA164" i="6"/>
  <c r="AA163" i="6"/>
  <c r="AA162" i="6"/>
  <c r="AA161" i="6"/>
  <c r="AA160" i="6"/>
  <c r="AA159" i="6"/>
  <c r="AA158" i="6"/>
  <c r="AA157" i="6"/>
  <c r="AA156" i="6"/>
  <c r="AA155" i="6"/>
  <c r="AA154" i="6"/>
  <c r="AA153" i="6"/>
  <c r="AA152" i="6"/>
  <c r="AA151" i="6"/>
  <c r="AA150" i="6"/>
  <c r="AA149" i="6"/>
  <c r="AA148" i="6"/>
  <c r="AA147" i="6"/>
  <c r="AA146" i="6"/>
  <c r="AA145" i="6"/>
  <c r="AA144" i="6"/>
  <c r="AA143" i="6"/>
  <c r="AA142" i="6"/>
  <c r="AA141" i="6"/>
  <c r="AA140" i="6"/>
  <c r="AA139" i="6"/>
  <c r="AA138" i="6"/>
  <c r="AA137" i="6"/>
  <c r="AA136" i="6"/>
  <c r="AA135" i="6"/>
  <c r="AA134" i="6"/>
  <c r="AA133" i="6"/>
  <c r="AA132" i="6"/>
  <c r="AA131" i="6"/>
  <c r="AA130" i="6"/>
  <c r="AA129" i="6"/>
  <c r="AA128" i="6"/>
  <c r="AA127" i="6"/>
  <c r="AA126" i="6"/>
  <c r="AA125" i="6"/>
  <c r="AA124" i="6"/>
  <c r="AA123" i="6"/>
  <c r="AA122" i="6"/>
  <c r="AA121" i="6"/>
  <c r="AA120" i="6"/>
  <c r="AA119" i="6"/>
  <c r="AA118" i="6"/>
  <c r="AA117" i="6"/>
  <c r="AA116" i="6"/>
  <c r="AA115" i="6"/>
  <c r="AA114" i="6"/>
  <c r="AA113" i="6"/>
  <c r="AA112" i="6"/>
  <c r="AA111" i="6"/>
  <c r="AA110" i="6"/>
  <c r="AA109" i="6"/>
  <c r="AA108" i="6"/>
  <c r="AA107" i="6"/>
  <c r="AA106" i="6"/>
  <c r="AA105" i="6"/>
  <c r="AA104" i="6"/>
  <c r="AA103" i="6"/>
  <c r="AA102" i="6"/>
  <c r="AA101" i="6"/>
  <c r="AA100" i="6"/>
  <c r="AA99" i="6"/>
  <c r="AA98" i="6"/>
  <c r="AA97" i="6"/>
  <c r="AA96" i="6"/>
  <c r="AA95" i="6"/>
  <c r="AA94" i="6"/>
  <c r="AA93" i="6"/>
  <c r="AA92" i="6"/>
  <c r="AA91" i="6"/>
  <c r="AA90" i="6"/>
  <c r="AA89" i="6"/>
  <c r="AA88" i="6"/>
  <c r="AA87" i="6"/>
  <c r="AA86" i="6"/>
  <c r="AA85" i="6"/>
  <c r="AA84" i="6"/>
  <c r="AA83" i="6"/>
  <c r="AA82" i="6"/>
  <c r="AA81" i="6"/>
  <c r="AA80" i="6"/>
  <c r="AA79" i="6"/>
  <c r="AA78" i="6"/>
  <c r="AA77" i="6"/>
  <c r="AA76" i="6"/>
  <c r="AA75" i="6"/>
  <c r="AA74" i="6"/>
  <c r="AA73" i="6"/>
  <c r="AA72" i="6"/>
  <c r="AA71" i="6"/>
  <c r="AA70" i="6"/>
  <c r="AA69" i="6"/>
  <c r="AA68" i="6"/>
  <c r="AA67" i="6"/>
  <c r="AA66" i="6"/>
  <c r="AA65" i="6"/>
  <c r="AA64" i="6"/>
  <c r="AA63" i="6"/>
  <c r="AA62" i="6"/>
  <c r="AA61" i="6"/>
  <c r="AA60" i="6"/>
  <c r="AA59" i="6"/>
  <c r="AA58" i="6"/>
  <c r="AA57" i="6"/>
  <c r="AA56" i="6"/>
  <c r="AA55" i="6"/>
  <c r="AA54" i="6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AA7" i="6"/>
  <c r="AA6" i="6"/>
  <c r="AA5" i="6"/>
  <c r="AA4" i="6"/>
  <c r="AA3" i="6"/>
  <c r="AA2" i="6"/>
  <c r="AA1" i="6"/>
  <c r="AA1550" i="5"/>
  <c r="AA1549" i="5"/>
  <c r="AA1548" i="5"/>
  <c r="AA1547" i="5"/>
  <c r="AA1546" i="5"/>
  <c r="AA1545" i="5"/>
  <c r="AA1544" i="5"/>
  <c r="AA1543" i="5"/>
  <c r="AA1542" i="5"/>
  <c r="AA1541" i="5"/>
  <c r="AA1540" i="5"/>
  <c r="AA1539" i="5"/>
  <c r="AA1538" i="5"/>
  <c r="AA1537" i="5"/>
  <c r="AA1536" i="5"/>
  <c r="AA1535" i="5"/>
  <c r="AA1534" i="5"/>
  <c r="AA1533" i="5"/>
  <c r="AA1532" i="5"/>
  <c r="AA1531" i="5"/>
  <c r="AA1530" i="5"/>
  <c r="AA1529" i="5"/>
  <c r="AA1528" i="5"/>
  <c r="AA1527" i="5"/>
  <c r="AA1526" i="5"/>
  <c r="AA1525" i="5"/>
  <c r="AA1524" i="5"/>
  <c r="AA1523" i="5"/>
  <c r="AA1522" i="5"/>
  <c r="AA1521" i="5"/>
  <c r="AA1520" i="5"/>
  <c r="AA1519" i="5"/>
  <c r="AA1518" i="5"/>
  <c r="AA1517" i="5"/>
  <c r="AA1516" i="5"/>
  <c r="AA1515" i="5"/>
  <c r="AA1514" i="5"/>
  <c r="AA1513" i="5"/>
  <c r="AA1512" i="5"/>
  <c r="AA1511" i="5"/>
  <c r="AA1510" i="5"/>
  <c r="AA1509" i="5"/>
  <c r="AA1508" i="5"/>
  <c r="AA1507" i="5"/>
  <c r="AA1506" i="5"/>
  <c r="AA1505" i="5"/>
  <c r="AA1504" i="5"/>
  <c r="AA1503" i="5"/>
  <c r="AA1502" i="5"/>
  <c r="AA1501" i="5"/>
  <c r="AA1500" i="5"/>
  <c r="AA1499" i="5"/>
  <c r="AA1498" i="5"/>
  <c r="AA1497" i="5"/>
  <c r="AA1496" i="5"/>
  <c r="AA1495" i="5"/>
  <c r="AA1494" i="5"/>
  <c r="AA1493" i="5"/>
  <c r="AA1492" i="5"/>
  <c r="AA1491" i="5"/>
  <c r="AA1490" i="5"/>
  <c r="AA1489" i="5"/>
  <c r="AA1488" i="5"/>
  <c r="AA1487" i="5"/>
  <c r="AA1486" i="5"/>
  <c r="AA1485" i="5"/>
  <c r="AA1484" i="5"/>
  <c r="AA1483" i="5"/>
  <c r="AA1482" i="5"/>
  <c r="AA1481" i="5"/>
  <c r="AA1480" i="5"/>
  <c r="AA1479" i="5"/>
  <c r="AA1478" i="5"/>
  <c r="AA1477" i="5"/>
  <c r="AA1476" i="5"/>
  <c r="AA1475" i="5"/>
  <c r="AA1474" i="5"/>
  <c r="AA1473" i="5"/>
  <c r="AA1472" i="5"/>
  <c r="AA1471" i="5"/>
  <c r="AA1470" i="5"/>
  <c r="AA1469" i="5"/>
  <c r="AA1468" i="5"/>
  <c r="AA1467" i="5"/>
  <c r="AA1466" i="5"/>
  <c r="AA1465" i="5"/>
  <c r="AA1464" i="5"/>
  <c r="AA1463" i="5"/>
  <c r="AA1462" i="5"/>
  <c r="AA1461" i="5"/>
  <c r="AA1460" i="5"/>
  <c r="AA1459" i="5"/>
  <c r="AA1458" i="5"/>
  <c r="AA1457" i="5"/>
  <c r="AA1456" i="5"/>
  <c r="AA1455" i="5"/>
  <c r="AA1454" i="5"/>
  <c r="AA1453" i="5"/>
  <c r="AA1452" i="5"/>
  <c r="AA1451" i="5"/>
  <c r="AA1450" i="5"/>
  <c r="AA1449" i="5"/>
  <c r="AA1448" i="5"/>
  <c r="AA1447" i="5"/>
  <c r="AA1446" i="5"/>
  <c r="AA1445" i="5"/>
  <c r="AA1444" i="5"/>
  <c r="AA1443" i="5"/>
  <c r="AA1442" i="5"/>
  <c r="AA1441" i="5"/>
  <c r="AA1440" i="5"/>
  <c r="AA1439" i="5"/>
  <c r="AA1438" i="5"/>
  <c r="AA1437" i="5"/>
  <c r="AA1436" i="5"/>
  <c r="AA1435" i="5"/>
  <c r="AA1434" i="5"/>
  <c r="AA1433" i="5"/>
  <c r="AA1432" i="5"/>
  <c r="AA1431" i="5"/>
  <c r="AA1430" i="5"/>
  <c r="AA1429" i="5"/>
  <c r="AA1428" i="5"/>
  <c r="AA1427" i="5"/>
  <c r="AA1426" i="5"/>
  <c r="AA1425" i="5"/>
  <c r="AA1424" i="5"/>
  <c r="AA1423" i="5"/>
  <c r="AA1422" i="5"/>
  <c r="AA1421" i="5"/>
  <c r="AA1420" i="5"/>
  <c r="AA1419" i="5"/>
  <c r="AA1418" i="5"/>
  <c r="AA1417" i="5"/>
  <c r="AA1416" i="5"/>
  <c r="AA1415" i="5"/>
  <c r="AA1414" i="5"/>
  <c r="AA1413" i="5"/>
  <c r="AA1412" i="5"/>
  <c r="AA1411" i="5"/>
  <c r="AA1410" i="5"/>
  <c r="AA1409" i="5"/>
  <c r="AA1408" i="5"/>
  <c r="AA1407" i="5"/>
  <c r="AA1406" i="5"/>
  <c r="AA1405" i="5"/>
  <c r="AA1404" i="5"/>
  <c r="AA1403" i="5"/>
  <c r="AA1402" i="5"/>
  <c r="AA1401" i="5"/>
  <c r="AA1400" i="5"/>
  <c r="AA1399" i="5"/>
  <c r="AA1398" i="5"/>
  <c r="AA1397" i="5"/>
  <c r="AA1396" i="5"/>
  <c r="AA1395" i="5"/>
  <c r="AA1394" i="5"/>
  <c r="AA1393" i="5"/>
  <c r="AA1392" i="5"/>
  <c r="AA1391" i="5"/>
  <c r="AA1390" i="5"/>
  <c r="AA1389" i="5"/>
  <c r="AA1388" i="5"/>
  <c r="AA1387" i="5"/>
  <c r="AA1386" i="5"/>
  <c r="AA1385" i="5"/>
  <c r="AA1384" i="5"/>
  <c r="AA1383" i="5"/>
  <c r="AA1382" i="5"/>
  <c r="AA1381" i="5"/>
  <c r="AA1380" i="5"/>
  <c r="AA1379" i="5"/>
  <c r="AA1378" i="5"/>
  <c r="AA1377" i="5"/>
  <c r="AA1376" i="5"/>
  <c r="AA1375" i="5"/>
  <c r="AA1374" i="5"/>
  <c r="AA1373" i="5"/>
  <c r="AA1372" i="5"/>
  <c r="AA1371" i="5"/>
  <c r="AA1370" i="5"/>
  <c r="AA1369" i="5"/>
  <c r="AA1368" i="5"/>
  <c r="AA1367" i="5"/>
  <c r="AA1366" i="5"/>
  <c r="AA1365" i="5"/>
  <c r="AA1364" i="5"/>
  <c r="AA1363" i="5"/>
  <c r="AA1362" i="5"/>
  <c r="AA1361" i="5"/>
  <c r="AA1360" i="5"/>
  <c r="AA1359" i="5"/>
  <c r="AA1358" i="5"/>
  <c r="AA1357" i="5"/>
  <c r="AA1356" i="5"/>
  <c r="AA1355" i="5"/>
  <c r="AA1354" i="5"/>
  <c r="AA1353" i="5"/>
  <c r="AA1352" i="5"/>
  <c r="AA1351" i="5"/>
  <c r="AA1350" i="5"/>
  <c r="AA1349" i="5"/>
  <c r="AA1348" i="5"/>
  <c r="AA1347" i="5"/>
  <c r="AA1346" i="5"/>
  <c r="AA1345" i="5"/>
  <c r="AA1344" i="5"/>
  <c r="AA1343" i="5"/>
  <c r="AA1342" i="5"/>
  <c r="AA1341" i="5"/>
  <c r="AA1340" i="5"/>
  <c r="AA1339" i="5"/>
  <c r="AA1338" i="5"/>
  <c r="AA1337" i="5"/>
  <c r="AA1336" i="5"/>
  <c r="AA1335" i="5"/>
  <c r="AA1334" i="5"/>
  <c r="AA1333" i="5"/>
  <c r="AA1332" i="5"/>
  <c r="AA1331" i="5"/>
  <c r="AA1330" i="5"/>
  <c r="AA1329" i="5"/>
  <c r="AA1328" i="5"/>
  <c r="AA1327" i="5"/>
  <c r="AA1326" i="5"/>
  <c r="AA1325" i="5"/>
  <c r="AA1324" i="5"/>
  <c r="AA1323" i="5"/>
  <c r="AA1322" i="5"/>
  <c r="AA1321" i="5"/>
  <c r="AA1320" i="5"/>
  <c r="AA1319" i="5"/>
  <c r="AA1318" i="5"/>
  <c r="AA1317" i="5"/>
  <c r="AA1316" i="5"/>
  <c r="AA1315" i="5"/>
  <c r="AA1314" i="5"/>
  <c r="AA1313" i="5"/>
  <c r="AA1312" i="5"/>
  <c r="AA1311" i="5"/>
  <c r="AA1310" i="5"/>
  <c r="AA1309" i="5"/>
  <c r="AA1308" i="5"/>
  <c r="AA1307" i="5"/>
  <c r="AA1306" i="5"/>
  <c r="AA1305" i="5"/>
  <c r="AA1304" i="5"/>
  <c r="AA1303" i="5"/>
  <c r="AA1302" i="5"/>
  <c r="AA1301" i="5"/>
  <c r="AA1300" i="5"/>
  <c r="AA1299" i="5"/>
  <c r="AA1298" i="5"/>
  <c r="AA1297" i="5"/>
  <c r="AA1296" i="5"/>
  <c r="AA1295" i="5"/>
  <c r="AA1294" i="5"/>
  <c r="AA1293" i="5"/>
  <c r="AA1292" i="5"/>
  <c r="AA1291" i="5"/>
  <c r="AA1290" i="5"/>
  <c r="AA1289" i="5"/>
  <c r="AA1288" i="5"/>
  <c r="AA1287" i="5"/>
  <c r="AA1286" i="5"/>
  <c r="AA1285" i="5"/>
  <c r="AA1284" i="5"/>
  <c r="AA1283" i="5"/>
  <c r="AA1282" i="5"/>
  <c r="AA1281" i="5"/>
  <c r="AA1280" i="5"/>
  <c r="AA1279" i="5"/>
  <c r="AA1278" i="5"/>
  <c r="AA1277" i="5"/>
  <c r="AA1276" i="5"/>
  <c r="AA1275" i="5"/>
  <c r="AA1274" i="5"/>
  <c r="AA1273" i="5"/>
  <c r="AA1272" i="5"/>
  <c r="AA1271" i="5"/>
  <c r="AA1270" i="5"/>
  <c r="AA1269" i="5"/>
  <c r="AA1268" i="5"/>
  <c r="AA1267" i="5"/>
  <c r="AA1266" i="5"/>
  <c r="AA1265" i="5"/>
  <c r="AA1264" i="5"/>
  <c r="AA1263" i="5"/>
  <c r="AA1262" i="5"/>
  <c r="AA1261" i="5"/>
  <c r="AA1260" i="5"/>
  <c r="AA1259" i="5"/>
  <c r="AA1258" i="5"/>
  <c r="AA1257" i="5"/>
  <c r="AA1256" i="5"/>
  <c r="AA1255" i="5"/>
  <c r="AA1254" i="5"/>
  <c r="AA1253" i="5"/>
  <c r="AA1252" i="5"/>
  <c r="AA1251" i="5"/>
  <c r="AA1250" i="5"/>
  <c r="AA1249" i="5"/>
  <c r="AA1248" i="5"/>
  <c r="AA1247" i="5"/>
  <c r="AA1246" i="5"/>
  <c r="AA1245" i="5"/>
  <c r="AA1244" i="5"/>
  <c r="AA1243" i="5"/>
  <c r="AA1242" i="5"/>
  <c r="AA1241" i="5"/>
  <c r="AA1240" i="5"/>
  <c r="AA1239" i="5"/>
  <c r="AA1238" i="5"/>
  <c r="AA1237" i="5"/>
  <c r="AA1236" i="5"/>
  <c r="AA1235" i="5"/>
  <c r="AA1234" i="5"/>
  <c r="AA1233" i="5"/>
  <c r="AA1232" i="5"/>
  <c r="AA1231" i="5"/>
  <c r="AA1230" i="5"/>
  <c r="AA1229" i="5"/>
  <c r="AA1228" i="5"/>
  <c r="AA1227" i="5"/>
  <c r="AA1226" i="5"/>
  <c r="AA1225" i="5"/>
  <c r="AA1224" i="5"/>
  <c r="AA1223" i="5"/>
  <c r="AA1222" i="5"/>
  <c r="AA1221" i="5"/>
  <c r="AA1220" i="5"/>
  <c r="AA1219" i="5"/>
  <c r="AA1218" i="5"/>
  <c r="AA1217" i="5"/>
  <c r="AA1216" i="5"/>
  <c r="AA1215" i="5"/>
  <c r="AA1214" i="5"/>
  <c r="AA1213" i="5"/>
  <c r="AA1212" i="5"/>
  <c r="AA1211" i="5"/>
  <c r="AA1210" i="5"/>
  <c r="AA1209" i="5"/>
  <c r="AA1208" i="5"/>
  <c r="AA1207" i="5"/>
  <c r="AA1206" i="5"/>
  <c r="AA1205" i="5"/>
  <c r="AA1204" i="5"/>
  <c r="AA1203" i="5"/>
  <c r="AA1202" i="5"/>
  <c r="AA1201" i="5"/>
  <c r="AA1200" i="5"/>
  <c r="AA1199" i="5"/>
  <c r="AA1198" i="5"/>
  <c r="AA1197" i="5"/>
  <c r="AA1196" i="5"/>
  <c r="AA1195" i="5"/>
  <c r="AA1194" i="5"/>
  <c r="AA1193" i="5"/>
  <c r="AA1192" i="5"/>
  <c r="AA1191" i="5"/>
  <c r="AA1190" i="5"/>
  <c r="AA1189" i="5"/>
  <c r="AA1188" i="5"/>
  <c r="AA1187" i="5"/>
  <c r="AA1186" i="5"/>
  <c r="AA1185" i="5"/>
  <c r="AA1184" i="5"/>
  <c r="AA1183" i="5"/>
  <c r="AA1182" i="5"/>
  <c r="AA1181" i="5"/>
  <c r="AA1180" i="5"/>
  <c r="AA1179" i="5"/>
  <c r="AA1178" i="5"/>
  <c r="AA1177" i="5"/>
  <c r="AA1176" i="5"/>
  <c r="AA1175" i="5"/>
  <c r="AA1174" i="5"/>
  <c r="AA1173" i="5"/>
  <c r="AA1172" i="5"/>
  <c r="AA1171" i="5"/>
  <c r="AA1170" i="5"/>
  <c r="AA1169" i="5"/>
  <c r="AA1168" i="5"/>
  <c r="AA1167" i="5"/>
  <c r="AA1166" i="5"/>
  <c r="AA1165" i="5"/>
  <c r="AA1164" i="5"/>
  <c r="AA1163" i="5"/>
  <c r="AA1162" i="5"/>
  <c r="AA1161" i="5"/>
  <c r="AA1160" i="5"/>
  <c r="AA1159" i="5"/>
  <c r="AA1158" i="5"/>
  <c r="AA1157" i="5"/>
  <c r="AA1156" i="5"/>
  <c r="AA1155" i="5"/>
  <c r="AA1154" i="5"/>
  <c r="AA1153" i="5"/>
  <c r="AA1152" i="5"/>
  <c r="AA1151" i="5"/>
  <c r="AA1150" i="5"/>
  <c r="AA1149" i="5"/>
  <c r="AA1148" i="5"/>
  <c r="AA1147" i="5"/>
  <c r="AA1146" i="5"/>
  <c r="AA1145" i="5"/>
  <c r="AA1144" i="5"/>
  <c r="AA1143" i="5"/>
  <c r="AA1142" i="5"/>
  <c r="AA1141" i="5"/>
  <c r="AA1140" i="5"/>
  <c r="AA1139" i="5"/>
  <c r="AA1138" i="5"/>
  <c r="AA1137" i="5"/>
  <c r="AA1136" i="5"/>
  <c r="AA1135" i="5"/>
  <c r="AA1134" i="5"/>
  <c r="AA1133" i="5"/>
  <c r="AA1132" i="5"/>
  <c r="AA1131" i="5"/>
  <c r="AA1130" i="5"/>
  <c r="AA1129" i="5"/>
  <c r="AA1128" i="5"/>
  <c r="AA1127" i="5"/>
  <c r="AA1126" i="5"/>
  <c r="AA1125" i="5"/>
  <c r="AA1124" i="5"/>
  <c r="AA1123" i="5"/>
  <c r="AA1122" i="5"/>
  <c r="AA1121" i="5"/>
  <c r="AA1120" i="5"/>
  <c r="AA1119" i="5"/>
  <c r="AA1118" i="5"/>
  <c r="AA1117" i="5"/>
  <c r="AA1116" i="5"/>
  <c r="AA1115" i="5"/>
  <c r="AA1114" i="5"/>
  <c r="AA1113" i="5"/>
  <c r="AA1112" i="5"/>
  <c r="AA1111" i="5"/>
  <c r="AA1110" i="5"/>
  <c r="AA1109" i="5"/>
  <c r="AA1108" i="5"/>
  <c r="AA1107" i="5"/>
  <c r="AA1106" i="5"/>
  <c r="AA1105" i="5"/>
  <c r="AA1104" i="5"/>
  <c r="AA1103" i="5"/>
  <c r="AA1102" i="5"/>
  <c r="AA1101" i="5"/>
  <c r="AA1100" i="5"/>
  <c r="AA1099" i="5"/>
  <c r="AA1098" i="5"/>
  <c r="AA1097" i="5"/>
  <c r="AA1096" i="5"/>
  <c r="AA1095" i="5"/>
  <c r="AA1094" i="5"/>
  <c r="AA1093" i="5"/>
  <c r="AA1092" i="5"/>
  <c r="AA1091" i="5"/>
  <c r="AA1090" i="5"/>
  <c r="AA1089" i="5"/>
  <c r="AA1088" i="5"/>
  <c r="AA1087" i="5"/>
  <c r="AA1086" i="5"/>
  <c r="AA1085" i="5"/>
  <c r="AA1084" i="5"/>
  <c r="AA1083" i="5"/>
  <c r="AA1082" i="5"/>
  <c r="AA1081" i="5"/>
  <c r="AA1080" i="5"/>
  <c r="AA1079" i="5"/>
  <c r="AA1078" i="5"/>
  <c r="AA1077" i="5"/>
  <c r="AA1076" i="5"/>
  <c r="AA1075" i="5"/>
  <c r="AA1074" i="5"/>
  <c r="AA1073" i="5"/>
  <c r="AA1072" i="5"/>
  <c r="AA1071" i="5"/>
  <c r="AA1070" i="5"/>
  <c r="AA1069" i="5"/>
  <c r="AA1068" i="5"/>
  <c r="AA1067" i="5"/>
  <c r="AA1066" i="5"/>
  <c r="AA1065" i="5"/>
  <c r="AA1064" i="5"/>
  <c r="AA1063" i="5"/>
  <c r="AA1062" i="5"/>
  <c r="AA1061" i="5"/>
  <c r="AA1060" i="5"/>
  <c r="AA1059" i="5"/>
  <c r="AA1058" i="5"/>
  <c r="AA1057" i="5"/>
  <c r="AA1056" i="5"/>
  <c r="AA1055" i="5"/>
  <c r="AA1054" i="5"/>
  <c r="AA1053" i="5"/>
  <c r="AA1052" i="5"/>
  <c r="AA1051" i="5"/>
  <c r="AA1050" i="5"/>
  <c r="AA1049" i="5"/>
  <c r="AA1048" i="5"/>
  <c r="AA1047" i="5"/>
  <c r="AA1046" i="5"/>
  <c r="AA1045" i="5"/>
  <c r="AA1044" i="5"/>
  <c r="AA1043" i="5"/>
  <c r="AA1042" i="5"/>
  <c r="AA1041" i="5"/>
  <c r="AA1040" i="5"/>
  <c r="AA1039" i="5"/>
  <c r="AA1038" i="5"/>
  <c r="AA1037" i="5"/>
  <c r="AA1036" i="5"/>
  <c r="AA1035" i="5"/>
  <c r="AA1034" i="5"/>
  <c r="AA1033" i="5"/>
  <c r="AA1032" i="5"/>
  <c r="AA1031" i="5"/>
  <c r="AA1030" i="5"/>
  <c r="AA1029" i="5"/>
  <c r="AA1028" i="5"/>
  <c r="AA1027" i="5"/>
  <c r="AA1026" i="5"/>
  <c r="AA1025" i="5"/>
  <c r="AA1024" i="5"/>
  <c r="AA1023" i="5"/>
  <c r="AA1022" i="5"/>
  <c r="AA1021" i="5"/>
  <c r="AA1020" i="5"/>
  <c r="AA1019" i="5"/>
  <c r="AA1018" i="5"/>
  <c r="AA1017" i="5"/>
  <c r="AA1016" i="5"/>
  <c r="AA1015" i="5"/>
  <c r="AA1014" i="5"/>
  <c r="AA1013" i="5"/>
  <c r="AA1012" i="5"/>
  <c r="AA1011" i="5"/>
  <c r="AA1010" i="5"/>
  <c r="AA1009" i="5"/>
  <c r="AA1008" i="5"/>
  <c r="AA1007" i="5"/>
  <c r="AA1006" i="5"/>
  <c r="AA1005" i="5"/>
  <c r="AA1004" i="5"/>
  <c r="AA1003" i="5"/>
  <c r="AA1002" i="5"/>
  <c r="AA1001" i="5"/>
  <c r="AA1000" i="5"/>
  <c r="AA999" i="5"/>
  <c r="AA998" i="5"/>
  <c r="AA997" i="5"/>
  <c r="AA996" i="5"/>
  <c r="AA995" i="5"/>
  <c r="AA994" i="5"/>
  <c r="AA993" i="5"/>
  <c r="AA992" i="5"/>
  <c r="AA991" i="5"/>
  <c r="AA990" i="5"/>
  <c r="AA989" i="5"/>
  <c r="AA988" i="5"/>
  <c r="AA987" i="5"/>
  <c r="AA986" i="5"/>
  <c r="AA985" i="5"/>
  <c r="AA984" i="5"/>
  <c r="AA983" i="5"/>
  <c r="AA982" i="5"/>
  <c r="AA981" i="5"/>
  <c r="AA980" i="5"/>
  <c r="AA979" i="5"/>
  <c r="AA978" i="5"/>
  <c r="AA977" i="5"/>
  <c r="AA976" i="5"/>
  <c r="AA975" i="5"/>
  <c r="AA974" i="5"/>
  <c r="AA973" i="5"/>
  <c r="AA972" i="5"/>
  <c r="AA971" i="5"/>
  <c r="AA970" i="5"/>
  <c r="AA969" i="5"/>
  <c r="AA968" i="5"/>
  <c r="AA967" i="5"/>
  <c r="AA966" i="5"/>
  <c r="AA965" i="5"/>
  <c r="AA964" i="5"/>
  <c r="AA963" i="5"/>
  <c r="AA962" i="5"/>
  <c r="AA961" i="5"/>
  <c r="AA960" i="5"/>
  <c r="AA959" i="5"/>
  <c r="AA958" i="5"/>
  <c r="AA957" i="5"/>
  <c r="AA956" i="5"/>
  <c r="AA955" i="5"/>
  <c r="AA954" i="5"/>
  <c r="AA953" i="5"/>
  <c r="AA952" i="5"/>
  <c r="AA951" i="5"/>
  <c r="AA950" i="5"/>
  <c r="AA949" i="5"/>
  <c r="AA948" i="5"/>
  <c r="AA947" i="5"/>
  <c r="AA946" i="5"/>
  <c r="AA945" i="5"/>
  <c r="AA944" i="5"/>
  <c r="AA943" i="5"/>
  <c r="AA942" i="5"/>
  <c r="AA941" i="5"/>
  <c r="AA940" i="5"/>
  <c r="AA939" i="5"/>
  <c r="AA938" i="5"/>
  <c r="AA937" i="5"/>
  <c r="AA936" i="5"/>
  <c r="AA935" i="5"/>
  <c r="AA934" i="5"/>
  <c r="AA933" i="5"/>
  <c r="AA932" i="5"/>
  <c r="AA931" i="5"/>
  <c r="AA930" i="5"/>
  <c r="AA929" i="5"/>
  <c r="AA928" i="5"/>
  <c r="AA927" i="5"/>
  <c r="AA926" i="5"/>
  <c r="AA925" i="5"/>
  <c r="AA924" i="5"/>
  <c r="AA923" i="5"/>
  <c r="AA922" i="5"/>
  <c r="AA921" i="5"/>
  <c r="AA920" i="5"/>
  <c r="AA919" i="5"/>
  <c r="AA918" i="5"/>
  <c r="AA917" i="5"/>
  <c r="AA916" i="5"/>
  <c r="AA915" i="5"/>
  <c r="AA914" i="5"/>
  <c r="AA913" i="5"/>
  <c r="AA912" i="5"/>
  <c r="AA911" i="5"/>
  <c r="AA910" i="5"/>
  <c r="AA909" i="5"/>
  <c r="AA908" i="5"/>
  <c r="AA907" i="5"/>
  <c r="AA906" i="5"/>
  <c r="AA905" i="5"/>
  <c r="AA904" i="5"/>
  <c r="AA903" i="5"/>
  <c r="AA902" i="5"/>
  <c r="AA901" i="5"/>
  <c r="AA900" i="5"/>
  <c r="AA899" i="5"/>
  <c r="AA898" i="5"/>
  <c r="AA897" i="5"/>
  <c r="AA896" i="5"/>
  <c r="AA895" i="5"/>
  <c r="AA894" i="5"/>
  <c r="AA893" i="5"/>
  <c r="AA892" i="5"/>
  <c r="AA891" i="5"/>
  <c r="AA890" i="5"/>
  <c r="AA889" i="5"/>
  <c r="AA888" i="5"/>
  <c r="AA887" i="5"/>
  <c r="AA886" i="5"/>
  <c r="AA885" i="5"/>
  <c r="AA884" i="5"/>
  <c r="AA883" i="5"/>
  <c r="AA882" i="5"/>
  <c r="AA881" i="5"/>
  <c r="AA880" i="5"/>
  <c r="AA879" i="5"/>
  <c r="AA878" i="5"/>
  <c r="AA877" i="5"/>
  <c r="AA876" i="5"/>
  <c r="AA875" i="5"/>
  <c r="AA874" i="5"/>
  <c r="AA873" i="5"/>
  <c r="AA872" i="5"/>
  <c r="AA871" i="5"/>
  <c r="AA870" i="5"/>
  <c r="AA869" i="5"/>
  <c r="AA868" i="5"/>
  <c r="AA867" i="5"/>
  <c r="AA866" i="5"/>
  <c r="AA865" i="5"/>
  <c r="AA864" i="5"/>
  <c r="AA863" i="5"/>
  <c r="AA862" i="5"/>
  <c r="AA861" i="5"/>
  <c r="AA860" i="5"/>
  <c r="AA859" i="5"/>
  <c r="AA858" i="5"/>
  <c r="AA857" i="5"/>
  <c r="AA856" i="5"/>
  <c r="AA855" i="5"/>
  <c r="AA854" i="5"/>
  <c r="AA853" i="5"/>
  <c r="AA852" i="5"/>
  <c r="AA851" i="5"/>
  <c r="AA850" i="5"/>
  <c r="AA849" i="5"/>
  <c r="AA848" i="5"/>
  <c r="AA847" i="5"/>
  <c r="AA846" i="5"/>
  <c r="AA845" i="5"/>
  <c r="AA844" i="5"/>
  <c r="AA843" i="5"/>
  <c r="AA842" i="5"/>
  <c r="AA841" i="5"/>
  <c r="AA840" i="5"/>
  <c r="AA839" i="5"/>
  <c r="AA838" i="5"/>
  <c r="AA837" i="5"/>
  <c r="AA836" i="5"/>
  <c r="AA835" i="5"/>
  <c r="AA834" i="5"/>
  <c r="AA833" i="5"/>
  <c r="AA832" i="5"/>
  <c r="AA831" i="5"/>
  <c r="AA830" i="5"/>
  <c r="AA829" i="5"/>
  <c r="AA828" i="5"/>
  <c r="AA827" i="5"/>
  <c r="AA826" i="5"/>
  <c r="AA825" i="5"/>
  <c r="AA824" i="5"/>
  <c r="AA823" i="5"/>
  <c r="AA822" i="5"/>
  <c r="AA821" i="5"/>
  <c r="AA820" i="5"/>
  <c r="AA819" i="5"/>
  <c r="AA818" i="5"/>
  <c r="AA817" i="5"/>
  <c r="AA816" i="5"/>
  <c r="AA815" i="5"/>
  <c r="AA814" i="5"/>
  <c r="AA813" i="5"/>
  <c r="AA812" i="5"/>
  <c r="AA811" i="5"/>
  <c r="AA810" i="5"/>
  <c r="AA809" i="5"/>
  <c r="AA808" i="5"/>
  <c r="AA807" i="5"/>
  <c r="AA806" i="5"/>
  <c r="AA805" i="5"/>
  <c r="AA804" i="5"/>
  <c r="AA803" i="5"/>
  <c r="AA802" i="5"/>
  <c r="AA801" i="5"/>
  <c r="AA800" i="5"/>
  <c r="AA799" i="5"/>
  <c r="AA798" i="5"/>
  <c r="AA797" i="5"/>
  <c r="AA796" i="5"/>
  <c r="AA795" i="5"/>
  <c r="AA794" i="5"/>
  <c r="AA793" i="5"/>
  <c r="AA792" i="5"/>
  <c r="AA791" i="5"/>
  <c r="AA790" i="5"/>
  <c r="AA789" i="5"/>
  <c r="AA788" i="5"/>
  <c r="AA787" i="5"/>
  <c r="AA786" i="5"/>
  <c r="AA785" i="5"/>
  <c r="AA784" i="5"/>
  <c r="AA783" i="5"/>
  <c r="AA782" i="5"/>
  <c r="AA781" i="5"/>
  <c r="AA780" i="5"/>
  <c r="AA779" i="5"/>
  <c r="AA778" i="5"/>
  <c r="AA777" i="5"/>
  <c r="AA776" i="5"/>
  <c r="AA775" i="5"/>
  <c r="AA774" i="5"/>
  <c r="AA773" i="5"/>
  <c r="AA772" i="5"/>
  <c r="AA771" i="5"/>
  <c r="AA770" i="5"/>
  <c r="AA769" i="5"/>
  <c r="AA768" i="5"/>
  <c r="AA767" i="5"/>
  <c r="AA766" i="5"/>
  <c r="AA765" i="5"/>
  <c r="AA764" i="5"/>
  <c r="AA763" i="5"/>
  <c r="AA762" i="5"/>
  <c r="AA761" i="5"/>
  <c r="AA760" i="5"/>
  <c r="AA759" i="5"/>
  <c r="AA758" i="5"/>
  <c r="AA757" i="5"/>
  <c r="AA756" i="5"/>
  <c r="AA755" i="5"/>
  <c r="AA754" i="5"/>
  <c r="AA753" i="5"/>
  <c r="AA752" i="5"/>
  <c r="AA751" i="5"/>
  <c r="AA750" i="5"/>
  <c r="AA749" i="5"/>
  <c r="AA748" i="5"/>
  <c r="AA747" i="5"/>
  <c r="AA746" i="5"/>
  <c r="AA745" i="5"/>
  <c r="AA744" i="5"/>
  <c r="AA743" i="5"/>
  <c r="AA742" i="5"/>
  <c r="AA741" i="5"/>
  <c r="AA740" i="5"/>
  <c r="AA739" i="5"/>
  <c r="AA738" i="5"/>
  <c r="AA737" i="5"/>
  <c r="AA736" i="5"/>
  <c r="AA735" i="5"/>
  <c r="AA734" i="5"/>
  <c r="AA733" i="5"/>
  <c r="AA732" i="5"/>
  <c r="AA731" i="5"/>
  <c r="AA730" i="5"/>
  <c r="AA729" i="5"/>
  <c r="AA728" i="5"/>
  <c r="AA727" i="5"/>
  <c r="AA726" i="5"/>
  <c r="AA725" i="5"/>
  <c r="AA724" i="5"/>
  <c r="AA723" i="5"/>
  <c r="AA722" i="5"/>
  <c r="AA721" i="5"/>
  <c r="AA720" i="5"/>
  <c r="AA719" i="5"/>
  <c r="AA718" i="5"/>
  <c r="AA717" i="5"/>
  <c r="AA716" i="5"/>
  <c r="AA715" i="5"/>
  <c r="AA714" i="5"/>
  <c r="AA713" i="5"/>
  <c r="AA712" i="5"/>
  <c r="AA711" i="5"/>
  <c r="AA710" i="5"/>
  <c r="AA709" i="5"/>
  <c r="AA708" i="5"/>
  <c r="AA707" i="5"/>
  <c r="AA706" i="5"/>
  <c r="AA705" i="5"/>
  <c r="AA704" i="5"/>
  <c r="AA703" i="5"/>
  <c r="AA702" i="5"/>
  <c r="AA701" i="5"/>
  <c r="AA700" i="5"/>
  <c r="AA699" i="5"/>
  <c r="AA698" i="5"/>
  <c r="AA697" i="5"/>
  <c r="AA696" i="5"/>
  <c r="AA695" i="5"/>
  <c r="AA694" i="5"/>
  <c r="AA693" i="5"/>
  <c r="AA692" i="5"/>
  <c r="AA691" i="5"/>
  <c r="AA690" i="5"/>
  <c r="AA689" i="5"/>
  <c r="AA688" i="5"/>
  <c r="AA687" i="5"/>
  <c r="AA686" i="5"/>
  <c r="AA685" i="5"/>
  <c r="AA684" i="5"/>
  <c r="AA683" i="5"/>
  <c r="AA682" i="5"/>
  <c r="AA681" i="5"/>
  <c r="AA680" i="5"/>
  <c r="AA679" i="5"/>
  <c r="AA678" i="5"/>
  <c r="AA677" i="5"/>
  <c r="AA676" i="5"/>
  <c r="AA675" i="5"/>
  <c r="AA674" i="5"/>
  <c r="AA673" i="5"/>
  <c r="AA672" i="5"/>
  <c r="AA671" i="5"/>
  <c r="AA670" i="5"/>
  <c r="AA669" i="5"/>
  <c r="AA668" i="5"/>
  <c r="AA667" i="5"/>
  <c r="AA666" i="5"/>
  <c r="AA665" i="5"/>
  <c r="AA664" i="5"/>
  <c r="AA663" i="5"/>
  <c r="AA662" i="5"/>
  <c r="AA661" i="5"/>
  <c r="AA660" i="5"/>
  <c r="AA659" i="5"/>
  <c r="AA658" i="5"/>
  <c r="AA657" i="5"/>
  <c r="AA656" i="5"/>
  <c r="AA655" i="5"/>
  <c r="AA654" i="5"/>
  <c r="AA653" i="5"/>
  <c r="AA652" i="5"/>
  <c r="AA651" i="5"/>
  <c r="AA650" i="5"/>
  <c r="AA649" i="5"/>
  <c r="AA648" i="5"/>
  <c r="AA647" i="5"/>
  <c r="AA646" i="5"/>
  <c r="AA645" i="5"/>
  <c r="AA644" i="5"/>
  <c r="AA643" i="5"/>
  <c r="AA642" i="5"/>
  <c r="AA641" i="5"/>
  <c r="AA640" i="5"/>
  <c r="AA639" i="5"/>
  <c r="AA638" i="5"/>
  <c r="AA637" i="5"/>
  <c r="AA636" i="5"/>
  <c r="AA635" i="5"/>
  <c r="AA634" i="5"/>
  <c r="AA633" i="5"/>
  <c r="AA632" i="5"/>
  <c r="AA631" i="5"/>
  <c r="AA630" i="5"/>
  <c r="AA629" i="5"/>
  <c r="AA628" i="5"/>
  <c r="AA627" i="5"/>
  <c r="AA626" i="5"/>
  <c r="AA625" i="5"/>
  <c r="AA624" i="5"/>
  <c r="AA623" i="5"/>
  <c r="AA622" i="5"/>
  <c r="AA621" i="5"/>
  <c r="AA620" i="5"/>
  <c r="AA619" i="5"/>
  <c r="AA618" i="5"/>
  <c r="AA617" i="5"/>
  <c r="AA616" i="5"/>
  <c r="AA615" i="5"/>
  <c r="AA614" i="5"/>
  <c r="AA613" i="5"/>
  <c r="AA612" i="5"/>
  <c r="AA611" i="5"/>
  <c r="AA610" i="5"/>
  <c r="AA609" i="5"/>
  <c r="AA608" i="5"/>
  <c r="AA607" i="5"/>
  <c r="AA606" i="5"/>
  <c r="AA605" i="5"/>
  <c r="AA604" i="5"/>
  <c r="AA603" i="5"/>
  <c r="AA602" i="5"/>
  <c r="AA601" i="5"/>
  <c r="AA600" i="5"/>
  <c r="AA599" i="5"/>
  <c r="AA598" i="5"/>
  <c r="AA597" i="5"/>
  <c r="AA596" i="5"/>
  <c r="AA595" i="5"/>
  <c r="AA594" i="5"/>
  <c r="AA593" i="5"/>
  <c r="AA592" i="5"/>
  <c r="AA591" i="5"/>
  <c r="AA590" i="5"/>
  <c r="AA589" i="5"/>
  <c r="AA588" i="5"/>
  <c r="AA587" i="5"/>
  <c r="AA586" i="5"/>
  <c r="AA585" i="5"/>
  <c r="AA584" i="5"/>
  <c r="AA583" i="5"/>
  <c r="AA582" i="5"/>
  <c r="AA581" i="5"/>
  <c r="AA580" i="5"/>
  <c r="AA579" i="5"/>
  <c r="AA578" i="5"/>
  <c r="AA577" i="5"/>
  <c r="AA576" i="5"/>
  <c r="AA575" i="5"/>
  <c r="AA574" i="5"/>
  <c r="AA573" i="5"/>
  <c r="AA572" i="5"/>
  <c r="AA571" i="5"/>
  <c r="AA570" i="5"/>
  <c r="AA569" i="5"/>
  <c r="AA568" i="5"/>
  <c r="AA567" i="5"/>
  <c r="AA566" i="5"/>
  <c r="AA565" i="5"/>
  <c r="AA564" i="5"/>
  <c r="AA563" i="5"/>
  <c r="AA562" i="5"/>
  <c r="AA561" i="5"/>
  <c r="AA560" i="5"/>
  <c r="AA559" i="5"/>
  <c r="AA558" i="5"/>
  <c r="AA557" i="5"/>
  <c r="AA556" i="5"/>
  <c r="AA555" i="5"/>
  <c r="AA554" i="5"/>
  <c r="AA553" i="5"/>
  <c r="AA552" i="5"/>
  <c r="AA551" i="5"/>
  <c r="AA550" i="5"/>
  <c r="AA549" i="5"/>
  <c r="AA548" i="5"/>
  <c r="AA547" i="5"/>
  <c r="AA546" i="5"/>
  <c r="AA545" i="5"/>
  <c r="AA544" i="5"/>
  <c r="AA543" i="5"/>
  <c r="AA542" i="5"/>
  <c r="AA541" i="5"/>
  <c r="AA540" i="5"/>
  <c r="AA539" i="5"/>
  <c r="AA538" i="5"/>
  <c r="AA537" i="5"/>
  <c r="AA536" i="5"/>
  <c r="AA535" i="5"/>
  <c r="AA534" i="5"/>
  <c r="AA533" i="5"/>
  <c r="AA532" i="5"/>
  <c r="AA531" i="5"/>
  <c r="AA530" i="5"/>
  <c r="AA529" i="5"/>
  <c r="AA528" i="5"/>
  <c r="AA527" i="5"/>
  <c r="AA526" i="5"/>
  <c r="AA525" i="5"/>
  <c r="AA524" i="5"/>
  <c r="AA523" i="5"/>
  <c r="AA522" i="5"/>
  <c r="AA521" i="5"/>
  <c r="AA520" i="5"/>
  <c r="AA519" i="5"/>
  <c r="AA518" i="5"/>
  <c r="AA517" i="5"/>
  <c r="AA516" i="5"/>
  <c r="AA515" i="5"/>
  <c r="AA514" i="5"/>
  <c r="AA513" i="5"/>
  <c r="AA512" i="5"/>
  <c r="AA511" i="5"/>
  <c r="AA510" i="5"/>
  <c r="AA509" i="5"/>
  <c r="AA508" i="5"/>
  <c r="AA507" i="5"/>
  <c r="AA506" i="5"/>
  <c r="AA505" i="5"/>
  <c r="AA504" i="5"/>
  <c r="AA503" i="5"/>
  <c r="AA502" i="5"/>
  <c r="AA501" i="5"/>
  <c r="AA500" i="5"/>
  <c r="AA499" i="5"/>
  <c r="AA498" i="5"/>
  <c r="AA497" i="5"/>
  <c r="AA496" i="5"/>
  <c r="AA495" i="5"/>
  <c r="AA494" i="5"/>
  <c r="AA493" i="5"/>
  <c r="AA492" i="5"/>
  <c r="AA491" i="5"/>
  <c r="AA490" i="5"/>
  <c r="AA489" i="5"/>
  <c r="AA488" i="5"/>
  <c r="AA487" i="5"/>
  <c r="AA486" i="5"/>
  <c r="AA485" i="5"/>
  <c r="AA484" i="5"/>
  <c r="AA483" i="5"/>
  <c r="AA482" i="5"/>
  <c r="AA481" i="5"/>
  <c r="AA480" i="5"/>
  <c r="AA479" i="5"/>
  <c r="AA478" i="5"/>
  <c r="AA477" i="5"/>
  <c r="AA476" i="5"/>
  <c r="AA475" i="5"/>
  <c r="AA474" i="5"/>
  <c r="AA473" i="5"/>
  <c r="AA472" i="5"/>
  <c r="AA471" i="5"/>
  <c r="AA470" i="5"/>
  <c r="AA469" i="5"/>
  <c r="AA468" i="5"/>
  <c r="AA467" i="5"/>
  <c r="AA466" i="5"/>
  <c r="AA465" i="5"/>
  <c r="AA464" i="5"/>
  <c r="AA463" i="5"/>
  <c r="AA462" i="5"/>
  <c r="AA461" i="5"/>
  <c r="AA460" i="5"/>
  <c r="AA459" i="5"/>
  <c r="AA458" i="5"/>
  <c r="AA457" i="5"/>
  <c r="AA456" i="5"/>
  <c r="AA455" i="5"/>
  <c r="AA454" i="5"/>
  <c r="AA453" i="5"/>
  <c r="AA452" i="5"/>
  <c r="AA451" i="5"/>
  <c r="AA450" i="5"/>
  <c r="AA449" i="5"/>
  <c r="AA448" i="5"/>
  <c r="AA447" i="5"/>
  <c r="AA446" i="5"/>
  <c r="AA445" i="5"/>
  <c r="AA444" i="5"/>
  <c r="AA443" i="5"/>
  <c r="AA442" i="5"/>
  <c r="AA441" i="5"/>
  <c r="AA440" i="5"/>
  <c r="AA439" i="5"/>
  <c r="AA438" i="5"/>
  <c r="AA437" i="5"/>
  <c r="AA436" i="5"/>
  <c r="AA435" i="5"/>
  <c r="AA434" i="5"/>
  <c r="AA433" i="5"/>
  <c r="AA432" i="5"/>
  <c r="AA431" i="5"/>
  <c r="AA430" i="5"/>
  <c r="AA429" i="5"/>
  <c r="AA428" i="5"/>
  <c r="AA427" i="5"/>
  <c r="AA426" i="5"/>
  <c r="AA425" i="5"/>
  <c r="AA424" i="5"/>
  <c r="AA423" i="5"/>
  <c r="AA422" i="5"/>
  <c r="AA421" i="5"/>
  <c r="AA420" i="5"/>
  <c r="AA419" i="5"/>
  <c r="AA418" i="5"/>
  <c r="AA417" i="5"/>
  <c r="AA416" i="5"/>
  <c r="AA415" i="5"/>
  <c r="AA414" i="5"/>
  <c r="AA413" i="5"/>
  <c r="AA412" i="5"/>
  <c r="AA411" i="5"/>
  <c r="AA410" i="5"/>
  <c r="AA409" i="5"/>
  <c r="AA408" i="5"/>
  <c r="AA407" i="5"/>
  <c r="AA406" i="5"/>
  <c r="AA405" i="5"/>
  <c r="AA404" i="5"/>
  <c r="AA403" i="5"/>
  <c r="AA402" i="5"/>
  <c r="AA401" i="5"/>
  <c r="AA400" i="5"/>
  <c r="AA399" i="5"/>
  <c r="AA398" i="5"/>
  <c r="AA397" i="5"/>
  <c r="AA396" i="5"/>
  <c r="AA395" i="5"/>
  <c r="AA394" i="5"/>
  <c r="AA393" i="5"/>
  <c r="AA392" i="5"/>
  <c r="AA391" i="5"/>
  <c r="AA390" i="5"/>
  <c r="AA389" i="5"/>
  <c r="AA388" i="5"/>
  <c r="AA387" i="5"/>
  <c r="AA386" i="5"/>
  <c r="AA385" i="5"/>
  <c r="AA384" i="5"/>
  <c r="AA383" i="5"/>
  <c r="AA382" i="5"/>
  <c r="AA381" i="5"/>
  <c r="AA380" i="5"/>
  <c r="AA379" i="5"/>
  <c r="AA378" i="5"/>
  <c r="AA377" i="5"/>
  <c r="AA376" i="5"/>
  <c r="AA375" i="5"/>
  <c r="AA374" i="5"/>
  <c r="AA373" i="5"/>
  <c r="AA372" i="5"/>
  <c r="AA371" i="5"/>
  <c r="AA370" i="5"/>
  <c r="AA369" i="5"/>
  <c r="AA368" i="5"/>
  <c r="AA367" i="5"/>
  <c r="AA366" i="5"/>
  <c r="AA365" i="5"/>
  <c r="AA364" i="5"/>
  <c r="AA363" i="5"/>
  <c r="AA362" i="5"/>
  <c r="AA361" i="5"/>
  <c r="AA360" i="5"/>
  <c r="AA359" i="5"/>
  <c r="AA358" i="5"/>
  <c r="AA357" i="5"/>
  <c r="AA356" i="5"/>
  <c r="AA355" i="5"/>
  <c r="AA354" i="5"/>
  <c r="AA353" i="5"/>
  <c r="AA352" i="5"/>
  <c r="AA351" i="5"/>
  <c r="AA350" i="5"/>
  <c r="AA349" i="5"/>
  <c r="AA348" i="5"/>
  <c r="AA347" i="5"/>
  <c r="AA346" i="5"/>
  <c r="AA345" i="5"/>
  <c r="AA344" i="5"/>
  <c r="AA343" i="5"/>
  <c r="AA342" i="5"/>
  <c r="AA341" i="5"/>
  <c r="AA340" i="5"/>
  <c r="AA339" i="5"/>
  <c r="AA338" i="5"/>
  <c r="AA337" i="5"/>
  <c r="AA336" i="5"/>
  <c r="AA335" i="5"/>
  <c r="AA334" i="5"/>
  <c r="AA333" i="5"/>
  <c r="AA332" i="5"/>
  <c r="AA331" i="5"/>
  <c r="AA330" i="5"/>
  <c r="AA329" i="5"/>
  <c r="AA328" i="5"/>
  <c r="AA327" i="5"/>
  <c r="AA326" i="5"/>
  <c r="AA325" i="5"/>
  <c r="AA324" i="5"/>
  <c r="AA323" i="5"/>
  <c r="AA322" i="5"/>
  <c r="AA321" i="5"/>
  <c r="AA320" i="5"/>
  <c r="AA319" i="5"/>
  <c r="AA318" i="5"/>
  <c r="AA317" i="5"/>
  <c r="AA316" i="5"/>
  <c r="AA315" i="5"/>
  <c r="AA314" i="5"/>
  <c r="AA313" i="5"/>
  <c r="AA312" i="5"/>
  <c r="AA311" i="5"/>
  <c r="AA310" i="5"/>
  <c r="AA309" i="5"/>
  <c r="AA308" i="5"/>
  <c r="AA307" i="5"/>
  <c r="AA306" i="5"/>
  <c r="AA305" i="5"/>
  <c r="AA304" i="5"/>
  <c r="AA303" i="5"/>
  <c r="AA302" i="5"/>
  <c r="AA301" i="5"/>
  <c r="AA300" i="5"/>
  <c r="AA299" i="5"/>
  <c r="AA298" i="5"/>
  <c r="AA297" i="5"/>
  <c r="AA296" i="5"/>
  <c r="AA295" i="5"/>
  <c r="AA294" i="5"/>
  <c r="AA293" i="5"/>
  <c r="AA292" i="5"/>
  <c r="AA291" i="5"/>
  <c r="AA290" i="5"/>
  <c r="AA289" i="5"/>
  <c r="AA288" i="5"/>
  <c r="AA287" i="5"/>
  <c r="AA286" i="5"/>
  <c r="AA285" i="5"/>
  <c r="AA284" i="5"/>
  <c r="AA283" i="5"/>
  <c r="AA282" i="5"/>
  <c r="AA281" i="5"/>
  <c r="AA280" i="5"/>
  <c r="AA279" i="5"/>
  <c r="AA278" i="5"/>
  <c r="AA277" i="5"/>
  <c r="AA276" i="5"/>
  <c r="AA275" i="5"/>
  <c r="AA274" i="5"/>
  <c r="AA273" i="5"/>
  <c r="AA272" i="5"/>
  <c r="AA271" i="5"/>
  <c r="AA270" i="5"/>
  <c r="AA269" i="5"/>
  <c r="AA268" i="5"/>
  <c r="AA267" i="5"/>
  <c r="AA266" i="5"/>
  <c r="AA265" i="5"/>
  <c r="AA264" i="5"/>
  <c r="AA263" i="5"/>
  <c r="AA262" i="5"/>
  <c r="AA261" i="5"/>
  <c r="AA260" i="5"/>
  <c r="AA259" i="5"/>
  <c r="AA258" i="5"/>
  <c r="AA257" i="5"/>
  <c r="AA256" i="5"/>
  <c r="AA255" i="5"/>
  <c r="AA254" i="5"/>
  <c r="AA253" i="5"/>
  <c r="AA252" i="5"/>
  <c r="AA251" i="5"/>
  <c r="AA250" i="5"/>
  <c r="AA249" i="5"/>
  <c r="AA248" i="5"/>
  <c r="AA247" i="5"/>
  <c r="AA246" i="5"/>
  <c r="AA245" i="5"/>
  <c r="AA244" i="5"/>
  <c r="AA243" i="5"/>
  <c r="AA242" i="5"/>
  <c r="AA241" i="5"/>
  <c r="AA240" i="5"/>
  <c r="AA239" i="5"/>
  <c r="AA238" i="5"/>
  <c r="AA237" i="5"/>
  <c r="AA236" i="5"/>
  <c r="AA235" i="5"/>
  <c r="AA234" i="5"/>
  <c r="AA233" i="5"/>
  <c r="AA232" i="5"/>
  <c r="AA231" i="5"/>
  <c r="AA230" i="5"/>
  <c r="AA229" i="5"/>
  <c r="AA228" i="5"/>
  <c r="AA227" i="5"/>
  <c r="AA226" i="5"/>
  <c r="AA225" i="5"/>
  <c r="AA224" i="5"/>
  <c r="AA223" i="5"/>
  <c r="AA222" i="5"/>
  <c r="AA221" i="5"/>
  <c r="AA220" i="5"/>
  <c r="AA219" i="5"/>
  <c r="AA218" i="5"/>
  <c r="AA217" i="5"/>
  <c r="AA216" i="5"/>
  <c r="AA215" i="5"/>
  <c r="AA214" i="5"/>
  <c r="AA213" i="5"/>
  <c r="AA212" i="5"/>
  <c r="AA211" i="5"/>
  <c r="AA210" i="5"/>
  <c r="AA209" i="5"/>
  <c r="AA208" i="5"/>
  <c r="AA207" i="5"/>
  <c r="AA206" i="5"/>
  <c r="AA205" i="5"/>
  <c r="AA204" i="5"/>
  <c r="AA203" i="5"/>
  <c r="AA202" i="5"/>
  <c r="AA201" i="5"/>
  <c r="AA200" i="5"/>
  <c r="AA199" i="5"/>
  <c r="AA198" i="5"/>
  <c r="AA197" i="5"/>
  <c r="AA196" i="5"/>
  <c r="AA195" i="5"/>
  <c r="AA194" i="5"/>
  <c r="AA193" i="5"/>
  <c r="AA192" i="5"/>
  <c r="AA191" i="5"/>
  <c r="AA190" i="5"/>
  <c r="AA189" i="5"/>
  <c r="AA188" i="5"/>
  <c r="AA187" i="5"/>
  <c r="AA186" i="5"/>
  <c r="AA185" i="5"/>
  <c r="AA184" i="5"/>
  <c r="AA183" i="5"/>
  <c r="AA182" i="5"/>
  <c r="AA181" i="5"/>
  <c r="AA180" i="5"/>
  <c r="AA179" i="5"/>
  <c r="AA178" i="5"/>
  <c r="AA177" i="5"/>
  <c r="AA176" i="5"/>
  <c r="AA175" i="5"/>
  <c r="AA174" i="5"/>
  <c r="AA173" i="5"/>
  <c r="AA172" i="5"/>
  <c r="AA171" i="5"/>
  <c r="AA170" i="5"/>
  <c r="AA169" i="5"/>
  <c r="AA168" i="5"/>
  <c r="AA167" i="5"/>
  <c r="AA166" i="5"/>
  <c r="AA165" i="5"/>
  <c r="AA164" i="5"/>
  <c r="AA163" i="5"/>
  <c r="AA162" i="5"/>
  <c r="AA161" i="5"/>
  <c r="AA160" i="5"/>
  <c r="AA159" i="5"/>
  <c r="AA158" i="5"/>
  <c r="AA157" i="5"/>
  <c r="AA156" i="5"/>
  <c r="AA155" i="5"/>
  <c r="AA154" i="5"/>
  <c r="AA153" i="5"/>
  <c r="AA152" i="5"/>
  <c r="AA151" i="5"/>
  <c r="AA150" i="5"/>
  <c r="AA149" i="5"/>
  <c r="AA148" i="5"/>
  <c r="AA147" i="5"/>
  <c r="AA146" i="5"/>
  <c r="AA145" i="5"/>
  <c r="AA144" i="5"/>
  <c r="AA143" i="5"/>
  <c r="AA142" i="5"/>
  <c r="AA141" i="5"/>
  <c r="AA140" i="5"/>
  <c r="AA139" i="5"/>
  <c r="AA138" i="5"/>
  <c r="AA137" i="5"/>
  <c r="AA136" i="5"/>
  <c r="AA135" i="5"/>
  <c r="AA134" i="5"/>
  <c r="AA133" i="5"/>
  <c r="AA132" i="5"/>
  <c r="AA131" i="5"/>
  <c r="AA130" i="5"/>
  <c r="AA129" i="5"/>
  <c r="AA128" i="5"/>
  <c r="AA127" i="5"/>
  <c r="AA126" i="5"/>
  <c r="AA125" i="5"/>
  <c r="AA124" i="5"/>
  <c r="AA123" i="5"/>
  <c r="AA122" i="5"/>
  <c r="AA121" i="5"/>
  <c r="AA120" i="5"/>
  <c r="AA119" i="5"/>
  <c r="AA118" i="5"/>
  <c r="AA117" i="5"/>
  <c r="AA116" i="5"/>
  <c r="AA115" i="5"/>
  <c r="AA114" i="5"/>
  <c r="AA113" i="5"/>
  <c r="AA112" i="5"/>
  <c r="AA111" i="5"/>
  <c r="AA110" i="5"/>
  <c r="AA109" i="5"/>
  <c r="AA108" i="5"/>
  <c r="AA107" i="5"/>
  <c r="AA106" i="5"/>
  <c r="AA105" i="5"/>
  <c r="AA104" i="5"/>
  <c r="AA103" i="5"/>
  <c r="AA102" i="5"/>
  <c r="AA101" i="5"/>
  <c r="AA100" i="5"/>
  <c r="AA99" i="5"/>
  <c r="AA98" i="5"/>
  <c r="AA97" i="5"/>
  <c r="AA96" i="5"/>
  <c r="AA95" i="5"/>
  <c r="AA94" i="5"/>
  <c r="AA93" i="5"/>
  <c r="AA92" i="5"/>
  <c r="AA91" i="5"/>
  <c r="AA90" i="5"/>
  <c r="AA89" i="5"/>
  <c r="AA88" i="5"/>
  <c r="AA87" i="5"/>
  <c r="AA86" i="5"/>
  <c r="AA85" i="5"/>
  <c r="AA84" i="5"/>
  <c r="AA83" i="5"/>
  <c r="AA82" i="5"/>
  <c r="AA81" i="5"/>
  <c r="AA80" i="5"/>
  <c r="AA79" i="5"/>
  <c r="AA78" i="5"/>
  <c r="AA77" i="5"/>
  <c r="AA76" i="5"/>
  <c r="AA75" i="5"/>
  <c r="AA74" i="5"/>
  <c r="AA73" i="5"/>
  <c r="AA72" i="5"/>
  <c r="AA71" i="5"/>
  <c r="AA70" i="5"/>
  <c r="AA69" i="5"/>
  <c r="AA68" i="5"/>
  <c r="AA67" i="5"/>
  <c r="AA66" i="5"/>
  <c r="AA65" i="5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25" i="5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AA3" i="5"/>
  <c r="AA2" i="5"/>
  <c r="AA1" i="5"/>
  <c r="A4" i="2" a="1"/>
  <c r="U2" i="2"/>
  <c r="P26" i="1"/>
  <c r="F22" i="1" a="1"/>
  <c r="D22" i="1" a="1"/>
  <c r="I20" i="1"/>
  <c r="I19" i="1"/>
  <c r="I18" i="1"/>
  <c r="I17" i="1"/>
  <c r="I16" i="1"/>
  <c r="Q15" i="1"/>
  <c r="Q16" i="1" s="1"/>
  <c r="I15" i="1"/>
  <c r="I14" i="1"/>
  <c r="I13" i="1"/>
  <c r="F13" i="1" a="1"/>
  <c r="E12" i="1"/>
  <c r="I10" i="1"/>
  <c r="I9" i="1"/>
  <c r="F9" i="1" a="1"/>
  <c r="I6" i="1"/>
  <c r="I5" i="1"/>
  <c r="R2" i="2" s="1"/>
  <c r="I4" i="1"/>
  <c r="I3" i="1"/>
  <c r="F3" i="1" a="1"/>
  <c r="A5" i="8" l="1" a="1"/>
  <c r="A92" i="8" a="1"/>
  <c r="F10" i="1"/>
  <c r="H10" i="1" s="1"/>
  <c r="F9" i="1"/>
  <c r="H9" i="1" s="1"/>
  <c r="H1614" i="14"/>
  <c r="G1107" i="14"/>
  <c r="F1107" i="14"/>
  <c r="I1106" i="14"/>
  <c r="H1106" i="14"/>
  <c r="I1810" i="14"/>
  <c r="H1810" i="14"/>
  <c r="G1810" i="14"/>
  <c r="F1810" i="14"/>
  <c r="I1809" i="14"/>
  <c r="H1809" i="14"/>
  <c r="G1809" i="14"/>
  <c r="F1809" i="14"/>
  <c r="I1808" i="14"/>
  <c r="H1808" i="14"/>
  <c r="G1808" i="14"/>
  <c r="F1808" i="14"/>
  <c r="I1807" i="14"/>
  <c r="H1807" i="14"/>
  <c r="G1807" i="14"/>
  <c r="F1807" i="14"/>
  <c r="I1806" i="14"/>
  <c r="H1806" i="14"/>
  <c r="G1806" i="14"/>
  <c r="F1806" i="14"/>
  <c r="I1805" i="14"/>
  <c r="H1805" i="14"/>
  <c r="G1805" i="14"/>
  <c r="F1805" i="14"/>
  <c r="I1804" i="14"/>
  <c r="H1804" i="14"/>
  <c r="G1804" i="14"/>
  <c r="F1804" i="14"/>
  <c r="I1803" i="14"/>
  <c r="H1803" i="14"/>
  <c r="G1803" i="14"/>
  <c r="F1803" i="14"/>
  <c r="I1802" i="14"/>
  <c r="H1802" i="14"/>
  <c r="G1802" i="14"/>
  <c r="F1802" i="14"/>
  <c r="I1801" i="14"/>
  <c r="H1801" i="14"/>
  <c r="G1801" i="14"/>
  <c r="F1801" i="14"/>
  <c r="I1800" i="14"/>
  <c r="H1800" i="14"/>
  <c r="G1800" i="14"/>
  <c r="F1800" i="14"/>
  <c r="I1799" i="14"/>
  <c r="H1799" i="14"/>
  <c r="G1799" i="14"/>
  <c r="F1799" i="14"/>
  <c r="I1798" i="14"/>
  <c r="H1798" i="14"/>
  <c r="G1798" i="14"/>
  <c r="F1798" i="14"/>
  <c r="I1797" i="14"/>
  <c r="H1797" i="14"/>
  <c r="G1797" i="14"/>
  <c r="F1797" i="14"/>
  <c r="I1796" i="14"/>
  <c r="H1796" i="14"/>
  <c r="G1796" i="14"/>
  <c r="F1796" i="14"/>
  <c r="I1795" i="14"/>
  <c r="H1795" i="14"/>
  <c r="G1795" i="14"/>
  <c r="F1795" i="14"/>
  <c r="I1794" i="14"/>
  <c r="H1794" i="14"/>
  <c r="G1794" i="14"/>
  <c r="F1794" i="14"/>
  <c r="I1793" i="14"/>
  <c r="H1793" i="14"/>
  <c r="G1793" i="14"/>
  <c r="F1793" i="14"/>
  <c r="I1792" i="14"/>
  <c r="H1792" i="14"/>
  <c r="G1792" i="14"/>
  <c r="F1792" i="14"/>
  <c r="I1791" i="14"/>
  <c r="H1791" i="14"/>
  <c r="G1791" i="14"/>
  <c r="F1791" i="14"/>
  <c r="I1790" i="14"/>
  <c r="H1790" i="14"/>
  <c r="G1790" i="14"/>
  <c r="F1790" i="14"/>
  <c r="I1789" i="14"/>
  <c r="H1789" i="14"/>
  <c r="G1789" i="14"/>
  <c r="F1789" i="14"/>
  <c r="I1788" i="14"/>
  <c r="H1788" i="14"/>
  <c r="G1788" i="14"/>
  <c r="F1788" i="14"/>
  <c r="I1787" i="14"/>
  <c r="H1787" i="14"/>
  <c r="G1787" i="14"/>
  <c r="F1787" i="14"/>
  <c r="I1786" i="14"/>
  <c r="H1786" i="14"/>
  <c r="G1786" i="14"/>
  <c r="F1786" i="14"/>
  <c r="I1785" i="14"/>
  <c r="H1785" i="14"/>
  <c r="G1785" i="14"/>
  <c r="F1785" i="14"/>
  <c r="I1784" i="14"/>
  <c r="H1784" i="14"/>
  <c r="G1784" i="14"/>
  <c r="F1784" i="14"/>
  <c r="I1783" i="14"/>
  <c r="H1783" i="14"/>
  <c r="G1783" i="14"/>
  <c r="F1783" i="14"/>
  <c r="I1782" i="14"/>
  <c r="H1782" i="14"/>
  <c r="G1782" i="14"/>
  <c r="F1782" i="14"/>
  <c r="I1781" i="14"/>
  <c r="H1781" i="14"/>
  <c r="G1781" i="14"/>
  <c r="F1781" i="14"/>
  <c r="I1780" i="14"/>
  <c r="H1780" i="14"/>
  <c r="G1780" i="14"/>
  <c r="F1780" i="14"/>
  <c r="I1779" i="14"/>
  <c r="H1779" i="14"/>
  <c r="G1779" i="14"/>
  <c r="F1779" i="14"/>
  <c r="I1778" i="14"/>
  <c r="H1778" i="14"/>
  <c r="G1778" i="14"/>
  <c r="F1778" i="14"/>
  <c r="I1777" i="14"/>
  <c r="H1777" i="14"/>
  <c r="G1777" i="14"/>
  <c r="F1777" i="14"/>
  <c r="I1776" i="14"/>
  <c r="H1776" i="14"/>
  <c r="G1776" i="14"/>
  <c r="F1776" i="14"/>
  <c r="I1775" i="14"/>
  <c r="H1775" i="14"/>
  <c r="G1775" i="14"/>
  <c r="F1775" i="14"/>
  <c r="I1774" i="14"/>
  <c r="H1774" i="14"/>
  <c r="G1774" i="14"/>
  <c r="F1774" i="14"/>
  <c r="I1773" i="14"/>
  <c r="H1773" i="14"/>
  <c r="G1773" i="14"/>
  <c r="F1773" i="14"/>
  <c r="I1772" i="14"/>
  <c r="H1772" i="14"/>
  <c r="G1772" i="14"/>
  <c r="F1772" i="14"/>
  <c r="I1771" i="14"/>
  <c r="H1771" i="14"/>
  <c r="G1771" i="14"/>
  <c r="F1771" i="14"/>
  <c r="I1770" i="14"/>
  <c r="H1770" i="14"/>
  <c r="G1770" i="14"/>
  <c r="F1770" i="14"/>
  <c r="I1769" i="14"/>
  <c r="H1769" i="14"/>
  <c r="G1769" i="14"/>
  <c r="F1769" i="14"/>
  <c r="I1768" i="14"/>
  <c r="H1768" i="14"/>
  <c r="G1768" i="14"/>
  <c r="F1768" i="14"/>
  <c r="I1767" i="14"/>
  <c r="H1767" i="14"/>
  <c r="G1767" i="14"/>
  <c r="F1767" i="14"/>
  <c r="I1766" i="14"/>
  <c r="H1766" i="14"/>
  <c r="G1766" i="14"/>
  <c r="F1766" i="14"/>
  <c r="I1765" i="14"/>
  <c r="H1765" i="14"/>
  <c r="G1765" i="14"/>
  <c r="F1765" i="14"/>
  <c r="I1764" i="14"/>
  <c r="H1764" i="14"/>
  <c r="G1764" i="14"/>
  <c r="F1764" i="14"/>
  <c r="I1763" i="14"/>
  <c r="H1763" i="14"/>
  <c r="G1763" i="14"/>
  <c r="F1763" i="14"/>
  <c r="I1762" i="14"/>
  <c r="H1762" i="14"/>
  <c r="G1762" i="14"/>
  <c r="F1762" i="14"/>
  <c r="I1761" i="14"/>
  <c r="H1761" i="14"/>
  <c r="G1761" i="14"/>
  <c r="F1761" i="14"/>
  <c r="I1760" i="14"/>
  <c r="H1760" i="14"/>
  <c r="G1760" i="14"/>
  <c r="F1760" i="14"/>
  <c r="I1759" i="14"/>
  <c r="H1759" i="14"/>
  <c r="G1759" i="14"/>
  <c r="F1759" i="14"/>
  <c r="I1758" i="14"/>
  <c r="H1758" i="14"/>
  <c r="G1758" i="14"/>
  <c r="F1758" i="14"/>
  <c r="I1757" i="14"/>
  <c r="H1757" i="14"/>
  <c r="G1757" i="14"/>
  <c r="F1757" i="14"/>
  <c r="I1756" i="14"/>
  <c r="H1756" i="14"/>
  <c r="G1756" i="14"/>
  <c r="F1756" i="14"/>
  <c r="I1755" i="14"/>
  <c r="H1755" i="14"/>
  <c r="G1755" i="14"/>
  <c r="F1755" i="14"/>
  <c r="I1754" i="14"/>
  <c r="H1754" i="14"/>
  <c r="G1754" i="14"/>
  <c r="F1754" i="14"/>
  <c r="I1753" i="14"/>
  <c r="H1753" i="14"/>
  <c r="G1753" i="14"/>
  <c r="F1753" i="14"/>
  <c r="I1752" i="14"/>
  <c r="H1752" i="14"/>
  <c r="G1752" i="14"/>
  <c r="F1752" i="14"/>
  <c r="I1751" i="14"/>
  <c r="H1751" i="14"/>
  <c r="G1751" i="14"/>
  <c r="F1751" i="14"/>
  <c r="I1750" i="14"/>
  <c r="H1750" i="14"/>
  <c r="G1750" i="14"/>
  <c r="F1750" i="14"/>
  <c r="I1749" i="14"/>
  <c r="H1749" i="14"/>
  <c r="G1749" i="14"/>
  <c r="F1749" i="14"/>
  <c r="I1748" i="14"/>
  <c r="H1748" i="14"/>
  <c r="G1748" i="14"/>
  <c r="F1748" i="14"/>
  <c r="I1747" i="14"/>
  <c r="H1747" i="14"/>
  <c r="G1747" i="14"/>
  <c r="F1747" i="14"/>
  <c r="I1746" i="14"/>
  <c r="H1746" i="14"/>
  <c r="G1746" i="14"/>
  <c r="F1746" i="14"/>
  <c r="I1745" i="14"/>
  <c r="H1745" i="14"/>
  <c r="G1745" i="14"/>
  <c r="F1745" i="14"/>
  <c r="I1744" i="14"/>
  <c r="H1744" i="14"/>
  <c r="G1744" i="14"/>
  <c r="F1744" i="14"/>
  <c r="I1743" i="14"/>
  <c r="H1743" i="14"/>
  <c r="G1743" i="14"/>
  <c r="F1743" i="14"/>
  <c r="I1742" i="14"/>
  <c r="H1742" i="14"/>
  <c r="G1742" i="14"/>
  <c r="F1742" i="14"/>
  <c r="I1741" i="14"/>
  <c r="H1741" i="14"/>
  <c r="G1741" i="14"/>
  <c r="F1741" i="14"/>
  <c r="I1740" i="14"/>
  <c r="H1740" i="14"/>
  <c r="G1740" i="14"/>
  <c r="F1740" i="14"/>
  <c r="I1739" i="14"/>
  <c r="H1739" i="14"/>
  <c r="G1739" i="14"/>
  <c r="F1739" i="14"/>
  <c r="I1738" i="14"/>
  <c r="H1738" i="14"/>
  <c r="G1738" i="14"/>
  <c r="F1738" i="14"/>
  <c r="I1737" i="14"/>
  <c r="H1737" i="14"/>
  <c r="G1737" i="14"/>
  <c r="F1737" i="14"/>
  <c r="I1736" i="14"/>
  <c r="H1736" i="14"/>
  <c r="G1736" i="14"/>
  <c r="F1736" i="14"/>
  <c r="I1735" i="14"/>
  <c r="H1735" i="14"/>
  <c r="G1735" i="14"/>
  <c r="F1735" i="14"/>
  <c r="I1734" i="14"/>
  <c r="H1734" i="14"/>
  <c r="G1734" i="14"/>
  <c r="F1734" i="14"/>
  <c r="I1733" i="14"/>
  <c r="H1733" i="14"/>
  <c r="G1733" i="14"/>
  <c r="F1733" i="14"/>
  <c r="I1732" i="14"/>
  <c r="H1732" i="14"/>
  <c r="G1732" i="14"/>
  <c r="F1732" i="14"/>
  <c r="I1731" i="14"/>
  <c r="H1731" i="14"/>
  <c r="G1731" i="14"/>
  <c r="F1731" i="14"/>
  <c r="I1730" i="14"/>
  <c r="H1730" i="14"/>
  <c r="G1730" i="14"/>
  <c r="F1730" i="14"/>
  <c r="I1729" i="14"/>
  <c r="H1729" i="14"/>
  <c r="G1729" i="14"/>
  <c r="F1729" i="14"/>
  <c r="I1728" i="14"/>
  <c r="H1728" i="14"/>
  <c r="G1728" i="14"/>
  <c r="F1728" i="14"/>
  <c r="I1727" i="14"/>
  <c r="H1727" i="14"/>
  <c r="G1727" i="14"/>
  <c r="F1727" i="14"/>
  <c r="I1726" i="14"/>
  <c r="H1726" i="14"/>
  <c r="G1726" i="14"/>
  <c r="F1726" i="14"/>
  <c r="I1725" i="14"/>
  <c r="H1725" i="14"/>
  <c r="G1725" i="14"/>
  <c r="F1725" i="14"/>
  <c r="I1724" i="14"/>
  <c r="H1724" i="14"/>
  <c r="G1724" i="14"/>
  <c r="F1724" i="14"/>
  <c r="I1723" i="14"/>
  <c r="H1723" i="14"/>
  <c r="G1723" i="14"/>
  <c r="F1723" i="14"/>
  <c r="I1722" i="14"/>
  <c r="H1722" i="14"/>
  <c r="G1722" i="14"/>
  <c r="F1722" i="14"/>
  <c r="I1721" i="14"/>
  <c r="H1721" i="14"/>
  <c r="G1721" i="14"/>
  <c r="F1721" i="14"/>
  <c r="I1720" i="14"/>
  <c r="H1720" i="14"/>
  <c r="G1720" i="14"/>
  <c r="F1720" i="14"/>
  <c r="I1719" i="14"/>
  <c r="H1719" i="14"/>
  <c r="G1719" i="14"/>
  <c r="F1719" i="14"/>
  <c r="I1718" i="14"/>
  <c r="H1718" i="14"/>
  <c r="G1718" i="14"/>
  <c r="F1718" i="14"/>
  <c r="I1717" i="14"/>
  <c r="H1717" i="14"/>
  <c r="G1717" i="14"/>
  <c r="F1717" i="14"/>
  <c r="I1716" i="14"/>
  <c r="H1716" i="14"/>
  <c r="G1716" i="14"/>
  <c r="F1716" i="14"/>
  <c r="I1715" i="14"/>
  <c r="H1715" i="14"/>
  <c r="G1715" i="14"/>
  <c r="F1715" i="14"/>
  <c r="I1714" i="14"/>
  <c r="H1714" i="14"/>
  <c r="G1714" i="14"/>
  <c r="F1714" i="14"/>
  <c r="I1713" i="14"/>
  <c r="H1713" i="14"/>
  <c r="G1713" i="14"/>
  <c r="F1713" i="14"/>
  <c r="I1712" i="14"/>
  <c r="H1712" i="14"/>
  <c r="G1712" i="14"/>
  <c r="F1712" i="14"/>
  <c r="I1711" i="14"/>
  <c r="H1711" i="14"/>
  <c r="G1711" i="14"/>
  <c r="F1711" i="14"/>
  <c r="I1710" i="14"/>
  <c r="H1710" i="14"/>
  <c r="G1710" i="14"/>
  <c r="F1710" i="14"/>
  <c r="I1709" i="14"/>
  <c r="H1709" i="14"/>
  <c r="G1709" i="14"/>
  <c r="F1709" i="14"/>
  <c r="I1708" i="14"/>
  <c r="H1708" i="14"/>
  <c r="G1708" i="14"/>
  <c r="F1708" i="14"/>
  <c r="I1707" i="14"/>
  <c r="H1707" i="14"/>
  <c r="G1707" i="14"/>
  <c r="F1707" i="14"/>
  <c r="I1706" i="14"/>
  <c r="H1706" i="14"/>
  <c r="G1706" i="14"/>
  <c r="F1706" i="14"/>
  <c r="I1705" i="14"/>
  <c r="H1705" i="14"/>
  <c r="G1705" i="14"/>
  <c r="F1705" i="14"/>
  <c r="I1704" i="14"/>
  <c r="H1704" i="14"/>
  <c r="G1704" i="14"/>
  <c r="F1704" i="14"/>
  <c r="I1703" i="14"/>
  <c r="H1703" i="14"/>
  <c r="G1703" i="14"/>
  <c r="F1703" i="14"/>
  <c r="I1702" i="14"/>
  <c r="H1702" i="14"/>
  <c r="G1702" i="14"/>
  <c r="F1702" i="14"/>
  <c r="I1701" i="14"/>
  <c r="H1701" i="14"/>
  <c r="G1701" i="14"/>
  <c r="F1701" i="14"/>
  <c r="I1700" i="14"/>
  <c r="H1700" i="14"/>
  <c r="G1700" i="14"/>
  <c r="F1700" i="14"/>
  <c r="I1699" i="14"/>
  <c r="H1699" i="14"/>
  <c r="G1699" i="14"/>
  <c r="F1699" i="14"/>
  <c r="I1698" i="14"/>
  <c r="H1698" i="14"/>
  <c r="G1698" i="14"/>
  <c r="F1698" i="14"/>
  <c r="I1697" i="14"/>
  <c r="H1697" i="14"/>
  <c r="G1697" i="14"/>
  <c r="F1697" i="14"/>
  <c r="I1696" i="14"/>
  <c r="H1696" i="14"/>
  <c r="G1696" i="14"/>
  <c r="F1696" i="14"/>
  <c r="I1695" i="14"/>
  <c r="H1695" i="14"/>
  <c r="G1695" i="14"/>
  <c r="F1695" i="14"/>
  <c r="I1694" i="14"/>
  <c r="H1694" i="14"/>
  <c r="G1694" i="14"/>
  <c r="F1694" i="14"/>
  <c r="I1693" i="14"/>
  <c r="H1693" i="14"/>
  <c r="G1693" i="14"/>
  <c r="F1693" i="14"/>
  <c r="I1692" i="14"/>
  <c r="H1692" i="14"/>
  <c r="G1692" i="14"/>
  <c r="F1692" i="14"/>
  <c r="I1691" i="14"/>
  <c r="H1691" i="14"/>
  <c r="G1691" i="14"/>
  <c r="F1691" i="14"/>
  <c r="I1690" i="14"/>
  <c r="H1690" i="14"/>
  <c r="G1690" i="14"/>
  <c r="F1690" i="14"/>
  <c r="I1689" i="14"/>
  <c r="H1689" i="14"/>
  <c r="G1689" i="14"/>
  <c r="F1689" i="14"/>
  <c r="I1688" i="14"/>
  <c r="H1688" i="14"/>
  <c r="G1688" i="14"/>
  <c r="F1688" i="14"/>
  <c r="I1687" i="14"/>
  <c r="H1687" i="14"/>
  <c r="G1687" i="14"/>
  <c r="F1687" i="14"/>
  <c r="I1686" i="14"/>
  <c r="H1686" i="14"/>
  <c r="G1686" i="14"/>
  <c r="F1686" i="14"/>
  <c r="I1685" i="14"/>
  <c r="H1685" i="14"/>
  <c r="G1685" i="14"/>
  <c r="F1685" i="14"/>
  <c r="I1684" i="14"/>
  <c r="H1684" i="14"/>
  <c r="G1684" i="14"/>
  <c r="F1684" i="14"/>
  <c r="I1683" i="14"/>
  <c r="H1683" i="14"/>
  <c r="G1683" i="14"/>
  <c r="F1683" i="14"/>
  <c r="I1682" i="14"/>
  <c r="H1682" i="14"/>
  <c r="G1682" i="14"/>
  <c r="F1682" i="14"/>
  <c r="I1681" i="14"/>
  <c r="H1681" i="14"/>
  <c r="G1681" i="14"/>
  <c r="F1681" i="14"/>
  <c r="I1680" i="14"/>
  <c r="H1680" i="14"/>
  <c r="G1680" i="14"/>
  <c r="F1680" i="14"/>
  <c r="I1679" i="14"/>
  <c r="H1679" i="14"/>
  <c r="G1679" i="14"/>
  <c r="F1679" i="14"/>
  <c r="I1678" i="14"/>
  <c r="H1678" i="14"/>
  <c r="G1678" i="14"/>
  <c r="F1678" i="14"/>
  <c r="I1677" i="14"/>
  <c r="H1677" i="14"/>
  <c r="G1677" i="14"/>
  <c r="F1677" i="14"/>
  <c r="I1676" i="14"/>
  <c r="H1676" i="14"/>
  <c r="G1676" i="14"/>
  <c r="F1676" i="14"/>
  <c r="I1675" i="14"/>
  <c r="H1675" i="14"/>
  <c r="G1675" i="14"/>
  <c r="F1675" i="14"/>
  <c r="I1674" i="14"/>
  <c r="H1674" i="14"/>
  <c r="G1674" i="14"/>
  <c r="F1674" i="14"/>
  <c r="I1673" i="14"/>
  <c r="H1673" i="14"/>
  <c r="G1673" i="14"/>
  <c r="F1673" i="14"/>
  <c r="I1672" i="14"/>
  <c r="H1672" i="14"/>
  <c r="G1672" i="14"/>
  <c r="F1672" i="14"/>
  <c r="I1671" i="14"/>
  <c r="H1671" i="14"/>
  <c r="G1671" i="14"/>
  <c r="F1671" i="14"/>
  <c r="I1670" i="14"/>
  <c r="H1670" i="14"/>
  <c r="G1670" i="14"/>
  <c r="F1670" i="14"/>
  <c r="I1669" i="14"/>
  <c r="H1669" i="14"/>
  <c r="G1669" i="14"/>
  <c r="F1669" i="14"/>
  <c r="I1668" i="14"/>
  <c r="H1668" i="14"/>
  <c r="G1668" i="14"/>
  <c r="F1668" i="14"/>
  <c r="I1667" i="14"/>
  <c r="H1667" i="14"/>
  <c r="G1667" i="14"/>
  <c r="F1667" i="14"/>
  <c r="I1666" i="14"/>
  <c r="H1666" i="14"/>
  <c r="G1666" i="14"/>
  <c r="F1666" i="14"/>
  <c r="I1665" i="14"/>
  <c r="H1665" i="14"/>
  <c r="G1665" i="14"/>
  <c r="F1665" i="14"/>
  <c r="I1664" i="14"/>
  <c r="H1664" i="14"/>
  <c r="G1664" i="14"/>
  <c r="F1664" i="14"/>
  <c r="I1663" i="14"/>
  <c r="H1663" i="14"/>
  <c r="G1663" i="14"/>
  <c r="F1663" i="14"/>
  <c r="I1662" i="14"/>
  <c r="H1662" i="14"/>
  <c r="G1662" i="14"/>
  <c r="F1662" i="14"/>
  <c r="I1661" i="14"/>
  <c r="H1661" i="14"/>
  <c r="G1661" i="14"/>
  <c r="F1661" i="14"/>
  <c r="I1660" i="14"/>
  <c r="H1660" i="14"/>
  <c r="G1660" i="14"/>
  <c r="F1660" i="14"/>
  <c r="I1659" i="14"/>
  <c r="H1659" i="14"/>
  <c r="G1659" i="14"/>
  <c r="F1659" i="14"/>
  <c r="I1658" i="14"/>
  <c r="H1658" i="14"/>
  <c r="G1658" i="14"/>
  <c r="F1658" i="14"/>
  <c r="I1657" i="14"/>
  <c r="H1657" i="14"/>
  <c r="G1657" i="14"/>
  <c r="F1657" i="14"/>
  <c r="I1656" i="14"/>
  <c r="H1656" i="14"/>
  <c r="G1656" i="14"/>
  <c r="F1656" i="14"/>
  <c r="I1655" i="14"/>
  <c r="H1655" i="14"/>
  <c r="G1655" i="14"/>
  <c r="F1655" i="14"/>
  <c r="I1654" i="14"/>
  <c r="H1654" i="14"/>
  <c r="G1654" i="14"/>
  <c r="F1654" i="14"/>
  <c r="I1653" i="14"/>
  <c r="H1653" i="14"/>
  <c r="G1653" i="14"/>
  <c r="F1653" i="14"/>
  <c r="I1652" i="14"/>
  <c r="H1652" i="14"/>
  <c r="G1652" i="14"/>
  <c r="F1652" i="14"/>
  <c r="I1651" i="14"/>
  <c r="H1651" i="14"/>
  <c r="G1651" i="14"/>
  <c r="F1651" i="14"/>
  <c r="I1650" i="14"/>
  <c r="H1650" i="14"/>
  <c r="G1650" i="14"/>
  <c r="F1650" i="14"/>
  <c r="I1649" i="14"/>
  <c r="H1649" i="14"/>
  <c r="G1649" i="14"/>
  <c r="F1649" i="14"/>
  <c r="I1648" i="14"/>
  <c r="H1648" i="14"/>
  <c r="G1648" i="14"/>
  <c r="F1648" i="14"/>
  <c r="I1647" i="14"/>
  <c r="H1647" i="14"/>
  <c r="G1647" i="14"/>
  <c r="F1647" i="14"/>
  <c r="I1646" i="14"/>
  <c r="H1646" i="14"/>
  <c r="G1646" i="14"/>
  <c r="F1646" i="14"/>
  <c r="I1645" i="14"/>
  <c r="H1645" i="14"/>
  <c r="G1645" i="14"/>
  <c r="F1645" i="14"/>
  <c r="I1644" i="14"/>
  <c r="H1644" i="14"/>
  <c r="G1644" i="14"/>
  <c r="F1644" i="14"/>
  <c r="I1643" i="14"/>
  <c r="H1643" i="14"/>
  <c r="G1643" i="14"/>
  <c r="F1643" i="14"/>
  <c r="I1642" i="14"/>
  <c r="H1642" i="14"/>
  <c r="G1642" i="14"/>
  <c r="F1642" i="14"/>
  <c r="I1641" i="14"/>
  <c r="H1641" i="14"/>
  <c r="G1641" i="14"/>
  <c r="F1641" i="14"/>
  <c r="I1640" i="14"/>
  <c r="H1640" i="14"/>
  <c r="G1640" i="14"/>
  <c r="F1640" i="14"/>
  <c r="I1639" i="14"/>
  <c r="H1639" i="14"/>
  <c r="G1639" i="14"/>
  <c r="F1639" i="14"/>
  <c r="I1638" i="14"/>
  <c r="H1638" i="14"/>
  <c r="G1638" i="14"/>
  <c r="F1638" i="14"/>
  <c r="I1637" i="14"/>
  <c r="H1637" i="14"/>
  <c r="G1637" i="14"/>
  <c r="F1637" i="14"/>
  <c r="I1636" i="14"/>
  <c r="H1636" i="14"/>
  <c r="G1636" i="14"/>
  <c r="F1636" i="14"/>
  <c r="I1635" i="14"/>
  <c r="H1635" i="14"/>
  <c r="G1635" i="14"/>
  <c r="F1635" i="14"/>
  <c r="I1634" i="14"/>
  <c r="H1634" i="14"/>
  <c r="G1634" i="14"/>
  <c r="F1634" i="14"/>
  <c r="I1633" i="14"/>
  <c r="H1633" i="14"/>
  <c r="G1633" i="14"/>
  <c r="F1633" i="14"/>
  <c r="I1632" i="14"/>
  <c r="H1632" i="14"/>
  <c r="G1632" i="14"/>
  <c r="F1632" i="14"/>
  <c r="I1631" i="14"/>
  <c r="H1631" i="14"/>
  <c r="G1631" i="14"/>
  <c r="F1631" i="14"/>
  <c r="I1630" i="14"/>
  <c r="H1630" i="14"/>
  <c r="G1630" i="14"/>
  <c r="F1630" i="14"/>
  <c r="I1629" i="14"/>
  <c r="H1629" i="14"/>
  <c r="G1629" i="14"/>
  <c r="F1629" i="14"/>
  <c r="I1628" i="14"/>
  <c r="H1628" i="14"/>
  <c r="G1628" i="14"/>
  <c r="F1628" i="14"/>
  <c r="I1627" i="14"/>
  <c r="H1627" i="14"/>
  <c r="G1627" i="14"/>
  <c r="F1627" i="14"/>
  <c r="I1626" i="14"/>
  <c r="H1626" i="14"/>
  <c r="G1626" i="14"/>
  <c r="F1626" i="14"/>
  <c r="I1625" i="14"/>
  <c r="H1625" i="14"/>
  <c r="G1625" i="14"/>
  <c r="F1625" i="14"/>
  <c r="I1624" i="14"/>
  <c r="H1624" i="14"/>
  <c r="G1624" i="14"/>
  <c r="F1624" i="14"/>
  <c r="I1623" i="14"/>
  <c r="H1623" i="14"/>
  <c r="G1623" i="14"/>
  <c r="F1623" i="14"/>
  <c r="I1622" i="14"/>
  <c r="H1622" i="14"/>
  <c r="G1622" i="14"/>
  <c r="F1622" i="14"/>
  <c r="I1621" i="14"/>
  <c r="H1621" i="14"/>
  <c r="G1621" i="14"/>
  <c r="F1621" i="14"/>
  <c r="I1620" i="14"/>
  <c r="H1620" i="14"/>
  <c r="G1620" i="14"/>
  <c r="F1620" i="14"/>
  <c r="I1619" i="14"/>
  <c r="H1619" i="14"/>
  <c r="G1619" i="14"/>
  <c r="F1619" i="14"/>
  <c r="I1618" i="14"/>
  <c r="H1618" i="14"/>
  <c r="G1618" i="14"/>
  <c r="F1618" i="14"/>
  <c r="I1617" i="14"/>
  <c r="H1617" i="14"/>
  <c r="G1617" i="14"/>
  <c r="F1617" i="14"/>
  <c r="I1616" i="14"/>
  <c r="H1616" i="14"/>
  <c r="G1616" i="14"/>
  <c r="F1616" i="14"/>
  <c r="I1615" i="14"/>
  <c r="H1615" i="14"/>
  <c r="G1615" i="14"/>
  <c r="F1615" i="14"/>
  <c r="I1614" i="14"/>
  <c r="F1417" i="14"/>
  <c r="G1614" i="14"/>
  <c r="F1614" i="14"/>
  <c r="I1613" i="14"/>
  <c r="H1613" i="14"/>
  <c r="G1613" i="14"/>
  <c r="F1613" i="14"/>
  <c r="I1612" i="14"/>
  <c r="H1612" i="14"/>
  <c r="G1612" i="14"/>
  <c r="F1612" i="14"/>
  <c r="I1611" i="14"/>
  <c r="H1611" i="14"/>
  <c r="G1611" i="14"/>
  <c r="F1611" i="14"/>
  <c r="I1610" i="14"/>
  <c r="H1610" i="14"/>
  <c r="G1610" i="14"/>
  <c r="F1610" i="14"/>
  <c r="I1609" i="14"/>
  <c r="H1609" i="14"/>
  <c r="G1609" i="14"/>
  <c r="F1609" i="14"/>
  <c r="I1608" i="14"/>
  <c r="H1608" i="14"/>
  <c r="G1608" i="14"/>
  <c r="F1608" i="14"/>
  <c r="I1607" i="14"/>
  <c r="H1607" i="14"/>
  <c r="G1607" i="14"/>
  <c r="F1607" i="14"/>
  <c r="I1606" i="14"/>
  <c r="H1606" i="14"/>
  <c r="G1606" i="14"/>
  <c r="F1606" i="14"/>
  <c r="I1605" i="14"/>
  <c r="H1605" i="14"/>
  <c r="G1605" i="14"/>
  <c r="F1605" i="14"/>
  <c r="I1604" i="14"/>
  <c r="H1604" i="14"/>
  <c r="G1604" i="14"/>
  <c r="F1604" i="14"/>
  <c r="I1603" i="14"/>
  <c r="H1603" i="14"/>
  <c r="G1603" i="14"/>
  <c r="F1603" i="14"/>
  <c r="I1602" i="14"/>
  <c r="H1602" i="14"/>
  <c r="G1602" i="14"/>
  <c r="F1602" i="14"/>
  <c r="I1601" i="14"/>
  <c r="H1601" i="14"/>
  <c r="G1601" i="14"/>
  <c r="F1601" i="14"/>
  <c r="I1600" i="14"/>
  <c r="H1600" i="14"/>
  <c r="G1600" i="14"/>
  <c r="F1600" i="14"/>
  <c r="I1599" i="14"/>
  <c r="H1599" i="14"/>
  <c r="G1599" i="14"/>
  <c r="F1599" i="14"/>
  <c r="I1598" i="14"/>
  <c r="H1598" i="14"/>
  <c r="G1598" i="14"/>
  <c r="F1598" i="14"/>
  <c r="I1597" i="14"/>
  <c r="H1597" i="14"/>
  <c r="G1597" i="14"/>
  <c r="F1597" i="14"/>
  <c r="I1596" i="14"/>
  <c r="H1596" i="14"/>
  <c r="G1596" i="14"/>
  <c r="F1596" i="14"/>
  <c r="I1595" i="14"/>
  <c r="H1595" i="14"/>
  <c r="G1595" i="14"/>
  <c r="F1595" i="14"/>
  <c r="I1594" i="14"/>
  <c r="H1594" i="14"/>
  <c r="G1594" i="14"/>
  <c r="F1594" i="14"/>
  <c r="I1593" i="14"/>
  <c r="H1593" i="14"/>
  <c r="G1593" i="14"/>
  <c r="F1593" i="14"/>
  <c r="I1592" i="14"/>
  <c r="H1592" i="14"/>
  <c r="G1592" i="14"/>
  <c r="F1592" i="14"/>
  <c r="I1591" i="14"/>
  <c r="H1591" i="14"/>
  <c r="G1591" i="14"/>
  <c r="F1591" i="14"/>
  <c r="I1590" i="14"/>
  <c r="H1590" i="14"/>
  <c r="G1590" i="14"/>
  <c r="F1590" i="14"/>
  <c r="I1589" i="14"/>
  <c r="H1589" i="14"/>
  <c r="G1589" i="14"/>
  <c r="F1589" i="14"/>
  <c r="I1588" i="14"/>
  <c r="H1588" i="14"/>
  <c r="G1588" i="14"/>
  <c r="F1588" i="14"/>
  <c r="I1587" i="14"/>
  <c r="H1587" i="14"/>
  <c r="G1587" i="14"/>
  <c r="F1587" i="14"/>
  <c r="I1586" i="14"/>
  <c r="H1586" i="14"/>
  <c r="G1586" i="14"/>
  <c r="F1586" i="14"/>
  <c r="I1585" i="14"/>
  <c r="H1585" i="14"/>
  <c r="G1585" i="14"/>
  <c r="F1585" i="14"/>
  <c r="I1584" i="14"/>
  <c r="H1584" i="14"/>
  <c r="G1584" i="14"/>
  <c r="F1584" i="14"/>
  <c r="I1583" i="14"/>
  <c r="H1583" i="14"/>
  <c r="G1583" i="14"/>
  <c r="F1583" i="14"/>
  <c r="I1582" i="14"/>
  <c r="H1582" i="14"/>
  <c r="G1582" i="14"/>
  <c r="F1582" i="14"/>
  <c r="I1581" i="14"/>
  <c r="H1581" i="14"/>
  <c r="G1581" i="14"/>
  <c r="F1581" i="14"/>
  <c r="I1580" i="14"/>
  <c r="H1580" i="14"/>
  <c r="G1580" i="14"/>
  <c r="F1580" i="14"/>
  <c r="I1579" i="14"/>
  <c r="H1579" i="14"/>
  <c r="G1579" i="14"/>
  <c r="F1579" i="14"/>
  <c r="I1578" i="14"/>
  <c r="H1578" i="14"/>
  <c r="G1578" i="14"/>
  <c r="F1578" i="14"/>
  <c r="I1577" i="14"/>
  <c r="H1577" i="14"/>
  <c r="G1577" i="14"/>
  <c r="F1577" i="14"/>
  <c r="I1576" i="14"/>
  <c r="H1576" i="14"/>
  <c r="G1576" i="14"/>
  <c r="F1576" i="14"/>
  <c r="I1575" i="14"/>
  <c r="H1575" i="14"/>
  <c r="G1575" i="14"/>
  <c r="F1575" i="14"/>
  <c r="I1574" i="14"/>
  <c r="H1574" i="14"/>
  <c r="G1574" i="14"/>
  <c r="F1574" i="14"/>
  <c r="I1573" i="14"/>
  <c r="H1573" i="14"/>
  <c r="G1573" i="14"/>
  <c r="F1573" i="14"/>
  <c r="I1572" i="14"/>
  <c r="H1572" i="14"/>
  <c r="G1572" i="14"/>
  <c r="F1572" i="14"/>
  <c r="I1571" i="14"/>
  <c r="H1571" i="14"/>
  <c r="G1571" i="14"/>
  <c r="F1571" i="14"/>
  <c r="I1570" i="14"/>
  <c r="H1570" i="14"/>
  <c r="G1570" i="14"/>
  <c r="F1570" i="14"/>
  <c r="I1569" i="14"/>
  <c r="H1569" i="14"/>
  <c r="G1569" i="14"/>
  <c r="F1569" i="14"/>
  <c r="I1568" i="14"/>
  <c r="H1568" i="14"/>
  <c r="G1568" i="14"/>
  <c r="F1568" i="14"/>
  <c r="I1567" i="14"/>
  <c r="H1567" i="14"/>
  <c r="G1567" i="14"/>
  <c r="F1567" i="14"/>
  <c r="I1566" i="14"/>
  <c r="H1566" i="14"/>
  <c r="G1566" i="14"/>
  <c r="F1566" i="14"/>
  <c r="I1565" i="14"/>
  <c r="H1565" i="14"/>
  <c r="G1565" i="14"/>
  <c r="F1565" i="14"/>
  <c r="I1564" i="14"/>
  <c r="H1564" i="14"/>
  <c r="G1564" i="14"/>
  <c r="F1564" i="14"/>
  <c r="I1563" i="14"/>
  <c r="H1563" i="14"/>
  <c r="G1563" i="14"/>
  <c r="F1563" i="14"/>
  <c r="I1562" i="14"/>
  <c r="H1562" i="14"/>
  <c r="G1562" i="14"/>
  <c r="F1562" i="14"/>
  <c r="I1561" i="14"/>
  <c r="H1561" i="14"/>
  <c r="G1561" i="14"/>
  <c r="F1561" i="14"/>
  <c r="I1560" i="14"/>
  <c r="H1560" i="14"/>
  <c r="G1560" i="14"/>
  <c r="F1560" i="14"/>
  <c r="I1559" i="14"/>
  <c r="H1559" i="14"/>
  <c r="G1559" i="14"/>
  <c r="F1559" i="14"/>
  <c r="I1558" i="14"/>
  <c r="H1558" i="14"/>
  <c r="G1558" i="14"/>
  <c r="F1558" i="14"/>
  <c r="I1557" i="14"/>
  <c r="H1557" i="14"/>
  <c r="G1557" i="14"/>
  <c r="F1557" i="14"/>
  <c r="I1556" i="14"/>
  <c r="H1556" i="14"/>
  <c r="G1556" i="14"/>
  <c r="F1556" i="14"/>
  <c r="I1555" i="14"/>
  <c r="H1555" i="14"/>
  <c r="G1555" i="14"/>
  <c r="F1555" i="14"/>
  <c r="I1554" i="14"/>
  <c r="H1554" i="14"/>
  <c r="G1554" i="14"/>
  <c r="F1554" i="14"/>
  <c r="I1553" i="14"/>
  <c r="H1553" i="14"/>
  <c r="G1553" i="14"/>
  <c r="F1553" i="14"/>
  <c r="I1552" i="14"/>
  <c r="H1552" i="14"/>
  <c r="G1552" i="14"/>
  <c r="F1552" i="14"/>
  <c r="I1551" i="14"/>
  <c r="H1551" i="14"/>
  <c r="G1551" i="14"/>
  <c r="F1551" i="14"/>
  <c r="I1550" i="14"/>
  <c r="H1550" i="14"/>
  <c r="G1550" i="14"/>
  <c r="F1550" i="14"/>
  <c r="I1549" i="14"/>
  <c r="H1549" i="14"/>
  <c r="G1549" i="14"/>
  <c r="F1549" i="14"/>
  <c r="I1548" i="14"/>
  <c r="H1548" i="14"/>
  <c r="G1548" i="14"/>
  <c r="F1548" i="14"/>
  <c r="I1547" i="14"/>
  <c r="H1547" i="14"/>
  <c r="G1547" i="14"/>
  <c r="F1547" i="14"/>
  <c r="I1546" i="14"/>
  <c r="H1546" i="14"/>
  <c r="G1546" i="14"/>
  <c r="F1546" i="14"/>
  <c r="I1545" i="14"/>
  <c r="H1545" i="14"/>
  <c r="G1545" i="14"/>
  <c r="F1545" i="14"/>
  <c r="I1544" i="14"/>
  <c r="H1544" i="14"/>
  <c r="G1544" i="14"/>
  <c r="F1544" i="14"/>
  <c r="I1543" i="14"/>
  <c r="H1543" i="14"/>
  <c r="G1543" i="14"/>
  <c r="F1543" i="14"/>
  <c r="I1542" i="14"/>
  <c r="H1542" i="14"/>
  <c r="G1542" i="14"/>
  <c r="F1542" i="14"/>
  <c r="I1541" i="14"/>
  <c r="H1541" i="14"/>
  <c r="G1541" i="14"/>
  <c r="F1541" i="14"/>
  <c r="I1540" i="14"/>
  <c r="H1540" i="14"/>
  <c r="G1540" i="14"/>
  <c r="F1540" i="14"/>
  <c r="I1539" i="14"/>
  <c r="H1539" i="14"/>
  <c r="G1539" i="14"/>
  <c r="F1539" i="14"/>
  <c r="I1538" i="14"/>
  <c r="H1538" i="14"/>
  <c r="G1538" i="14"/>
  <c r="F1538" i="14"/>
  <c r="I1537" i="14"/>
  <c r="H1537" i="14"/>
  <c r="G1537" i="14"/>
  <c r="F1537" i="14"/>
  <c r="I1536" i="14"/>
  <c r="H1536" i="14"/>
  <c r="G1536" i="14"/>
  <c r="F1536" i="14"/>
  <c r="I1535" i="14"/>
  <c r="H1535" i="14"/>
  <c r="G1535" i="14"/>
  <c r="F1535" i="14"/>
  <c r="I1534" i="14"/>
  <c r="H1534" i="14"/>
  <c r="G1534" i="14"/>
  <c r="F1534" i="14"/>
  <c r="I1533" i="14"/>
  <c r="H1533" i="14"/>
  <c r="G1533" i="14"/>
  <c r="F1533" i="14"/>
  <c r="I1532" i="14"/>
  <c r="H1532" i="14"/>
  <c r="G1532" i="14"/>
  <c r="F1532" i="14"/>
  <c r="I1531" i="14"/>
  <c r="H1531" i="14"/>
  <c r="G1531" i="14"/>
  <c r="F1531" i="14"/>
  <c r="I1530" i="14"/>
  <c r="H1530" i="14"/>
  <c r="G1530" i="14"/>
  <c r="F1530" i="14"/>
  <c r="I1529" i="14"/>
  <c r="H1529" i="14"/>
  <c r="G1529" i="14"/>
  <c r="F1529" i="14"/>
  <c r="I1528" i="14"/>
  <c r="H1528" i="14"/>
  <c r="G1528" i="14"/>
  <c r="F1528" i="14"/>
  <c r="I1527" i="14"/>
  <c r="H1527" i="14"/>
  <c r="G1527" i="14"/>
  <c r="F1527" i="14"/>
  <c r="I1526" i="14"/>
  <c r="H1526" i="14"/>
  <c r="G1526" i="14"/>
  <c r="F1526" i="14"/>
  <c r="I1525" i="14"/>
  <c r="H1525" i="14"/>
  <c r="G1525" i="14"/>
  <c r="F1525" i="14"/>
  <c r="I1524" i="14"/>
  <c r="H1524" i="14"/>
  <c r="G1524" i="14"/>
  <c r="F1524" i="14"/>
  <c r="I1523" i="14"/>
  <c r="H1523" i="14"/>
  <c r="G1523" i="14"/>
  <c r="F1523" i="14"/>
  <c r="I1522" i="14"/>
  <c r="H1522" i="14"/>
  <c r="G1522" i="14"/>
  <c r="F1522" i="14"/>
  <c r="I1521" i="14"/>
  <c r="H1521" i="14"/>
  <c r="G1521" i="14"/>
  <c r="F1521" i="14"/>
  <c r="I1520" i="14"/>
  <c r="H1520" i="14"/>
  <c r="G1520" i="14"/>
  <c r="F1520" i="14"/>
  <c r="I1519" i="14"/>
  <c r="H1519" i="14"/>
  <c r="G1519" i="14"/>
  <c r="F1519" i="14"/>
  <c r="I1518" i="14"/>
  <c r="H1518" i="14"/>
  <c r="G1518" i="14"/>
  <c r="F1518" i="14"/>
  <c r="I1517" i="14"/>
  <c r="H1517" i="14"/>
  <c r="G1517" i="14"/>
  <c r="F1517" i="14"/>
  <c r="I1516" i="14"/>
  <c r="H1516" i="14"/>
  <c r="G1516" i="14"/>
  <c r="F1516" i="14"/>
  <c r="I1515" i="14"/>
  <c r="H1515" i="14"/>
  <c r="G1515" i="14"/>
  <c r="F1515" i="14"/>
  <c r="I1514" i="14"/>
  <c r="H1514" i="14"/>
  <c r="G1514" i="14"/>
  <c r="F1514" i="14"/>
  <c r="I1513" i="14"/>
  <c r="H1513" i="14"/>
  <c r="G1513" i="14"/>
  <c r="F1513" i="14"/>
  <c r="I1512" i="14"/>
  <c r="H1512" i="14"/>
  <c r="G1512" i="14"/>
  <c r="F1512" i="14"/>
  <c r="I1511" i="14"/>
  <c r="H1511" i="14"/>
  <c r="G1511" i="14"/>
  <c r="F1511" i="14"/>
  <c r="I1510" i="14"/>
  <c r="H1510" i="14"/>
  <c r="G1510" i="14"/>
  <c r="F1510" i="14"/>
  <c r="I1509" i="14"/>
  <c r="H1509" i="14"/>
  <c r="G1509" i="14"/>
  <c r="F1509" i="14"/>
  <c r="I1508" i="14"/>
  <c r="H1508" i="14"/>
  <c r="G1508" i="14"/>
  <c r="F1508" i="14"/>
  <c r="I1507" i="14"/>
  <c r="H1507" i="14"/>
  <c r="G1507" i="14"/>
  <c r="F1507" i="14"/>
  <c r="I1506" i="14"/>
  <c r="H1506" i="14"/>
  <c r="G1506" i="14"/>
  <c r="F1506" i="14"/>
  <c r="I1505" i="14"/>
  <c r="H1505" i="14"/>
  <c r="G1505" i="14"/>
  <c r="F1505" i="14"/>
  <c r="I1504" i="14"/>
  <c r="H1504" i="14"/>
  <c r="G1504" i="14"/>
  <c r="F1504" i="14"/>
  <c r="I1503" i="14"/>
  <c r="H1503" i="14"/>
  <c r="G1503" i="14"/>
  <c r="F1503" i="14"/>
  <c r="I1502" i="14"/>
  <c r="H1502" i="14"/>
  <c r="G1502" i="14"/>
  <c r="F1502" i="14"/>
  <c r="I1501" i="14"/>
  <c r="H1501" i="14"/>
  <c r="G1501" i="14"/>
  <c r="F1501" i="14"/>
  <c r="I1500" i="14"/>
  <c r="H1500" i="14"/>
  <c r="G1500" i="14"/>
  <c r="F1500" i="14"/>
  <c r="I1499" i="14"/>
  <c r="H1499" i="14"/>
  <c r="G1499" i="14"/>
  <c r="F1499" i="14"/>
  <c r="I1498" i="14"/>
  <c r="H1498" i="14"/>
  <c r="G1498" i="14"/>
  <c r="F1498" i="14"/>
  <c r="I1497" i="14"/>
  <c r="H1497" i="14"/>
  <c r="G1497" i="14"/>
  <c r="F1497" i="14"/>
  <c r="I1496" i="14"/>
  <c r="H1496" i="14"/>
  <c r="G1496" i="14"/>
  <c r="F1496" i="14"/>
  <c r="I1495" i="14"/>
  <c r="H1495" i="14"/>
  <c r="G1495" i="14"/>
  <c r="F1495" i="14"/>
  <c r="I1494" i="14"/>
  <c r="H1494" i="14"/>
  <c r="G1494" i="14"/>
  <c r="F1494" i="14"/>
  <c r="I1493" i="14"/>
  <c r="H1493" i="14"/>
  <c r="G1493" i="14"/>
  <c r="F1493" i="14"/>
  <c r="I1492" i="14"/>
  <c r="H1492" i="14"/>
  <c r="G1492" i="14"/>
  <c r="F1492" i="14"/>
  <c r="I1491" i="14"/>
  <c r="H1491" i="14"/>
  <c r="G1491" i="14"/>
  <c r="F1491" i="14"/>
  <c r="I1490" i="14"/>
  <c r="H1490" i="14"/>
  <c r="G1490" i="14"/>
  <c r="F1490" i="14"/>
  <c r="I1489" i="14"/>
  <c r="H1489" i="14"/>
  <c r="G1489" i="14"/>
  <c r="F1489" i="14"/>
  <c r="I1488" i="14"/>
  <c r="H1488" i="14"/>
  <c r="G1488" i="14"/>
  <c r="F1488" i="14"/>
  <c r="I1487" i="14"/>
  <c r="H1487" i="14"/>
  <c r="G1487" i="14"/>
  <c r="F1487" i="14"/>
  <c r="I1486" i="14"/>
  <c r="H1486" i="14"/>
  <c r="G1486" i="14"/>
  <c r="F1486" i="14"/>
  <c r="I1485" i="14"/>
  <c r="H1485" i="14"/>
  <c r="G1485" i="14"/>
  <c r="F1485" i="14"/>
  <c r="I1484" i="14"/>
  <c r="H1484" i="14"/>
  <c r="G1484" i="14"/>
  <c r="F1484" i="14"/>
  <c r="I1483" i="14"/>
  <c r="H1483" i="14"/>
  <c r="G1483" i="14"/>
  <c r="F1483" i="14"/>
  <c r="I1482" i="14"/>
  <c r="H1482" i="14"/>
  <c r="G1482" i="14"/>
  <c r="F1482" i="14"/>
  <c r="I1481" i="14"/>
  <c r="H1481" i="14"/>
  <c r="G1481" i="14"/>
  <c r="F1481" i="14"/>
  <c r="I1480" i="14"/>
  <c r="H1480" i="14"/>
  <c r="G1480" i="14"/>
  <c r="F1480" i="14"/>
  <c r="I1479" i="14"/>
  <c r="H1479" i="14"/>
  <c r="G1479" i="14"/>
  <c r="F1479" i="14"/>
  <c r="I1478" i="14"/>
  <c r="H1478" i="14"/>
  <c r="G1478" i="14"/>
  <c r="F1478" i="14"/>
  <c r="I1477" i="14"/>
  <c r="H1477" i="14"/>
  <c r="G1477" i="14"/>
  <c r="F1477" i="14"/>
  <c r="I1476" i="14"/>
  <c r="H1476" i="14"/>
  <c r="G1476" i="14"/>
  <c r="F1476" i="14"/>
  <c r="I1475" i="14"/>
  <c r="H1475" i="14"/>
  <c r="G1475" i="14"/>
  <c r="F1475" i="14"/>
  <c r="I1474" i="14"/>
  <c r="H1474" i="14"/>
  <c r="G1474" i="14"/>
  <c r="F1474" i="14"/>
  <c r="I1473" i="14"/>
  <c r="H1473" i="14"/>
  <c r="G1473" i="14"/>
  <c r="F1473" i="14"/>
  <c r="I1472" i="14"/>
  <c r="H1472" i="14"/>
  <c r="G1472" i="14"/>
  <c r="F1472" i="14"/>
  <c r="I1471" i="14"/>
  <c r="H1471" i="14"/>
  <c r="G1471" i="14"/>
  <c r="F1471" i="14"/>
  <c r="I1470" i="14"/>
  <c r="H1470" i="14"/>
  <c r="G1470" i="14"/>
  <c r="F1470" i="14"/>
  <c r="I1469" i="14"/>
  <c r="H1469" i="14"/>
  <c r="G1469" i="14"/>
  <c r="F1469" i="14"/>
  <c r="I1468" i="14"/>
  <c r="H1468" i="14"/>
  <c r="G1468" i="14"/>
  <c r="F1468" i="14"/>
  <c r="I1467" i="14"/>
  <c r="H1467" i="14"/>
  <c r="G1467" i="14"/>
  <c r="F1467" i="14"/>
  <c r="I1466" i="14"/>
  <c r="H1466" i="14"/>
  <c r="G1466" i="14"/>
  <c r="F1466" i="14"/>
  <c r="I1465" i="14"/>
  <c r="H1465" i="14"/>
  <c r="G1465" i="14"/>
  <c r="F1465" i="14"/>
  <c r="I1464" i="14"/>
  <c r="H1464" i="14"/>
  <c r="G1464" i="14"/>
  <c r="F1464" i="14"/>
  <c r="I1463" i="14"/>
  <c r="H1463" i="14"/>
  <c r="G1463" i="14"/>
  <c r="F1463" i="14"/>
  <c r="I1462" i="14"/>
  <c r="H1462" i="14"/>
  <c r="G1462" i="14"/>
  <c r="F1462" i="14"/>
  <c r="I1461" i="14"/>
  <c r="H1461" i="14"/>
  <c r="G1461" i="14"/>
  <c r="F1461" i="14"/>
  <c r="I1460" i="14"/>
  <c r="H1460" i="14"/>
  <c r="G1460" i="14"/>
  <c r="F1460" i="14"/>
  <c r="I1459" i="14"/>
  <c r="H1459" i="14"/>
  <c r="G1459" i="14"/>
  <c r="F1459" i="14"/>
  <c r="I1458" i="14"/>
  <c r="H1458" i="14"/>
  <c r="G1458" i="14"/>
  <c r="F1458" i="14"/>
  <c r="I1457" i="14"/>
  <c r="H1457" i="14"/>
  <c r="G1457" i="14"/>
  <c r="F1457" i="14"/>
  <c r="I1456" i="14"/>
  <c r="H1456" i="14"/>
  <c r="G1456" i="14"/>
  <c r="F1456" i="14"/>
  <c r="I1455" i="14"/>
  <c r="H1455" i="14"/>
  <c r="G1455" i="14"/>
  <c r="F1455" i="14"/>
  <c r="I1454" i="14"/>
  <c r="H1454" i="14"/>
  <c r="G1454" i="14"/>
  <c r="F1454" i="14"/>
  <c r="I1453" i="14"/>
  <c r="H1453" i="14"/>
  <c r="G1453" i="14"/>
  <c r="F1453" i="14"/>
  <c r="I1452" i="14"/>
  <c r="H1452" i="14"/>
  <c r="G1452" i="14"/>
  <c r="F1452" i="14"/>
  <c r="I1451" i="14"/>
  <c r="H1451" i="14"/>
  <c r="G1451" i="14"/>
  <c r="F1451" i="14"/>
  <c r="I1450" i="14"/>
  <c r="H1450" i="14"/>
  <c r="G1450" i="14"/>
  <c r="F1450" i="14"/>
  <c r="I1449" i="14"/>
  <c r="H1449" i="14"/>
  <c r="G1449" i="14"/>
  <c r="F1449" i="14"/>
  <c r="I1448" i="14"/>
  <c r="H1448" i="14"/>
  <c r="G1448" i="14"/>
  <c r="F1448" i="14"/>
  <c r="I1447" i="14"/>
  <c r="H1447" i="14"/>
  <c r="G1447" i="14"/>
  <c r="F1447" i="14"/>
  <c r="I1446" i="14"/>
  <c r="H1446" i="14"/>
  <c r="G1446" i="14"/>
  <c r="F1446" i="14"/>
  <c r="I1445" i="14"/>
  <c r="H1445" i="14"/>
  <c r="G1445" i="14"/>
  <c r="F1445" i="14"/>
  <c r="I1444" i="14"/>
  <c r="H1444" i="14"/>
  <c r="G1444" i="14"/>
  <c r="F1444" i="14"/>
  <c r="I1443" i="14"/>
  <c r="H1443" i="14"/>
  <c r="G1443" i="14"/>
  <c r="F1443" i="14"/>
  <c r="I1442" i="14"/>
  <c r="H1442" i="14"/>
  <c r="G1442" i="14"/>
  <c r="F1442" i="14"/>
  <c r="I1441" i="14"/>
  <c r="H1441" i="14"/>
  <c r="G1441" i="14"/>
  <c r="F1441" i="14"/>
  <c r="I1440" i="14"/>
  <c r="H1440" i="14"/>
  <c r="G1440" i="14"/>
  <c r="F1440" i="14"/>
  <c r="I1439" i="14"/>
  <c r="H1439" i="14"/>
  <c r="G1439" i="14"/>
  <c r="F1439" i="14"/>
  <c r="I1438" i="14"/>
  <c r="H1438" i="14"/>
  <c r="G1438" i="14"/>
  <c r="F1438" i="14"/>
  <c r="I1437" i="14"/>
  <c r="H1437" i="14"/>
  <c r="G1437" i="14"/>
  <c r="F1437" i="14"/>
  <c r="I1436" i="14"/>
  <c r="H1436" i="14"/>
  <c r="G1436" i="14"/>
  <c r="F1436" i="14"/>
  <c r="I1435" i="14"/>
  <c r="H1435" i="14"/>
  <c r="G1435" i="14"/>
  <c r="F1435" i="14"/>
  <c r="I1434" i="14"/>
  <c r="H1434" i="14"/>
  <c r="G1434" i="14"/>
  <c r="F1434" i="14"/>
  <c r="I1433" i="14"/>
  <c r="H1433" i="14"/>
  <c r="G1433" i="14"/>
  <c r="F1433" i="14"/>
  <c r="I1432" i="14"/>
  <c r="H1432" i="14"/>
  <c r="G1432" i="14"/>
  <c r="F1432" i="14"/>
  <c r="I1431" i="14"/>
  <c r="H1431" i="14"/>
  <c r="G1431" i="14"/>
  <c r="F1431" i="14"/>
  <c r="I1430" i="14"/>
  <c r="H1430" i="14"/>
  <c r="G1430" i="14"/>
  <c r="F1430" i="14"/>
  <c r="I1429" i="14"/>
  <c r="H1429" i="14"/>
  <c r="G1429" i="14"/>
  <c r="F1429" i="14"/>
  <c r="I1428" i="14"/>
  <c r="H1428" i="14"/>
  <c r="G1428" i="14"/>
  <c r="F1428" i="14"/>
  <c r="I1427" i="14"/>
  <c r="H1427" i="14"/>
  <c r="G1427" i="14"/>
  <c r="F1427" i="14"/>
  <c r="I1426" i="14"/>
  <c r="H1426" i="14"/>
  <c r="G1426" i="14"/>
  <c r="F1426" i="14"/>
  <c r="I1425" i="14"/>
  <c r="H1425" i="14"/>
  <c r="G1425" i="14"/>
  <c r="F1425" i="14"/>
  <c r="I1424" i="14"/>
  <c r="H1424" i="14"/>
  <c r="G1424" i="14"/>
  <c r="F1424" i="14"/>
  <c r="I1423" i="14"/>
  <c r="H1423" i="14"/>
  <c r="G1423" i="14"/>
  <c r="F1423" i="14"/>
  <c r="I1422" i="14"/>
  <c r="H1422" i="14"/>
  <c r="G1422" i="14"/>
  <c r="F1422" i="14"/>
  <c r="I1421" i="14"/>
  <c r="H1421" i="14"/>
  <c r="G1421" i="14"/>
  <c r="F1421" i="14"/>
  <c r="I1420" i="14"/>
  <c r="H1420" i="14"/>
  <c r="G1420" i="14"/>
  <c r="F1420" i="14"/>
  <c r="I1419" i="14"/>
  <c r="H1419" i="14"/>
  <c r="G1419" i="14"/>
  <c r="F1419" i="14"/>
  <c r="I1418" i="14"/>
  <c r="H1418" i="14"/>
  <c r="G1418" i="14"/>
  <c r="F1418" i="14"/>
  <c r="I1417" i="14"/>
  <c r="H1417" i="14"/>
  <c r="G1417" i="14"/>
  <c r="G1106" i="14"/>
  <c r="I1416" i="14"/>
  <c r="H1416" i="14"/>
  <c r="G1416" i="14"/>
  <c r="F1416" i="14"/>
  <c r="I1415" i="14"/>
  <c r="H1415" i="14"/>
  <c r="G1415" i="14"/>
  <c r="F1415" i="14"/>
  <c r="I1414" i="14"/>
  <c r="H1414" i="14"/>
  <c r="G1414" i="14"/>
  <c r="F1414" i="14"/>
  <c r="I1413" i="14"/>
  <c r="H1413" i="14"/>
  <c r="G1413" i="14"/>
  <c r="F1413" i="14"/>
  <c r="I1412" i="14"/>
  <c r="H1412" i="14"/>
  <c r="G1412" i="14"/>
  <c r="F1412" i="14"/>
  <c r="I1411" i="14"/>
  <c r="H1411" i="14"/>
  <c r="G1411" i="14"/>
  <c r="F1411" i="14"/>
  <c r="I1410" i="14"/>
  <c r="H1410" i="14"/>
  <c r="G1410" i="14"/>
  <c r="F1410" i="14"/>
  <c r="I1409" i="14"/>
  <c r="H1409" i="14"/>
  <c r="G1409" i="14"/>
  <c r="F1409" i="14"/>
  <c r="I1408" i="14"/>
  <c r="H1408" i="14"/>
  <c r="G1408" i="14"/>
  <c r="F1408" i="14"/>
  <c r="I1407" i="14"/>
  <c r="H1407" i="14"/>
  <c r="G1407" i="14"/>
  <c r="F1407" i="14"/>
  <c r="I1406" i="14"/>
  <c r="H1406" i="14"/>
  <c r="G1406" i="14"/>
  <c r="F1406" i="14"/>
  <c r="I1405" i="14"/>
  <c r="H1405" i="14"/>
  <c r="G1405" i="14"/>
  <c r="F1405" i="14"/>
  <c r="I1404" i="14"/>
  <c r="H1404" i="14"/>
  <c r="G1404" i="14"/>
  <c r="F1404" i="14"/>
  <c r="I1403" i="14"/>
  <c r="H1403" i="14"/>
  <c r="G1403" i="14"/>
  <c r="F1403" i="14"/>
  <c r="I1402" i="14"/>
  <c r="H1402" i="14"/>
  <c r="G1402" i="14"/>
  <c r="F1402" i="14"/>
  <c r="I1401" i="14"/>
  <c r="H1401" i="14"/>
  <c r="G1401" i="14"/>
  <c r="F1401" i="14"/>
  <c r="I1400" i="14"/>
  <c r="H1400" i="14"/>
  <c r="G1400" i="14"/>
  <c r="F1400" i="14"/>
  <c r="I1399" i="14"/>
  <c r="H1399" i="14"/>
  <c r="G1399" i="14"/>
  <c r="F1399" i="14"/>
  <c r="I1398" i="14"/>
  <c r="H1398" i="14"/>
  <c r="G1398" i="14"/>
  <c r="F1398" i="14"/>
  <c r="I1397" i="14"/>
  <c r="H1397" i="14"/>
  <c r="G1397" i="14"/>
  <c r="F1397" i="14"/>
  <c r="I1396" i="14"/>
  <c r="H1396" i="14"/>
  <c r="G1396" i="14"/>
  <c r="F1396" i="14"/>
  <c r="I1395" i="14"/>
  <c r="H1395" i="14"/>
  <c r="G1395" i="14"/>
  <c r="F1395" i="14"/>
  <c r="I1394" i="14"/>
  <c r="H1394" i="14"/>
  <c r="G1394" i="14"/>
  <c r="F1394" i="14"/>
  <c r="I1393" i="14"/>
  <c r="H1393" i="14"/>
  <c r="G1393" i="14"/>
  <c r="F1393" i="14"/>
  <c r="I1392" i="14"/>
  <c r="H1392" i="14"/>
  <c r="G1392" i="14"/>
  <c r="F1392" i="14"/>
  <c r="I1391" i="14"/>
  <c r="H1391" i="14"/>
  <c r="G1391" i="14"/>
  <c r="F1391" i="14"/>
  <c r="I1390" i="14"/>
  <c r="H1390" i="14"/>
  <c r="G1390" i="14"/>
  <c r="F1390" i="14"/>
  <c r="I1389" i="14"/>
  <c r="H1389" i="14"/>
  <c r="G1389" i="14"/>
  <c r="F1389" i="14"/>
  <c r="I1388" i="14"/>
  <c r="H1388" i="14"/>
  <c r="G1388" i="14"/>
  <c r="F1388" i="14"/>
  <c r="I1387" i="14"/>
  <c r="H1387" i="14"/>
  <c r="G1387" i="14"/>
  <c r="F1387" i="14"/>
  <c r="I1386" i="14"/>
  <c r="H1386" i="14"/>
  <c r="G1386" i="14"/>
  <c r="F1386" i="14"/>
  <c r="I1385" i="14"/>
  <c r="H1385" i="14"/>
  <c r="G1385" i="14"/>
  <c r="F1385" i="14"/>
  <c r="I1384" i="14"/>
  <c r="H1384" i="14"/>
  <c r="G1384" i="14"/>
  <c r="F1384" i="14"/>
  <c r="I1383" i="14"/>
  <c r="H1383" i="14"/>
  <c r="G1383" i="14"/>
  <c r="F1383" i="14"/>
  <c r="I1382" i="14"/>
  <c r="H1382" i="14"/>
  <c r="G1382" i="14"/>
  <c r="F1382" i="14"/>
  <c r="I1381" i="14"/>
  <c r="H1381" i="14"/>
  <c r="G1381" i="14"/>
  <c r="F1381" i="14"/>
  <c r="I1380" i="14"/>
  <c r="H1380" i="14"/>
  <c r="G1380" i="14"/>
  <c r="F1380" i="14"/>
  <c r="I1379" i="14"/>
  <c r="H1379" i="14"/>
  <c r="G1379" i="14"/>
  <c r="F1379" i="14"/>
  <c r="I1378" i="14"/>
  <c r="H1378" i="14"/>
  <c r="G1378" i="14"/>
  <c r="F1378" i="14"/>
  <c r="I1377" i="14"/>
  <c r="H1377" i="14"/>
  <c r="G1377" i="14"/>
  <c r="F1377" i="14"/>
  <c r="I1376" i="14"/>
  <c r="H1376" i="14"/>
  <c r="G1376" i="14"/>
  <c r="F1376" i="14"/>
  <c r="I1375" i="14"/>
  <c r="H1375" i="14"/>
  <c r="G1375" i="14"/>
  <c r="F1375" i="14"/>
  <c r="I1374" i="14"/>
  <c r="H1374" i="14"/>
  <c r="G1374" i="14"/>
  <c r="F1374" i="14"/>
  <c r="I1373" i="14"/>
  <c r="H1373" i="14"/>
  <c r="G1373" i="14"/>
  <c r="F1373" i="14"/>
  <c r="I1372" i="14"/>
  <c r="H1372" i="14"/>
  <c r="G1372" i="14"/>
  <c r="F1372" i="14"/>
  <c r="I1371" i="14"/>
  <c r="H1371" i="14"/>
  <c r="G1371" i="14"/>
  <c r="F1371" i="14"/>
  <c r="I1370" i="14"/>
  <c r="H1370" i="14"/>
  <c r="G1370" i="14"/>
  <c r="F1370" i="14"/>
  <c r="I1369" i="14"/>
  <c r="H1369" i="14"/>
  <c r="G1369" i="14"/>
  <c r="F1369" i="14"/>
  <c r="I1368" i="14"/>
  <c r="H1368" i="14"/>
  <c r="G1368" i="14"/>
  <c r="F1368" i="14"/>
  <c r="I1367" i="14"/>
  <c r="H1367" i="14"/>
  <c r="G1367" i="14"/>
  <c r="F1367" i="14"/>
  <c r="I1366" i="14"/>
  <c r="H1366" i="14"/>
  <c r="G1366" i="14"/>
  <c r="F1366" i="14"/>
  <c r="I1365" i="14"/>
  <c r="H1365" i="14"/>
  <c r="G1365" i="14"/>
  <c r="F1365" i="14"/>
  <c r="I1364" i="14"/>
  <c r="H1364" i="14"/>
  <c r="G1364" i="14"/>
  <c r="F1364" i="14"/>
  <c r="I1363" i="14"/>
  <c r="H1363" i="14"/>
  <c r="G1363" i="14"/>
  <c r="F1363" i="14"/>
  <c r="I1362" i="14"/>
  <c r="H1362" i="14"/>
  <c r="G1362" i="14"/>
  <c r="F1362" i="14"/>
  <c r="I1361" i="14"/>
  <c r="H1361" i="14"/>
  <c r="G1361" i="14"/>
  <c r="F1361" i="14"/>
  <c r="I1360" i="14"/>
  <c r="H1360" i="14"/>
  <c r="G1360" i="14"/>
  <c r="F1360" i="14"/>
  <c r="I1359" i="14"/>
  <c r="H1359" i="14"/>
  <c r="G1359" i="14"/>
  <c r="F1359" i="14"/>
  <c r="I1358" i="14"/>
  <c r="H1358" i="14"/>
  <c r="G1358" i="14"/>
  <c r="F1358" i="14"/>
  <c r="I1357" i="14"/>
  <c r="H1357" i="14"/>
  <c r="G1357" i="14"/>
  <c r="F1357" i="14"/>
  <c r="I1356" i="14"/>
  <c r="H1356" i="14"/>
  <c r="G1356" i="14"/>
  <c r="F1356" i="14"/>
  <c r="I1355" i="14"/>
  <c r="H1355" i="14"/>
  <c r="G1355" i="14"/>
  <c r="F1355" i="14"/>
  <c r="I1354" i="14"/>
  <c r="H1354" i="14"/>
  <c r="G1354" i="14"/>
  <c r="F1354" i="14"/>
  <c r="I1353" i="14"/>
  <c r="H1353" i="14"/>
  <c r="G1353" i="14"/>
  <c r="F1353" i="14"/>
  <c r="I1352" i="14"/>
  <c r="H1352" i="14"/>
  <c r="G1352" i="14"/>
  <c r="F1352" i="14"/>
  <c r="I1351" i="14"/>
  <c r="H1351" i="14"/>
  <c r="G1351" i="14"/>
  <c r="F1351" i="14"/>
  <c r="I1350" i="14"/>
  <c r="H1350" i="14"/>
  <c r="G1350" i="14"/>
  <c r="F1350" i="14"/>
  <c r="I1349" i="14"/>
  <c r="H1349" i="14"/>
  <c r="G1349" i="14"/>
  <c r="F1349" i="14"/>
  <c r="I1348" i="14"/>
  <c r="H1348" i="14"/>
  <c r="G1348" i="14"/>
  <c r="F1348" i="14"/>
  <c r="I1347" i="14"/>
  <c r="H1347" i="14"/>
  <c r="G1347" i="14"/>
  <c r="F1347" i="14"/>
  <c r="I1346" i="14"/>
  <c r="H1346" i="14"/>
  <c r="G1346" i="14"/>
  <c r="F1346" i="14"/>
  <c r="I1345" i="14"/>
  <c r="H1345" i="14"/>
  <c r="G1345" i="14"/>
  <c r="F1345" i="14"/>
  <c r="I1344" i="14"/>
  <c r="H1344" i="14"/>
  <c r="G1344" i="14"/>
  <c r="F1344" i="14"/>
  <c r="I1343" i="14"/>
  <c r="H1343" i="14"/>
  <c r="G1343" i="14"/>
  <c r="F1343" i="14"/>
  <c r="I1342" i="14"/>
  <c r="H1342" i="14"/>
  <c r="G1342" i="14"/>
  <c r="F1342" i="14"/>
  <c r="I1341" i="14"/>
  <c r="H1341" i="14"/>
  <c r="G1341" i="14"/>
  <c r="F1341" i="14"/>
  <c r="I1340" i="14"/>
  <c r="H1340" i="14"/>
  <c r="G1340" i="14"/>
  <c r="F1340" i="14"/>
  <c r="I1339" i="14"/>
  <c r="H1339" i="14"/>
  <c r="G1339" i="14"/>
  <c r="F1339" i="14"/>
  <c r="I1338" i="14"/>
  <c r="H1338" i="14"/>
  <c r="G1338" i="14"/>
  <c r="F1338" i="14"/>
  <c r="I1337" i="14"/>
  <c r="H1337" i="14"/>
  <c r="G1337" i="14"/>
  <c r="F1337" i="14"/>
  <c r="I1336" i="14"/>
  <c r="H1336" i="14"/>
  <c r="G1336" i="14"/>
  <c r="F1336" i="14"/>
  <c r="I1335" i="14"/>
  <c r="H1335" i="14"/>
  <c r="G1335" i="14"/>
  <c r="F1335" i="14"/>
  <c r="I1334" i="14"/>
  <c r="H1334" i="14"/>
  <c r="G1334" i="14"/>
  <c r="F1334" i="14"/>
  <c r="I1333" i="14"/>
  <c r="H1333" i="14"/>
  <c r="G1333" i="14"/>
  <c r="F1333" i="14"/>
  <c r="I1332" i="14"/>
  <c r="H1332" i="14"/>
  <c r="G1332" i="14"/>
  <c r="F1332" i="14"/>
  <c r="I1331" i="14"/>
  <c r="H1331" i="14"/>
  <c r="G1331" i="14"/>
  <c r="F1331" i="14"/>
  <c r="I1330" i="14"/>
  <c r="H1330" i="14"/>
  <c r="G1330" i="14"/>
  <c r="F1330" i="14"/>
  <c r="I1329" i="14"/>
  <c r="H1329" i="14"/>
  <c r="G1329" i="14"/>
  <c r="F1329" i="14"/>
  <c r="I1328" i="14"/>
  <c r="H1328" i="14"/>
  <c r="G1328" i="14"/>
  <c r="F1328" i="14"/>
  <c r="I1327" i="14"/>
  <c r="H1327" i="14"/>
  <c r="G1327" i="14"/>
  <c r="F1327" i="14"/>
  <c r="I1326" i="14"/>
  <c r="H1326" i="14"/>
  <c r="G1326" i="14"/>
  <c r="F1326" i="14"/>
  <c r="I1325" i="14"/>
  <c r="H1325" i="14"/>
  <c r="G1325" i="14"/>
  <c r="F1325" i="14"/>
  <c r="I1324" i="14"/>
  <c r="H1324" i="14"/>
  <c r="G1324" i="14"/>
  <c r="F1324" i="14"/>
  <c r="I1323" i="14"/>
  <c r="H1323" i="14"/>
  <c r="G1323" i="14"/>
  <c r="F1323" i="14"/>
  <c r="I1322" i="14"/>
  <c r="H1322" i="14"/>
  <c r="G1322" i="14"/>
  <c r="F1322" i="14"/>
  <c r="I1321" i="14"/>
  <c r="H1321" i="14"/>
  <c r="G1321" i="14"/>
  <c r="F1321" i="14"/>
  <c r="I1320" i="14"/>
  <c r="H1320" i="14"/>
  <c r="G1320" i="14"/>
  <c r="F1320" i="14"/>
  <c r="I1319" i="14"/>
  <c r="H1319" i="14"/>
  <c r="G1319" i="14"/>
  <c r="F1319" i="14"/>
  <c r="I1318" i="14"/>
  <c r="H1318" i="14"/>
  <c r="G1318" i="14"/>
  <c r="F1318" i="14"/>
  <c r="I1317" i="14"/>
  <c r="H1317" i="14"/>
  <c r="G1317" i="14"/>
  <c r="F1317" i="14"/>
  <c r="I1316" i="14"/>
  <c r="H1316" i="14"/>
  <c r="G1316" i="14"/>
  <c r="F1316" i="14"/>
  <c r="I1315" i="14"/>
  <c r="H1315" i="14"/>
  <c r="G1315" i="14"/>
  <c r="F1315" i="14"/>
  <c r="I1314" i="14"/>
  <c r="H1314" i="14"/>
  <c r="G1314" i="14"/>
  <c r="F1314" i="14"/>
  <c r="I1313" i="14"/>
  <c r="H1313" i="14"/>
  <c r="G1313" i="14"/>
  <c r="F1313" i="14"/>
  <c r="I1312" i="14"/>
  <c r="H1312" i="14"/>
  <c r="G1312" i="14"/>
  <c r="F1312" i="14"/>
  <c r="I1311" i="14"/>
  <c r="H1311" i="14"/>
  <c r="G1311" i="14"/>
  <c r="F1311" i="14"/>
  <c r="I1310" i="14"/>
  <c r="H1310" i="14"/>
  <c r="G1310" i="14"/>
  <c r="F1310" i="14"/>
  <c r="I1309" i="14"/>
  <c r="H1309" i="14"/>
  <c r="G1309" i="14"/>
  <c r="F1309" i="14"/>
  <c r="I1308" i="14"/>
  <c r="H1308" i="14"/>
  <c r="G1308" i="14"/>
  <c r="F1308" i="14"/>
  <c r="I1307" i="14"/>
  <c r="H1307" i="14"/>
  <c r="G1307" i="14"/>
  <c r="F1307" i="14"/>
  <c r="I1306" i="14"/>
  <c r="H1306" i="14"/>
  <c r="G1306" i="14"/>
  <c r="F1306" i="14"/>
  <c r="I1305" i="14"/>
  <c r="H1305" i="14"/>
  <c r="G1305" i="14"/>
  <c r="F1305" i="14"/>
  <c r="I1304" i="14"/>
  <c r="H1304" i="14"/>
  <c r="G1304" i="14"/>
  <c r="F1304" i="14"/>
  <c r="I1303" i="14"/>
  <c r="H1303" i="14"/>
  <c r="G1303" i="14"/>
  <c r="F1303" i="14"/>
  <c r="I1302" i="14"/>
  <c r="H1302" i="14"/>
  <c r="G1302" i="14"/>
  <c r="F1302" i="14"/>
  <c r="I1301" i="14"/>
  <c r="H1301" i="14"/>
  <c r="G1301" i="14"/>
  <c r="F1301" i="14"/>
  <c r="I1300" i="14"/>
  <c r="H1300" i="14"/>
  <c r="G1300" i="14"/>
  <c r="F1300" i="14"/>
  <c r="I1299" i="14"/>
  <c r="H1299" i="14"/>
  <c r="G1299" i="14"/>
  <c r="F1299" i="14"/>
  <c r="I1298" i="14"/>
  <c r="H1298" i="14"/>
  <c r="G1298" i="14"/>
  <c r="F1298" i="14"/>
  <c r="I1297" i="14"/>
  <c r="H1297" i="14"/>
  <c r="G1297" i="14"/>
  <c r="F1297" i="14"/>
  <c r="I1296" i="14"/>
  <c r="H1296" i="14"/>
  <c r="G1296" i="14"/>
  <c r="F1296" i="14"/>
  <c r="I1295" i="14"/>
  <c r="H1295" i="14"/>
  <c r="G1295" i="14"/>
  <c r="F1295" i="14"/>
  <c r="I1294" i="14"/>
  <c r="H1294" i="14"/>
  <c r="G1294" i="14"/>
  <c r="F1294" i="14"/>
  <c r="I1293" i="14"/>
  <c r="H1293" i="14"/>
  <c r="G1293" i="14"/>
  <c r="F1293" i="14"/>
  <c r="I1292" i="14"/>
  <c r="H1292" i="14"/>
  <c r="G1292" i="14"/>
  <c r="F1292" i="14"/>
  <c r="I1291" i="14"/>
  <c r="H1291" i="14"/>
  <c r="G1291" i="14"/>
  <c r="F1291" i="14"/>
  <c r="I1290" i="14"/>
  <c r="H1290" i="14"/>
  <c r="G1290" i="14"/>
  <c r="F1290" i="14"/>
  <c r="I1289" i="14"/>
  <c r="H1289" i="14"/>
  <c r="G1289" i="14"/>
  <c r="F1289" i="14"/>
  <c r="I1288" i="14"/>
  <c r="H1288" i="14"/>
  <c r="G1288" i="14"/>
  <c r="F1288" i="14"/>
  <c r="I1287" i="14"/>
  <c r="H1287" i="14"/>
  <c r="G1287" i="14"/>
  <c r="F1287" i="14"/>
  <c r="I1286" i="14"/>
  <c r="H1286" i="14"/>
  <c r="G1286" i="14"/>
  <c r="F1286" i="14"/>
  <c r="I1285" i="14"/>
  <c r="H1285" i="14"/>
  <c r="G1285" i="14"/>
  <c r="F1285" i="14"/>
  <c r="I1284" i="14"/>
  <c r="H1284" i="14"/>
  <c r="G1284" i="14"/>
  <c r="F1284" i="14"/>
  <c r="I1283" i="14"/>
  <c r="H1283" i="14"/>
  <c r="G1283" i="14"/>
  <c r="F1283" i="14"/>
  <c r="I1282" i="14"/>
  <c r="H1282" i="14"/>
  <c r="G1282" i="14"/>
  <c r="F1282" i="14"/>
  <c r="I1281" i="14"/>
  <c r="H1281" i="14"/>
  <c r="G1281" i="14"/>
  <c r="F1281" i="14"/>
  <c r="I1280" i="14"/>
  <c r="H1280" i="14"/>
  <c r="G1280" i="14"/>
  <c r="F1280" i="14"/>
  <c r="I1279" i="14"/>
  <c r="H1279" i="14"/>
  <c r="G1279" i="14"/>
  <c r="F1279" i="14"/>
  <c r="I1278" i="14"/>
  <c r="H1278" i="14"/>
  <c r="G1278" i="14"/>
  <c r="F1278" i="14"/>
  <c r="I1277" i="14"/>
  <c r="H1277" i="14"/>
  <c r="G1277" i="14"/>
  <c r="F1277" i="14"/>
  <c r="I1276" i="14"/>
  <c r="H1276" i="14"/>
  <c r="G1276" i="14"/>
  <c r="F1276" i="14"/>
  <c r="I1275" i="14"/>
  <c r="H1275" i="14"/>
  <c r="G1275" i="14"/>
  <c r="F1275" i="14"/>
  <c r="I1274" i="14"/>
  <c r="H1274" i="14"/>
  <c r="G1274" i="14"/>
  <c r="F1274" i="14"/>
  <c r="I1273" i="14"/>
  <c r="H1273" i="14"/>
  <c r="G1273" i="14"/>
  <c r="F1273" i="14"/>
  <c r="I1272" i="14"/>
  <c r="H1272" i="14"/>
  <c r="G1272" i="14"/>
  <c r="F1272" i="14"/>
  <c r="I1271" i="14"/>
  <c r="H1271" i="14"/>
  <c r="G1271" i="14"/>
  <c r="F1271" i="14"/>
  <c r="I1270" i="14"/>
  <c r="H1270" i="14"/>
  <c r="G1270" i="14"/>
  <c r="F1270" i="14"/>
  <c r="I1269" i="14"/>
  <c r="H1269" i="14"/>
  <c r="G1269" i="14"/>
  <c r="F1269" i="14"/>
  <c r="I1268" i="14"/>
  <c r="H1268" i="14"/>
  <c r="G1268" i="14"/>
  <c r="F1268" i="14"/>
  <c r="I1267" i="14"/>
  <c r="H1267" i="14"/>
  <c r="G1267" i="14"/>
  <c r="F1267" i="14"/>
  <c r="I1266" i="14"/>
  <c r="H1266" i="14"/>
  <c r="G1266" i="14"/>
  <c r="F1266" i="14"/>
  <c r="I1265" i="14"/>
  <c r="H1265" i="14"/>
  <c r="G1265" i="14"/>
  <c r="F1265" i="14"/>
  <c r="I1264" i="14"/>
  <c r="H1264" i="14"/>
  <c r="G1264" i="14"/>
  <c r="F1264" i="14"/>
  <c r="I1263" i="14"/>
  <c r="H1263" i="14"/>
  <c r="G1263" i="14"/>
  <c r="F1263" i="14"/>
  <c r="I1262" i="14"/>
  <c r="H1262" i="14"/>
  <c r="G1262" i="14"/>
  <c r="F1262" i="14"/>
  <c r="I1261" i="14"/>
  <c r="H1261" i="14"/>
  <c r="G1261" i="14"/>
  <c r="F1261" i="14"/>
  <c r="I1260" i="14"/>
  <c r="H1260" i="14"/>
  <c r="G1260" i="14"/>
  <c r="F1260" i="14"/>
  <c r="I1259" i="14"/>
  <c r="H1259" i="14"/>
  <c r="G1259" i="14"/>
  <c r="F1259" i="14"/>
  <c r="I1258" i="14"/>
  <c r="H1258" i="14"/>
  <c r="G1258" i="14"/>
  <c r="F1258" i="14"/>
  <c r="I1257" i="14"/>
  <c r="H1257" i="14"/>
  <c r="G1257" i="14"/>
  <c r="F1257" i="14"/>
  <c r="I1256" i="14"/>
  <c r="H1256" i="14"/>
  <c r="G1256" i="14"/>
  <c r="F1256" i="14"/>
  <c r="I1255" i="14"/>
  <c r="H1255" i="14"/>
  <c r="G1255" i="14"/>
  <c r="F1255" i="14"/>
  <c r="I1254" i="14"/>
  <c r="H1254" i="14"/>
  <c r="G1254" i="14"/>
  <c r="F1254" i="14"/>
  <c r="I1253" i="14"/>
  <c r="H1253" i="14"/>
  <c r="G1253" i="14"/>
  <c r="F1253" i="14"/>
  <c r="I1252" i="14"/>
  <c r="H1252" i="14"/>
  <c r="G1252" i="14"/>
  <c r="F1252" i="14"/>
  <c r="I1251" i="14"/>
  <c r="H1251" i="14"/>
  <c r="G1251" i="14"/>
  <c r="F1251" i="14"/>
  <c r="I1250" i="14"/>
  <c r="H1250" i="14"/>
  <c r="G1250" i="14"/>
  <c r="F1250" i="14"/>
  <c r="I1249" i="14"/>
  <c r="H1249" i="14"/>
  <c r="G1249" i="14"/>
  <c r="F1249" i="14"/>
  <c r="I1248" i="14"/>
  <c r="H1248" i="14"/>
  <c r="G1248" i="14"/>
  <c r="F1248" i="14"/>
  <c r="I1247" i="14"/>
  <c r="H1247" i="14"/>
  <c r="G1247" i="14"/>
  <c r="F1247" i="14"/>
  <c r="I1246" i="14"/>
  <c r="H1246" i="14"/>
  <c r="G1246" i="14"/>
  <c r="F1246" i="14"/>
  <c r="I1245" i="14"/>
  <c r="H1245" i="14"/>
  <c r="G1245" i="14"/>
  <c r="F1245" i="14"/>
  <c r="I1244" i="14"/>
  <c r="H1244" i="14"/>
  <c r="G1244" i="14"/>
  <c r="F1244" i="14"/>
  <c r="I1243" i="14"/>
  <c r="H1243" i="14"/>
  <c r="G1243" i="14"/>
  <c r="F1243" i="14"/>
  <c r="I1242" i="14"/>
  <c r="H1242" i="14"/>
  <c r="G1242" i="14"/>
  <c r="F1242" i="14"/>
  <c r="I1241" i="14"/>
  <c r="H1241" i="14"/>
  <c r="G1241" i="14"/>
  <c r="F1241" i="14"/>
  <c r="I1240" i="14"/>
  <c r="H1240" i="14"/>
  <c r="G1240" i="14"/>
  <c r="F1240" i="14"/>
  <c r="I1239" i="14"/>
  <c r="H1239" i="14"/>
  <c r="G1239" i="14"/>
  <c r="F1239" i="14"/>
  <c r="I1238" i="14"/>
  <c r="H1238" i="14"/>
  <c r="G1238" i="14"/>
  <c r="F1238" i="14"/>
  <c r="I1237" i="14"/>
  <c r="H1237" i="14"/>
  <c r="G1237" i="14"/>
  <c r="F1237" i="14"/>
  <c r="I1236" i="14"/>
  <c r="H1236" i="14"/>
  <c r="G1236" i="14"/>
  <c r="F1236" i="14"/>
  <c r="I1235" i="14"/>
  <c r="H1235" i="14"/>
  <c r="G1235" i="14"/>
  <c r="F1235" i="14"/>
  <c r="I1234" i="14"/>
  <c r="H1234" i="14"/>
  <c r="G1234" i="14"/>
  <c r="F1234" i="14"/>
  <c r="I1233" i="14"/>
  <c r="H1233" i="14"/>
  <c r="G1233" i="14"/>
  <c r="F1233" i="14"/>
  <c r="I1232" i="14"/>
  <c r="H1232" i="14"/>
  <c r="G1232" i="14"/>
  <c r="F1232" i="14"/>
  <c r="I1231" i="14"/>
  <c r="H1231" i="14"/>
  <c r="G1231" i="14"/>
  <c r="F1231" i="14"/>
  <c r="I1230" i="14"/>
  <c r="H1230" i="14"/>
  <c r="G1230" i="14"/>
  <c r="F1230" i="14"/>
  <c r="I1229" i="14"/>
  <c r="H1229" i="14"/>
  <c r="G1229" i="14"/>
  <c r="F1229" i="14"/>
  <c r="I1228" i="14"/>
  <c r="H1228" i="14"/>
  <c r="G1228" i="14"/>
  <c r="F1228" i="14"/>
  <c r="I1227" i="14"/>
  <c r="H1227" i="14"/>
  <c r="G1227" i="14"/>
  <c r="F1227" i="14"/>
  <c r="I1226" i="14"/>
  <c r="H1226" i="14"/>
  <c r="G1226" i="14"/>
  <c r="F1226" i="14"/>
  <c r="I1225" i="14"/>
  <c r="H1225" i="14"/>
  <c r="G1225" i="14"/>
  <c r="F1225" i="14"/>
  <c r="I1224" i="14"/>
  <c r="H1224" i="14"/>
  <c r="G1224" i="14"/>
  <c r="F1224" i="14"/>
  <c r="I1223" i="14"/>
  <c r="H1223" i="14"/>
  <c r="G1223" i="14"/>
  <c r="F1223" i="14"/>
  <c r="I1222" i="14"/>
  <c r="H1222" i="14"/>
  <c r="G1222" i="14"/>
  <c r="F1222" i="14"/>
  <c r="I1221" i="14"/>
  <c r="H1221" i="14"/>
  <c r="G1221" i="14"/>
  <c r="F1221" i="14"/>
  <c r="I1220" i="14"/>
  <c r="H1220" i="14"/>
  <c r="G1220" i="14"/>
  <c r="F1220" i="14"/>
  <c r="I1219" i="14"/>
  <c r="H1219" i="14"/>
  <c r="G1219" i="14"/>
  <c r="F1219" i="14"/>
  <c r="I1218" i="14"/>
  <c r="H1218" i="14"/>
  <c r="G1218" i="14"/>
  <c r="F1218" i="14"/>
  <c r="I1217" i="14"/>
  <c r="H1217" i="14"/>
  <c r="G1217" i="14"/>
  <c r="F1217" i="14"/>
  <c r="I1216" i="14"/>
  <c r="H1216" i="14"/>
  <c r="G1216" i="14"/>
  <c r="F1216" i="14"/>
  <c r="I1215" i="14"/>
  <c r="H1215" i="14"/>
  <c r="G1215" i="14"/>
  <c r="F1215" i="14"/>
  <c r="I1214" i="14"/>
  <c r="H1214" i="14"/>
  <c r="G1214" i="14"/>
  <c r="F1214" i="14"/>
  <c r="I1213" i="14"/>
  <c r="H1213" i="14"/>
  <c r="G1213" i="14"/>
  <c r="F1213" i="14"/>
  <c r="I1212" i="14"/>
  <c r="H1212" i="14"/>
  <c r="G1212" i="14"/>
  <c r="F1212" i="14"/>
  <c r="I1211" i="14"/>
  <c r="H1211" i="14"/>
  <c r="G1211" i="14"/>
  <c r="F1211" i="14"/>
  <c r="I1210" i="14"/>
  <c r="H1210" i="14"/>
  <c r="G1210" i="14"/>
  <c r="F1210" i="14"/>
  <c r="I1209" i="14"/>
  <c r="H1209" i="14"/>
  <c r="G1209" i="14"/>
  <c r="F1209" i="14"/>
  <c r="I1208" i="14"/>
  <c r="H1208" i="14"/>
  <c r="G1208" i="14"/>
  <c r="F1208" i="14"/>
  <c r="I1207" i="14"/>
  <c r="H1207" i="14"/>
  <c r="G1207" i="14"/>
  <c r="F1207" i="14"/>
  <c r="I1206" i="14"/>
  <c r="H1206" i="14"/>
  <c r="G1206" i="14"/>
  <c r="F1206" i="14"/>
  <c r="I1205" i="14"/>
  <c r="H1205" i="14"/>
  <c r="G1205" i="14"/>
  <c r="F1205" i="14"/>
  <c r="I1204" i="14"/>
  <c r="H1204" i="14"/>
  <c r="G1204" i="14"/>
  <c r="F1204" i="14"/>
  <c r="I1203" i="14"/>
  <c r="H1203" i="14"/>
  <c r="G1203" i="14"/>
  <c r="F1203" i="14"/>
  <c r="I1202" i="14"/>
  <c r="H1202" i="14"/>
  <c r="G1202" i="14"/>
  <c r="F1202" i="14"/>
  <c r="I1201" i="14"/>
  <c r="H1201" i="14"/>
  <c r="G1201" i="14"/>
  <c r="F1201" i="14"/>
  <c r="I1200" i="14"/>
  <c r="H1200" i="14"/>
  <c r="G1200" i="14"/>
  <c r="F1200" i="14"/>
  <c r="I1199" i="14"/>
  <c r="H1199" i="14"/>
  <c r="G1199" i="14"/>
  <c r="F1199" i="14"/>
  <c r="I1198" i="14"/>
  <c r="H1198" i="14"/>
  <c r="G1198" i="14"/>
  <c r="F1198" i="14"/>
  <c r="I1197" i="14"/>
  <c r="H1197" i="14"/>
  <c r="G1197" i="14"/>
  <c r="F1197" i="14"/>
  <c r="I1196" i="14"/>
  <c r="H1196" i="14"/>
  <c r="G1196" i="14"/>
  <c r="F1196" i="14"/>
  <c r="I1195" i="14"/>
  <c r="H1195" i="14"/>
  <c r="G1195" i="14"/>
  <c r="F1195" i="14"/>
  <c r="I1194" i="14"/>
  <c r="H1194" i="14"/>
  <c r="G1194" i="14"/>
  <c r="F1194" i="14"/>
  <c r="I1193" i="14"/>
  <c r="H1193" i="14"/>
  <c r="G1193" i="14"/>
  <c r="F1193" i="14"/>
  <c r="I1192" i="14"/>
  <c r="H1192" i="14"/>
  <c r="G1192" i="14"/>
  <c r="F1192" i="14"/>
  <c r="I1191" i="14"/>
  <c r="H1191" i="14"/>
  <c r="G1191" i="14"/>
  <c r="F1191" i="14"/>
  <c r="I1190" i="14"/>
  <c r="H1190" i="14"/>
  <c r="G1190" i="14"/>
  <c r="F1190" i="14"/>
  <c r="I1189" i="14"/>
  <c r="H1189" i="14"/>
  <c r="G1189" i="14"/>
  <c r="F1189" i="14"/>
  <c r="I1188" i="14"/>
  <c r="H1188" i="14"/>
  <c r="G1188" i="14"/>
  <c r="F1188" i="14"/>
  <c r="I1187" i="14"/>
  <c r="H1187" i="14"/>
  <c r="G1187" i="14"/>
  <c r="F1187" i="14"/>
  <c r="I1186" i="14"/>
  <c r="H1186" i="14"/>
  <c r="G1186" i="14"/>
  <c r="F1186" i="14"/>
  <c r="I1185" i="14"/>
  <c r="H1185" i="14"/>
  <c r="G1185" i="14"/>
  <c r="F1185" i="14"/>
  <c r="I1184" i="14"/>
  <c r="H1184" i="14"/>
  <c r="G1184" i="14"/>
  <c r="F1184" i="14"/>
  <c r="I1183" i="14"/>
  <c r="H1183" i="14"/>
  <c r="G1183" i="14"/>
  <c r="F1183" i="14"/>
  <c r="I1182" i="14"/>
  <c r="H1182" i="14"/>
  <c r="G1182" i="14"/>
  <c r="F1182" i="14"/>
  <c r="I1181" i="14"/>
  <c r="H1181" i="14"/>
  <c r="G1181" i="14"/>
  <c r="F1181" i="14"/>
  <c r="I1180" i="14"/>
  <c r="H1180" i="14"/>
  <c r="G1180" i="14"/>
  <c r="F1180" i="14"/>
  <c r="I1179" i="14"/>
  <c r="H1179" i="14"/>
  <c r="G1179" i="14"/>
  <c r="F1179" i="14"/>
  <c r="I1178" i="14"/>
  <c r="H1178" i="14"/>
  <c r="G1178" i="14"/>
  <c r="F1178" i="14"/>
  <c r="I1177" i="14"/>
  <c r="H1177" i="14"/>
  <c r="G1177" i="14"/>
  <c r="F1177" i="14"/>
  <c r="I1176" i="14"/>
  <c r="H1176" i="14"/>
  <c r="G1176" i="14"/>
  <c r="F1176" i="14"/>
  <c r="I1175" i="14"/>
  <c r="H1175" i="14"/>
  <c r="G1175" i="14"/>
  <c r="F1175" i="14"/>
  <c r="I1174" i="14"/>
  <c r="H1174" i="14"/>
  <c r="G1174" i="14"/>
  <c r="F1174" i="14"/>
  <c r="I1173" i="14"/>
  <c r="H1173" i="14"/>
  <c r="G1173" i="14"/>
  <c r="F1173" i="14"/>
  <c r="I1172" i="14"/>
  <c r="H1172" i="14"/>
  <c r="G1172" i="14"/>
  <c r="F1172" i="14"/>
  <c r="I1171" i="14"/>
  <c r="H1171" i="14"/>
  <c r="G1171" i="14"/>
  <c r="F1171" i="14"/>
  <c r="I1170" i="14"/>
  <c r="H1170" i="14"/>
  <c r="G1170" i="14"/>
  <c r="F1170" i="14"/>
  <c r="I1169" i="14"/>
  <c r="H1169" i="14"/>
  <c r="G1169" i="14"/>
  <c r="F1169" i="14"/>
  <c r="I1168" i="14"/>
  <c r="H1168" i="14"/>
  <c r="G1168" i="14"/>
  <c r="F1168" i="14"/>
  <c r="I1167" i="14"/>
  <c r="H1167" i="14"/>
  <c r="G1167" i="14"/>
  <c r="F1167" i="14"/>
  <c r="I1166" i="14"/>
  <c r="H1166" i="14"/>
  <c r="G1166" i="14"/>
  <c r="F1166" i="14"/>
  <c r="I1165" i="14"/>
  <c r="H1165" i="14"/>
  <c r="G1165" i="14"/>
  <c r="F1165" i="14"/>
  <c r="I1164" i="14"/>
  <c r="H1164" i="14"/>
  <c r="G1164" i="14"/>
  <c r="F1164" i="14"/>
  <c r="I1163" i="14"/>
  <c r="H1163" i="14"/>
  <c r="G1163" i="14"/>
  <c r="F1163" i="14"/>
  <c r="I1162" i="14"/>
  <c r="H1162" i="14"/>
  <c r="G1162" i="14"/>
  <c r="F1162" i="14"/>
  <c r="I1161" i="14"/>
  <c r="H1161" i="14"/>
  <c r="G1161" i="14"/>
  <c r="F1161" i="14"/>
  <c r="I1160" i="14"/>
  <c r="H1160" i="14"/>
  <c r="G1160" i="14"/>
  <c r="F1160" i="14"/>
  <c r="I1159" i="14"/>
  <c r="H1159" i="14"/>
  <c r="G1159" i="14"/>
  <c r="F1159" i="14"/>
  <c r="I1158" i="14"/>
  <c r="H1158" i="14"/>
  <c r="G1158" i="14"/>
  <c r="F1158" i="14"/>
  <c r="I1157" i="14"/>
  <c r="H1157" i="14"/>
  <c r="G1157" i="14"/>
  <c r="F1157" i="14"/>
  <c r="I1156" i="14"/>
  <c r="H1156" i="14"/>
  <c r="G1156" i="14"/>
  <c r="F1156" i="14"/>
  <c r="I1155" i="14"/>
  <c r="H1155" i="14"/>
  <c r="G1155" i="14"/>
  <c r="F1155" i="14"/>
  <c r="I1154" i="14"/>
  <c r="H1154" i="14"/>
  <c r="G1154" i="14"/>
  <c r="F1154" i="14"/>
  <c r="I1153" i="14"/>
  <c r="H1153" i="14"/>
  <c r="G1153" i="14"/>
  <c r="F1153" i="14"/>
  <c r="I1152" i="14"/>
  <c r="H1152" i="14"/>
  <c r="G1152" i="14"/>
  <c r="F1152" i="14"/>
  <c r="I1151" i="14"/>
  <c r="H1151" i="14"/>
  <c r="G1151" i="14"/>
  <c r="F1151" i="14"/>
  <c r="I1150" i="14"/>
  <c r="H1150" i="14"/>
  <c r="G1150" i="14"/>
  <c r="F1150" i="14"/>
  <c r="I1149" i="14"/>
  <c r="H1149" i="14"/>
  <c r="G1149" i="14"/>
  <c r="F1149" i="14"/>
  <c r="I1148" i="14"/>
  <c r="H1148" i="14"/>
  <c r="G1148" i="14"/>
  <c r="F1148" i="14"/>
  <c r="I1147" i="14"/>
  <c r="H1147" i="14"/>
  <c r="G1147" i="14"/>
  <c r="F1147" i="14"/>
  <c r="I1146" i="14"/>
  <c r="H1146" i="14"/>
  <c r="G1146" i="14"/>
  <c r="F1146" i="14"/>
  <c r="I1145" i="14"/>
  <c r="H1145" i="14"/>
  <c r="G1145" i="14"/>
  <c r="F1145" i="14"/>
  <c r="I1144" i="14"/>
  <c r="H1144" i="14"/>
  <c r="G1144" i="14"/>
  <c r="F1144" i="14"/>
  <c r="I1143" i="14"/>
  <c r="H1143" i="14"/>
  <c r="G1143" i="14"/>
  <c r="F1143" i="14"/>
  <c r="I1142" i="14"/>
  <c r="H1142" i="14"/>
  <c r="G1142" i="14"/>
  <c r="F1142" i="14"/>
  <c r="I1141" i="14"/>
  <c r="H1141" i="14"/>
  <c r="G1141" i="14"/>
  <c r="F1141" i="14"/>
  <c r="I1140" i="14"/>
  <c r="H1140" i="14"/>
  <c r="G1140" i="14"/>
  <c r="F1140" i="14"/>
  <c r="I1139" i="14"/>
  <c r="H1139" i="14"/>
  <c r="G1139" i="14"/>
  <c r="F1139" i="14"/>
  <c r="I1138" i="14"/>
  <c r="H1138" i="14"/>
  <c r="G1138" i="14"/>
  <c r="F1138" i="14"/>
  <c r="I1137" i="14"/>
  <c r="H1137" i="14"/>
  <c r="G1137" i="14"/>
  <c r="F1137" i="14"/>
  <c r="I1136" i="14"/>
  <c r="H1136" i="14"/>
  <c r="G1136" i="14"/>
  <c r="F1136" i="14"/>
  <c r="I1135" i="14"/>
  <c r="H1135" i="14"/>
  <c r="G1135" i="14"/>
  <c r="F1135" i="14"/>
  <c r="I1134" i="14"/>
  <c r="H1134" i="14"/>
  <c r="G1134" i="14"/>
  <c r="F1134" i="14"/>
  <c r="I1133" i="14"/>
  <c r="H1133" i="14"/>
  <c r="G1133" i="14"/>
  <c r="F1133" i="14"/>
  <c r="I1132" i="14"/>
  <c r="H1132" i="14"/>
  <c r="G1132" i="14"/>
  <c r="F1132" i="14"/>
  <c r="I1131" i="14"/>
  <c r="H1131" i="14"/>
  <c r="G1131" i="14"/>
  <c r="F1131" i="14"/>
  <c r="I1130" i="14"/>
  <c r="H1130" i="14"/>
  <c r="G1130" i="14"/>
  <c r="F1130" i="14"/>
  <c r="I1129" i="14"/>
  <c r="H1129" i="14"/>
  <c r="G1129" i="14"/>
  <c r="F1129" i="14"/>
  <c r="I1128" i="14"/>
  <c r="H1128" i="14"/>
  <c r="G1128" i="14"/>
  <c r="F1128" i="14"/>
  <c r="I1127" i="14"/>
  <c r="H1127" i="14"/>
  <c r="G1127" i="14"/>
  <c r="F1127" i="14"/>
  <c r="I1126" i="14"/>
  <c r="H1126" i="14"/>
  <c r="G1126" i="14"/>
  <c r="F1126" i="14"/>
  <c r="I1125" i="14"/>
  <c r="H1125" i="14"/>
  <c r="G1125" i="14"/>
  <c r="F1125" i="14"/>
  <c r="I1124" i="14"/>
  <c r="H1124" i="14"/>
  <c r="G1124" i="14"/>
  <c r="F1124" i="14"/>
  <c r="I1123" i="14"/>
  <c r="H1123" i="14"/>
  <c r="G1123" i="14"/>
  <c r="F1123" i="14"/>
  <c r="I1122" i="14"/>
  <c r="H1122" i="14"/>
  <c r="G1122" i="14"/>
  <c r="F1122" i="14"/>
  <c r="I1121" i="14"/>
  <c r="H1121" i="14"/>
  <c r="G1121" i="14"/>
  <c r="F1121" i="14"/>
  <c r="I1120" i="14"/>
  <c r="H1120" i="14"/>
  <c r="G1120" i="14"/>
  <c r="F1120" i="14"/>
  <c r="I1119" i="14"/>
  <c r="H1119" i="14"/>
  <c r="G1119" i="14"/>
  <c r="F1119" i="14"/>
  <c r="I1118" i="14"/>
  <c r="H1118" i="14"/>
  <c r="G1118" i="14"/>
  <c r="F1118" i="14"/>
  <c r="I1117" i="14"/>
  <c r="H1117" i="14"/>
  <c r="G1117" i="14"/>
  <c r="F1117" i="14"/>
  <c r="I1116" i="14"/>
  <c r="H1116" i="14"/>
  <c r="G1116" i="14"/>
  <c r="F1116" i="14"/>
  <c r="I1115" i="14"/>
  <c r="H1115" i="14"/>
  <c r="G1115" i="14"/>
  <c r="F1115" i="14"/>
  <c r="I1114" i="14"/>
  <c r="H1114" i="14"/>
  <c r="G1114" i="14"/>
  <c r="F1114" i="14"/>
  <c r="I1113" i="14"/>
  <c r="H1113" i="14"/>
  <c r="G1113" i="14"/>
  <c r="F1113" i="14"/>
  <c r="I1112" i="14"/>
  <c r="H1112" i="14"/>
  <c r="G1112" i="14"/>
  <c r="F1112" i="14"/>
  <c r="I1111" i="14"/>
  <c r="H1111" i="14"/>
  <c r="G1111" i="14"/>
  <c r="F1111" i="14"/>
  <c r="I1110" i="14"/>
  <c r="H1110" i="14"/>
  <c r="G1110" i="14"/>
  <c r="F1110" i="14"/>
  <c r="I1109" i="14"/>
  <c r="H1109" i="14"/>
  <c r="G1109" i="14"/>
  <c r="F1109" i="14"/>
  <c r="I1108" i="14"/>
  <c r="H1108" i="14"/>
  <c r="G1108" i="14"/>
  <c r="F1108" i="14"/>
  <c r="I1107" i="14"/>
  <c r="H1107" i="14"/>
  <c r="B1110" i="14"/>
  <c r="B1109" i="14"/>
  <c r="B1108" i="14"/>
  <c r="B1107" i="14"/>
  <c r="D60" i="13"/>
  <c r="I60" i="13" s="1"/>
  <c r="K60" i="13" s="1"/>
  <c r="D56" i="13"/>
  <c r="I56" i="13" s="1"/>
  <c r="K56" i="13" s="1"/>
  <c r="D53" i="13"/>
  <c r="I53" i="13" s="1"/>
  <c r="K53" i="13" s="1"/>
  <c r="D51" i="13"/>
  <c r="I51" i="13" s="1"/>
  <c r="K51" i="13" s="1"/>
  <c r="D46" i="13"/>
  <c r="I46" i="13" s="1"/>
  <c r="K46" i="13" s="1"/>
  <c r="D44" i="13"/>
  <c r="I44" i="13" s="1"/>
  <c r="K44" i="13" s="1"/>
  <c r="D40" i="13"/>
  <c r="I40" i="13" s="1"/>
  <c r="K40" i="13" s="1"/>
  <c r="D38" i="13"/>
  <c r="I38" i="13" s="1"/>
  <c r="K38" i="13" s="1"/>
  <c r="D34" i="13"/>
  <c r="I34" i="13" s="1"/>
  <c r="K34" i="13" s="1"/>
  <c r="D30" i="13"/>
  <c r="I30" i="13" s="1"/>
  <c r="K30" i="13" s="1"/>
  <c r="D28" i="13"/>
  <c r="I28" i="13" s="1"/>
  <c r="K28" i="13" s="1"/>
  <c r="D26" i="13"/>
  <c r="I26" i="13" s="1"/>
  <c r="K26" i="13" s="1"/>
  <c r="D25" i="13"/>
  <c r="I25" i="13" s="1"/>
  <c r="K25" i="13" s="1"/>
  <c r="D23" i="13"/>
  <c r="I23" i="13" s="1"/>
  <c r="K23" i="13" s="1"/>
  <c r="D22" i="13"/>
  <c r="I22" i="13" s="1"/>
  <c r="K22" i="13" s="1"/>
  <c r="D17" i="13"/>
  <c r="I17" i="13" s="1"/>
  <c r="K17" i="13" s="1"/>
  <c r="D16" i="13"/>
  <c r="I16" i="13" s="1"/>
  <c r="K16" i="13" s="1"/>
  <c r="D13" i="13"/>
  <c r="I13" i="13" s="1"/>
  <c r="K13" i="13" s="1"/>
  <c r="D11" i="13"/>
  <c r="I11" i="13" s="1"/>
  <c r="K11" i="13" s="1"/>
  <c r="D8" i="13"/>
  <c r="I8" i="13" s="1"/>
  <c r="K8" i="13" s="1"/>
  <c r="D7" i="13"/>
  <c r="I7" i="13" s="1"/>
  <c r="K7" i="13" s="1"/>
  <c r="D6" i="13"/>
  <c r="I6" i="13" s="1"/>
  <c r="K6" i="13" s="1"/>
  <c r="D143" i="13"/>
  <c r="I143" i="13" s="1"/>
  <c r="K143" i="13" s="1"/>
  <c r="D142" i="13"/>
  <c r="I142" i="13" s="1"/>
  <c r="K142" i="13" s="1"/>
  <c r="D141" i="13"/>
  <c r="I141" i="13" s="1"/>
  <c r="K141" i="13" s="1"/>
  <c r="D140" i="13"/>
  <c r="I140" i="13" s="1"/>
  <c r="K140" i="13" s="1"/>
  <c r="D139" i="13"/>
  <c r="I139" i="13" s="1"/>
  <c r="K139" i="13" s="1"/>
  <c r="D138" i="13"/>
  <c r="I138" i="13" s="1"/>
  <c r="K138" i="13" s="1"/>
  <c r="D137" i="13"/>
  <c r="I137" i="13" s="1"/>
  <c r="K137" i="13" s="1"/>
  <c r="D136" i="13"/>
  <c r="I136" i="13" s="1"/>
  <c r="K136" i="13" s="1"/>
  <c r="D135" i="13"/>
  <c r="I135" i="13" s="1"/>
  <c r="K135" i="13" s="1"/>
  <c r="D134" i="13"/>
  <c r="I134" i="13" s="1"/>
  <c r="K134" i="13" s="1"/>
  <c r="D133" i="13"/>
  <c r="I133" i="13" s="1"/>
  <c r="K133" i="13" s="1"/>
  <c r="D132" i="13"/>
  <c r="I132" i="13" s="1"/>
  <c r="K132" i="13" s="1"/>
  <c r="D131" i="13"/>
  <c r="I131" i="13" s="1"/>
  <c r="K131" i="13" s="1"/>
  <c r="D130" i="13"/>
  <c r="I130" i="13" s="1"/>
  <c r="K130" i="13" s="1"/>
  <c r="D129" i="13"/>
  <c r="I129" i="13" s="1"/>
  <c r="K129" i="13" s="1"/>
  <c r="D128" i="13"/>
  <c r="I128" i="13" s="1"/>
  <c r="K128" i="13" s="1"/>
  <c r="D127" i="13"/>
  <c r="I127" i="13" s="1"/>
  <c r="K127" i="13" s="1"/>
  <c r="D126" i="13"/>
  <c r="I126" i="13" s="1"/>
  <c r="K126" i="13" s="1"/>
  <c r="D125" i="13"/>
  <c r="I125" i="13" s="1"/>
  <c r="K125" i="13" s="1"/>
  <c r="D124" i="13"/>
  <c r="I124" i="13" s="1"/>
  <c r="K124" i="13" s="1"/>
  <c r="D123" i="13"/>
  <c r="I123" i="13" s="1"/>
  <c r="K123" i="13" s="1"/>
  <c r="D122" i="13"/>
  <c r="I122" i="13" s="1"/>
  <c r="K122" i="13" s="1"/>
  <c r="D121" i="13"/>
  <c r="I121" i="13" s="1"/>
  <c r="K121" i="13" s="1"/>
  <c r="D120" i="13"/>
  <c r="I120" i="13" s="1"/>
  <c r="K120" i="13" s="1"/>
  <c r="D119" i="13"/>
  <c r="I119" i="13" s="1"/>
  <c r="K119" i="13" s="1"/>
  <c r="D118" i="13"/>
  <c r="I118" i="13" s="1"/>
  <c r="K118" i="13" s="1"/>
  <c r="D117" i="13"/>
  <c r="I117" i="13" s="1"/>
  <c r="K117" i="13" s="1"/>
  <c r="D116" i="13"/>
  <c r="I116" i="13" s="1"/>
  <c r="K116" i="13" s="1"/>
  <c r="D115" i="13"/>
  <c r="I115" i="13" s="1"/>
  <c r="K115" i="13" s="1"/>
  <c r="D114" i="13"/>
  <c r="I114" i="13" s="1"/>
  <c r="K114" i="13" s="1"/>
  <c r="D113" i="13"/>
  <c r="I113" i="13" s="1"/>
  <c r="K113" i="13" s="1"/>
  <c r="D112" i="13"/>
  <c r="I112" i="13" s="1"/>
  <c r="K112" i="13" s="1"/>
  <c r="D111" i="13"/>
  <c r="I111" i="13" s="1"/>
  <c r="K111" i="13" s="1"/>
  <c r="D110" i="13"/>
  <c r="I110" i="13" s="1"/>
  <c r="K110" i="13" s="1"/>
  <c r="D109" i="13"/>
  <c r="I109" i="13" s="1"/>
  <c r="K109" i="13" s="1"/>
  <c r="D108" i="13"/>
  <c r="I108" i="13" s="1"/>
  <c r="K108" i="13" s="1"/>
  <c r="D107" i="13"/>
  <c r="I107" i="13" s="1"/>
  <c r="K107" i="13" s="1"/>
  <c r="D106" i="13"/>
  <c r="I106" i="13" s="1"/>
  <c r="K106" i="13" s="1"/>
  <c r="D105" i="13"/>
  <c r="I105" i="13" s="1"/>
  <c r="K105" i="13" s="1"/>
  <c r="D104" i="13"/>
  <c r="I104" i="13" s="1"/>
  <c r="K104" i="13" s="1"/>
  <c r="D103" i="13"/>
  <c r="I103" i="13" s="1"/>
  <c r="K103" i="13" s="1"/>
  <c r="D102" i="13"/>
  <c r="I102" i="13" s="1"/>
  <c r="K102" i="13" s="1"/>
  <c r="D101" i="13"/>
  <c r="I101" i="13" s="1"/>
  <c r="K101" i="13" s="1"/>
  <c r="D100" i="13"/>
  <c r="I100" i="13" s="1"/>
  <c r="K100" i="13" s="1"/>
  <c r="D99" i="13"/>
  <c r="I99" i="13" s="1"/>
  <c r="K99" i="13" s="1"/>
  <c r="D98" i="13"/>
  <c r="I98" i="13" s="1"/>
  <c r="K98" i="13" s="1"/>
  <c r="D97" i="13"/>
  <c r="I97" i="13" s="1"/>
  <c r="K97" i="13" s="1"/>
  <c r="D96" i="13"/>
  <c r="I96" i="13" s="1"/>
  <c r="K96" i="13" s="1"/>
  <c r="D95" i="13"/>
  <c r="I95" i="13" s="1"/>
  <c r="K95" i="13" s="1"/>
  <c r="D94" i="13"/>
  <c r="I94" i="13" s="1"/>
  <c r="K94" i="13" s="1"/>
  <c r="D93" i="13"/>
  <c r="I93" i="13" s="1"/>
  <c r="K93" i="13" s="1"/>
  <c r="D92" i="13"/>
  <c r="I92" i="13" s="1"/>
  <c r="K92" i="13" s="1"/>
  <c r="D91" i="13"/>
  <c r="I91" i="13" s="1"/>
  <c r="K91" i="13" s="1"/>
  <c r="D90" i="13"/>
  <c r="I90" i="13" s="1"/>
  <c r="K90" i="13" s="1"/>
  <c r="D89" i="13"/>
  <c r="I89" i="13" s="1"/>
  <c r="K89" i="13" s="1"/>
  <c r="D88" i="13"/>
  <c r="I88" i="13" s="1"/>
  <c r="K88" i="13" s="1"/>
  <c r="D87" i="13"/>
  <c r="I87" i="13" s="1"/>
  <c r="K87" i="13" s="1"/>
  <c r="D86" i="13"/>
  <c r="I86" i="13" s="1"/>
  <c r="K86" i="13" s="1"/>
  <c r="D85" i="13"/>
  <c r="I85" i="13" s="1"/>
  <c r="K85" i="13" s="1"/>
  <c r="D84" i="13"/>
  <c r="I84" i="13" s="1"/>
  <c r="K84" i="13" s="1"/>
  <c r="D83" i="13"/>
  <c r="I83" i="13" s="1"/>
  <c r="K83" i="13" s="1"/>
  <c r="D82" i="13"/>
  <c r="I82" i="13" s="1"/>
  <c r="K82" i="13" s="1"/>
  <c r="D81" i="13"/>
  <c r="I81" i="13" s="1"/>
  <c r="K81" i="13" s="1"/>
  <c r="D80" i="13"/>
  <c r="I80" i="13" s="1"/>
  <c r="K80" i="13" s="1"/>
  <c r="D79" i="13"/>
  <c r="I79" i="13" s="1"/>
  <c r="K79" i="13" s="1"/>
  <c r="D78" i="13"/>
  <c r="I78" i="13" s="1"/>
  <c r="K78" i="13" s="1"/>
  <c r="D77" i="13"/>
  <c r="I77" i="13" s="1"/>
  <c r="K77" i="13" s="1"/>
  <c r="D76" i="13"/>
  <c r="I76" i="13" s="1"/>
  <c r="K76" i="13" s="1"/>
  <c r="D75" i="13"/>
  <c r="I75" i="13" s="1"/>
  <c r="K75" i="13" s="1"/>
  <c r="D74" i="13"/>
  <c r="I74" i="13" s="1"/>
  <c r="K74" i="13" s="1"/>
  <c r="D73" i="13"/>
  <c r="I73" i="13" s="1"/>
  <c r="K73" i="13" s="1"/>
  <c r="D72" i="13"/>
  <c r="I72" i="13" s="1"/>
  <c r="K72" i="13" s="1"/>
  <c r="D71" i="13"/>
  <c r="I71" i="13" s="1"/>
  <c r="K71" i="13" s="1"/>
  <c r="D70" i="13"/>
  <c r="I70" i="13" s="1"/>
  <c r="K70" i="13" s="1"/>
  <c r="D69" i="13"/>
  <c r="I69" i="13" s="1"/>
  <c r="K69" i="13" s="1"/>
  <c r="D68" i="13"/>
  <c r="I68" i="13" s="1"/>
  <c r="K68" i="13" s="1"/>
  <c r="D67" i="13"/>
  <c r="I67" i="13" s="1"/>
  <c r="K67" i="13" s="1"/>
  <c r="D66" i="13"/>
  <c r="I66" i="13" s="1"/>
  <c r="K66" i="13" s="1"/>
  <c r="D65" i="13"/>
  <c r="I65" i="13" s="1"/>
  <c r="K65" i="13" s="1"/>
  <c r="D64" i="13"/>
  <c r="I64" i="13" s="1"/>
  <c r="K64" i="13" s="1"/>
  <c r="D63" i="13"/>
  <c r="I63" i="13" s="1"/>
  <c r="K63" i="13" s="1"/>
  <c r="D62" i="13"/>
  <c r="I62" i="13" s="1"/>
  <c r="K62" i="13" s="1"/>
  <c r="D59" i="13"/>
  <c r="I59" i="13" s="1"/>
  <c r="K59" i="13" s="1"/>
  <c r="D58" i="13"/>
  <c r="I58" i="13" s="1"/>
  <c r="K58" i="13" s="1"/>
  <c r="D57" i="13"/>
  <c r="I57" i="13" s="1"/>
  <c r="K57" i="13" s="1"/>
  <c r="D55" i="13"/>
  <c r="I55" i="13" s="1"/>
  <c r="K55" i="13" s="1"/>
  <c r="D54" i="13"/>
  <c r="I54" i="13" s="1"/>
  <c r="K54" i="13" s="1"/>
  <c r="D52" i="13"/>
  <c r="I52" i="13" s="1"/>
  <c r="K52" i="13" s="1"/>
  <c r="D50" i="13"/>
  <c r="I50" i="13" s="1"/>
  <c r="K50" i="13" s="1"/>
  <c r="D49" i="13"/>
  <c r="I49" i="13" s="1"/>
  <c r="K49" i="13" s="1"/>
  <c r="D48" i="13"/>
  <c r="I48" i="13" s="1"/>
  <c r="K48" i="13" s="1"/>
  <c r="D47" i="13"/>
  <c r="I47" i="13" s="1"/>
  <c r="K47" i="13" s="1"/>
  <c r="D45" i="13"/>
  <c r="I45" i="13" s="1"/>
  <c r="K45" i="13" s="1"/>
  <c r="D43" i="13"/>
  <c r="I43" i="13" s="1"/>
  <c r="K43" i="13" s="1"/>
  <c r="D42" i="13"/>
  <c r="I42" i="13" s="1"/>
  <c r="K42" i="13" s="1"/>
  <c r="D41" i="13"/>
  <c r="I41" i="13" s="1"/>
  <c r="K41" i="13" s="1"/>
  <c r="D39" i="13"/>
  <c r="I39" i="13" s="1"/>
  <c r="K39" i="13" s="1"/>
  <c r="D37" i="13"/>
  <c r="I37" i="13" s="1"/>
  <c r="K37" i="13" s="1"/>
  <c r="D36" i="13"/>
  <c r="I36" i="13" s="1"/>
  <c r="K36" i="13" s="1"/>
  <c r="D35" i="13"/>
  <c r="I35" i="13" s="1"/>
  <c r="K35" i="13" s="1"/>
  <c r="D33" i="13"/>
  <c r="I33" i="13" s="1"/>
  <c r="K33" i="13" s="1"/>
  <c r="D32" i="13"/>
  <c r="I32" i="13" s="1"/>
  <c r="K32" i="13" s="1"/>
  <c r="D31" i="13"/>
  <c r="I31" i="13" s="1"/>
  <c r="K31" i="13" s="1"/>
  <c r="D29" i="13"/>
  <c r="I29" i="13" s="1"/>
  <c r="K29" i="13" s="1"/>
  <c r="D27" i="13"/>
  <c r="I27" i="13" s="1"/>
  <c r="K27" i="13" s="1"/>
  <c r="D24" i="13"/>
  <c r="I24" i="13" s="1"/>
  <c r="K24" i="13" s="1"/>
  <c r="D21" i="13"/>
  <c r="I21" i="13" s="1"/>
  <c r="K21" i="13" s="1"/>
  <c r="D20" i="13"/>
  <c r="I20" i="13" s="1"/>
  <c r="K20" i="13" s="1"/>
  <c r="D19" i="13"/>
  <c r="I19" i="13" s="1"/>
  <c r="K19" i="13" s="1"/>
  <c r="D18" i="13"/>
  <c r="I18" i="13" s="1"/>
  <c r="K18" i="13" s="1"/>
  <c r="D15" i="13"/>
  <c r="I15" i="13" s="1"/>
  <c r="K15" i="13" s="1"/>
  <c r="D14" i="13"/>
  <c r="I14" i="13" s="1"/>
  <c r="K14" i="13" s="1"/>
  <c r="D12" i="13"/>
  <c r="I12" i="13" s="1"/>
  <c r="K12" i="13" s="1"/>
  <c r="D10" i="13"/>
  <c r="I10" i="13" s="1"/>
  <c r="K10" i="13" s="1"/>
  <c r="D9" i="13"/>
  <c r="I9" i="13" s="1"/>
  <c r="K9" i="13" s="1"/>
  <c r="D5" i="13"/>
  <c r="I5" i="13" s="1"/>
  <c r="K5" i="13" s="1"/>
  <c r="D4" i="13"/>
  <c r="I4" i="13" s="1"/>
  <c r="K4" i="13" s="1"/>
  <c r="D3" i="13"/>
  <c r="I3" i="13" s="1"/>
  <c r="K3" i="13" s="1"/>
  <c r="D2" i="13"/>
  <c r="I2" i="13" s="1"/>
  <c r="K2" i="13" s="1"/>
  <c r="D61" i="13"/>
  <c r="I61" i="13" s="1"/>
  <c r="K61" i="13" s="1"/>
  <c r="D145" i="13"/>
  <c r="I145" i="13" s="1"/>
  <c r="K145" i="13" s="1"/>
  <c r="D144" i="13"/>
  <c r="I144" i="13" s="1"/>
  <c r="K144" i="13" s="1"/>
  <c r="B21" i="12"/>
  <c r="B20" i="12"/>
  <c r="B19" i="12"/>
  <c r="B18" i="12"/>
  <c r="B17" i="12"/>
  <c r="B16" i="12"/>
  <c r="B26" i="12"/>
  <c r="B15" i="12"/>
  <c r="B14" i="12"/>
  <c r="B13" i="12"/>
  <c r="B12" i="12"/>
  <c r="B11" i="12"/>
  <c r="B10" i="12"/>
  <c r="B38" i="12"/>
  <c r="B37" i="12"/>
  <c r="B35" i="12"/>
  <c r="B25" i="12"/>
  <c r="B34" i="12"/>
  <c r="B33" i="12"/>
  <c r="B32" i="12"/>
  <c r="B31" i="12"/>
  <c r="B30" i="12"/>
  <c r="B29" i="12"/>
  <c r="B9" i="12"/>
  <c r="B28" i="12"/>
  <c r="B27" i="12"/>
  <c r="B36" i="12"/>
  <c r="B24" i="12"/>
  <c r="B23" i="12"/>
  <c r="B22" i="12"/>
  <c r="H8" i="12"/>
  <c r="G8" i="12"/>
  <c r="E8" i="12"/>
  <c r="D8" i="12"/>
  <c r="C8" i="12"/>
  <c r="J8" i="12"/>
  <c r="I8" i="12"/>
  <c r="F8" i="12"/>
  <c r="G41" i="10"/>
  <c r="F41" i="10"/>
  <c r="E41" i="10"/>
  <c r="I40" i="10"/>
  <c r="H40" i="10"/>
  <c r="G40" i="10"/>
  <c r="F40" i="10"/>
  <c r="E40" i="10"/>
  <c r="I39" i="10"/>
  <c r="H39" i="10"/>
  <c r="G39" i="10"/>
  <c r="F39" i="10"/>
  <c r="E39" i="10"/>
  <c r="I38" i="10"/>
  <c r="H38" i="10"/>
  <c r="G38" i="10"/>
  <c r="F38" i="10"/>
  <c r="E38" i="10"/>
  <c r="I37" i="10"/>
  <c r="H37" i="10"/>
  <c r="G37" i="10"/>
  <c r="F37" i="10"/>
  <c r="E37" i="10"/>
  <c r="I36" i="10"/>
  <c r="H36" i="10"/>
  <c r="G36" i="10"/>
  <c r="F36" i="10"/>
  <c r="E36" i="10"/>
  <c r="I35" i="10"/>
  <c r="H35" i="10"/>
  <c r="G35" i="10"/>
  <c r="F35" i="10"/>
  <c r="E35" i="10"/>
  <c r="I34" i="10"/>
  <c r="H34" i="10"/>
  <c r="G34" i="10"/>
  <c r="F34" i="10"/>
  <c r="E34" i="10"/>
  <c r="I33" i="10"/>
  <c r="H33" i="10"/>
  <c r="G33" i="10"/>
  <c r="F33" i="10"/>
  <c r="E33" i="10"/>
  <c r="I32" i="10"/>
  <c r="H32" i="10"/>
  <c r="G32" i="10"/>
  <c r="F32" i="10"/>
  <c r="E32" i="10"/>
  <c r="I31" i="10"/>
  <c r="H31" i="10"/>
  <c r="G31" i="10"/>
  <c r="F31" i="10"/>
  <c r="E31" i="10"/>
  <c r="I30" i="10"/>
  <c r="H30" i="10"/>
  <c r="G30" i="10"/>
  <c r="F30" i="10"/>
  <c r="E30" i="10"/>
  <c r="I29" i="10"/>
  <c r="H29" i="10"/>
  <c r="G29" i="10"/>
  <c r="F29" i="10"/>
  <c r="E29" i="10"/>
  <c r="I28" i="10"/>
  <c r="H28" i="10"/>
  <c r="G28" i="10"/>
  <c r="F28" i="10"/>
  <c r="E28" i="10"/>
  <c r="I27" i="10"/>
  <c r="H27" i="10"/>
  <c r="G27" i="10"/>
  <c r="F27" i="10"/>
  <c r="E27" i="10"/>
  <c r="I26" i="10"/>
  <c r="H26" i="10"/>
  <c r="G26" i="10"/>
  <c r="F26" i="10"/>
  <c r="E26" i="10"/>
  <c r="I25" i="10"/>
  <c r="H25" i="10"/>
  <c r="G25" i="10"/>
  <c r="F25" i="10"/>
  <c r="E25" i="10"/>
  <c r="I24" i="10"/>
  <c r="H24" i="10"/>
  <c r="G24" i="10"/>
  <c r="F24" i="10"/>
  <c r="E24" i="10"/>
  <c r="I23" i="10"/>
  <c r="H23" i="10"/>
  <c r="G23" i="10"/>
  <c r="F23" i="10"/>
  <c r="E23" i="10"/>
  <c r="I22" i="10"/>
  <c r="H22" i="10"/>
  <c r="G22" i="10"/>
  <c r="F22" i="10"/>
  <c r="E22" i="10"/>
  <c r="I21" i="10"/>
  <c r="H21" i="10"/>
  <c r="G21" i="10"/>
  <c r="F21" i="10"/>
  <c r="E21" i="10"/>
  <c r="I20" i="10"/>
  <c r="H20" i="10"/>
  <c r="G20" i="10"/>
  <c r="F20" i="10"/>
  <c r="E20" i="10"/>
  <c r="I19" i="10"/>
  <c r="H19" i="10"/>
  <c r="G19" i="10"/>
  <c r="F19" i="10"/>
  <c r="E19" i="10"/>
  <c r="I18" i="10"/>
  <c r="H18" i="10"/>
  <c r="G18" i="10"/>
  <c r="F18" i="10"/>
  <c r="E18" i="10"/>
  <c r="I17" i="10"/>
  <c r="H17" i="10"/>
  <c r="G17" i="10"/>
  <c r="F17" i="10"/>
  <c r="E17" i="10"/>
  <c r="I16" i="10"/>
  <c r="H16" i="10"/>
  <c r="G16" i="10"/>
  <c r="F16" i="10"/>
  <c r="E16" i="10"/>
  <c r="I15" i="10"/>
  <c r="H15" i="10"/>
  <c r="G15" i="10"/>
  <c r="F15" i="10"/>
  <c r="E15" i="10"/>
  <c r="I14" i="10"/>
  <c r="H14" i="10"/>
  <c r="G14" i="10"/>
  <c r="F14" i="10"/>
  <c r="E14" i="10"/>
  <c r="I13" i="10"/>
  <c r="H13" i="10"/>
  <c r="G13" i="10"/>
  <c r="F13" i="10"/>
  <c r="E13" i="10"/>
  <c r="I12" i="10"/>
  <c r="H12" i="10"/>
  <c r="G12" i="10"/>
  <c r="F12" i="10"/>
  <c r="E12" i="10"/>
  <c r="I11" i="10"/>
  <c r="H11" i="10"/>
  <c r="G11" i="10"/>
  <c r="F11" i="10"/>
  <c r="E11" i="10"/>
  <c r="I10" i="10"/>
  <c r="H10" i="10"/>
  <c r="G10" i="10"/>
  <c r="F10" i="10"/>
  <c r="E10" i="10"/>
  <c r="I9" i="10"/>
  <c r="H9" i="10"/>
  <c r="G9" i="10"/>
  <c r="F9" i="10"/>
  <c r="E9" i="10"/>
  <c r="I8" i="10"/>
  <c r="H8" i="10"/>
  <c r="G8" i="10"/>
  <c r="F8" i="10"/>
  <c r="E8" i="10"/>
  <c r="I7" i="10"/>
  <c r="H7" i="10"/>
  <c r="G7" i="10"/>
  <c r="F7" i="10"/>
  <c r="E7" i="10"/>
  <c r="I6" i="10"/>
  <c r="H6" i="10"/>
  <c r="G6" i="10"/>
  <c r="F6" i="10"/>
  <c r="E6" i="10"/>
  <c r="I5" i="10"/>
  <c r="H5" i="10"/>
  <c r="G5" i="10"/>
  <c r="F5" i="10"/>
  <c r="I529" i="10"/>
  <c r="H529" i="10"/>
  <c r="G529" i="10"/>
  <c r="F529" i="10"/>
  <c r="E529" i="10"/>
  <c r="I528" i="10"/>
  <c r="H528" i="10"/>
  <c r="G528" i="10"/>
  <c r="F528" i="10"/>
  <c r="E528" i="10"/>
  <c r="I527" i="10"/>
  <c r="H527" i="10"/>
  <c r="G527" i="10"/>
  <c r="F527" i="10"/>
  <c r="E527" i="10"/>
  <c r="I526" i="10"/>
  <c r="H526" i="10"/>
  <c r="G526" i="10"/>
  <c r="F526" i="10"/>
  <c r="E526" i="10"/>
  <c r="I525" i="10"/>
  <c r="H525" i="10"/>
  <c r="G525" i="10"/>
  <c r="F525" i="10"/>
  <c r="E525" i="10"/>
  <c r="I524" i="10"/>
  <c r="H524" i="10"/>
  <c r="G524" i="10"/>
  <c r="F524" i="10"/>
  <c r="E524" i="10"/>
  <c r="I523" i="10"/>
  <c r="H523" i="10"/>
  <c r="G523" i="10"/>
  <c r="F523" i="10"/>
  <c r="E523" i="10"/>
  <c r="I522" i="10"/>
  <c r="H522" i="10"/>
  <c r="G522" i="10"/>
  <c r="F522" i="10"/>
  <c r="E522" i="10"/>
  <c r="I521" i="10"/>
  <c r="H521" i="10"/>
  <c r="G521" i="10"/>
  <c r="F521" i="10"/>
  <c r="E521" i="10"/>
  <c r="I520" i="10"/>
  <c r="H520" i="10"/>
  <c r="G520" i="10"/>
  <c r="F520" i="10"/>
  <c r="E520" i="10"/>
  <c r="I519" i="10"/>
  <c r="H519" i="10"/>
  <c r="G519" i="10"/>
  <c r="F519" i="10"/>
  <c r="E519" i="10"/>
  <c r="I518" i="10"/>
  <c r="H518" i="10"/>
  <c r="G518" i="10"/>
  <c r="F518" i="10"/>
  <c r="E518" i="10"/>
  <c r="I517" i="10"/>
  <c r="H517" i="10"/>
  <c r="G517" i="10"/>
  <c r="F517" i="10"/>
  <c r="E517" i="10"/>
  <c r="I516" i="10"/>
  <c r="H516" i="10"/>
  <c r="G516" i="10"/>
  <c r="F516" i="10"/>
  <c r="E516" i="10"/>
  <c r="I515" i="10"/>
  <c r="H515" i="10"/>
  <c r="G515" i="10"/>
  <c r="F515" i="10"/>
  <c r="E515" i="10"/>
  <c r="I514" i="10"/>
  <c r="H514" i="10"/>
  <c r="G514" i="10"/>
  <c r="F514" i="10"/>
  <c r="E514" i="10"/>
  <c r="I513" i="10"/>
  <c r="H513" i="10"/>
  <c r="G513" i="10"/>
  <c r="F513" i="10"/>
  <c r="E513" i="10"/>
  <c r="I512" i="10"/>
  <c r="H512" i="10"/>
  <c r="G512" i="10"/>
  <c r="F512" i="10"/>
  <c r="E512" i="10"/>
  <c r="I511" i="10"/>
  <c r="H511" i="10"/>
  <c r="G511" i="10"/>
  <c r="F511" i="10"/>
  <c r="E511" i="10"/>
  <c r="I510" i="10"/>
  <c r="H510" i="10"/>
  <c r="G510" i="10"/>
  <c r="F510" i="10"/>
  <c r="E510" i="10"/>
  <c r="I509" i="10"/>
  <c r="H509" i="10"/>
  <c r="G509" i="10"/>
  <c r="F509" i="10"/>
  <c r="E509" i="10"/>
  <c r="I508" i="10"/>
  <c r="H508" i="10"/>
  <c r="G508" i="10"/>
  <c r="F508" i="10"/>
  <c r="E508" i="10"/>
  <c r="I507" i="10"/>
  <c r="H507" i="10"/>
  <c r="G507" i="10"/>
  <c r="F507" i="10"/>
  <c r="E507" i="10"/>
  <c r="I506" i="10"/>
  <c r="H506" i="10"/>
  <c r="G506" i="10"/>
  <c r="F506" i="10"/>
  <c r="E506" i="10"/>
  <c r="I505" i="10"/>
  <c r="H505" i="10"/>
  <c r="G505" i="10"/>
  <c r="F505" i="10"/>
  <c r="E505" i="10"/>
  <c r="I504" i="10"/>
  <c r="H504" i="10"/>
  <c r="G504" i="10"/>
  <c r="F504" i="10"/>
  <c r="E504" i="10"/>
  <c r="I503" i="10"/>
  <c r="H503" i="10"/>
  <c r="G503" i="10"/>
  <c r="F503" i="10"/>
  <c r="E503" i="10"/>
  <c r="I502" i="10"/>
  <c r="H502" i="10"/>
  <c r="G502" i="10"/>
  <c r="F502" i="10"/>
  <c r="E502" i="10"/>
  <c r="I501" i="10"/>
  <c r="H501" i="10"/>
  <c r="G501" i="10"/>
  <c r="F501" i="10"/>
  <c r="E501" i="10"/>
  <c r="I500" i="10"/>
  <c r="H500" i="10"/>
  <c r="G500" i="10"/>
  <c r="F500" i="10"/>
  <c r="E500" i="10"/>
  <c r="I499" i="10"/>
  <c r="H499" i="10"/>
  <c r="G499" i="10"/>
  <c r="F499" i="10"/>
  <c r="E499" i="10"/>
  <c r="I498" i="10"/>
  <c r="H498" i="10"/>
  <c r="G498" i="10"/>
  <c r="F498" i="10"/>
  <c r="E498" i="10"/>
  <c r="I497" i="10"/>
  <c r="H497" i="10"/>
  <c r="G497" i="10"/>
  <c r="F497" i="10"/>
  <c r="E497" i="10"/>
  <c r="I496" i="10"/>
  <c r="H496" i="10"/>
  <c r="G496" i="10"/>
  <c r="F496" i="10"/>
  <c r="E496" i="10"/>
  <c r="I495" i="10"/>
  <c r="H495" i="10"/>
  <c r="G495" i="10"/>
  <c r="F495" i="10"/>
  <c r="E495" i="10"/>
  <c r="I494" i="10"/>
  <c r="H494" i="10"/>
  <c r="G494" i="10"/>
  <c r="F494" i="10"/>
  <c r="E494" i="10"/>
  <c r="I493" i="10"/>
  <c r="H493" i="10"/>
  <c r="G493" i="10"/>
  <c r="F493" i="10"/>
  <c r="E493" i="10"/>
  <c r="I492" i="10"/>
  <c r="H492" i="10"/>
  <c r="G492" i="10"/>
  <c r="F492" i="10"/>
  <c r="E492" i="10"/>
  <c r="I491" i="10"/>
  <c r="H491" i="10"/>
  <c r="G491" i="10"/>
  <c r="F491" i="10"/>
  <c r="E491" i="10"/>
  <c r="I490" i="10"/>
  <c r="H490" i="10"/>
  <c r="G490" i="10"/>
  <c r="F490" i="10"/>
  <c r="E490" i="10"/>
  <c r="I489" i="10"/>
  <c r="H489" i="10"/>
  <c r="G489" i="10"/>
  <c r="F489" i="10"/>
  <c r="E489" i="10"/>
  <c r="I488" i="10"/>
  <c r="H488" i="10"/>
  <c r="G488" i="10"/>
  <c r="F488" i="10"/>
  <c r="E488" i="10"/>
  <c r="I487" i="10"/>
  <c r="H487" i="10"/>
  <c r="G487" i="10"/>
  <c r="F487" i="10"/>
  <c r="E487" i="10"/>
  <c r="I486" i="10"/>
  <c r="H486" i="10"/>
  <c r="G486" i="10"/>
  <c r="F486" i="10"/>
  <c r="E486" i="10"/>
  <c r="I485" i="10"/>
  <c r="H485" i="10"/>
  <c r="G485" i="10"/>
  <c r="F485" i="10"/>
  <c r="E485" i="10"/>
  <c r="I484" i="10"/>
  <c r="H484" i="10"/>
  <c r="G484" i="10"/>
  <c r="F484" i="10"/>
  <c r="E484" i="10"/>
  <c r="I483" i="10"/>
  <c r="H483" i="10"/>
  <c r="G483" i="10"/>
  <c r="F483" i="10"/>
  <c r="E483" i="10"/>
  <c r="I482" i="10"/>
  <c r="H482" i="10"/>
  <c r="G482" i="10"/>
  <c r="F482" i="10"/>
  <c r="E482" i="10"/>
  <c r="I481" i="10"/>
  <c r="H481" i="10"/>
  <c r="G481" i="10"/>
  <c r="F481" i="10"/>
  <c r="E481" i="10"/>
  <c r="I480" i="10"/>
  <c r="H480" i="10"/>
  <c r="G480" i="10"/>
  <c r="F480" i="10"/>
  <c r="E480" i="10"/>
  <c r="I479" i="10"/>
  <c r="H479" i="10"/>
  <c r="G479" i="10"/>
  <c r="F479" i="10"/>
  <c r="E479" i="10"/>
  <c r="I478" i="10"/>
  <c r="H478" i="10"/>
  <c r="G478" i="10"/>
  <c r="F478" i="10"/>
  <c r="E478" i="10"/>
  <c r="I477" i="10"/>
  <c r="H477" i="10"/>
  <c r="G477" i="10"/>
  <c r="F477" i="10"/>
  <c r="E477" i="10"/>
  <c r="I476" i="10"/>
  <c r="H476" i="10"/>
  <c r="G476" i="10"/>
  <c r="F476" i="10"/>
  <c r="E476" i="10"/>
  <c r="I475" i="10"/>
  <c r="H475" i="10"/>
  <c r="G475" i="10"/>
  <c r="F475" i="10"/>
  <c r="E475" i="10"/>
  <c r="I474" i="10"/>
  <c r="H474" i="10"/>
  <c r="G474" i="10"/>
  <c r="F474" i="10"/>
  <c r="E474" i="10"/>
  <c r="I473" i="10"/>
  <c r="H473" i="10"/>
  <c r="G473" i="10"/>
  <c r="F473" i="10"/>
  <c r="E473" i="10"/>
  <c r="I472" i="10"/>
  <c r="H472" i="10"/>
  <c r="G472" i="10"/>
  <c r="F472" i="10"/>
  <c r="E472" i="10"/>
  <c r="I471" i="10"/>
  <c r="H471" i="10"/>
  <c r="G471" i="10"/>
  <c r="F471" i="10"/>
  <c r="E471" i="10"/>
  <c r="I470" i="10"/>
  <c r="H470" i="10"/>
  <c r="G470" i="10"/>
  <c r="F470" i="10"/>
  <c r="E470" i="10"/>
  <c r="I469" i="10"/>
  <c r="H469" i="10"/>
  <c r="G469" i="10"/>
  <c r="F469" i="10"/>
  <c r="E469" i="10"/>
  <c r="I468" i="10"/>
  <c r="H468" i="10"/>
  <c r="G468" i="10"/>
  <c r="F468" i="10"/>
  <c r="E468" i="10"/>
  <c r="I467" i="10"/>
  <c r="H467" i="10"/>
  <c r="G467" i="10"/>
  <c r="F467" i="10"/>
  <c r="E467" i="10"/>
  <c r="I466" i="10"/>
  <c r="H466" i="10"/>
  <c r="G466" i="10"/>
  <c r="F466" i="10"/>
  <c r="E466" i="10"/>
  <c r="I465" i="10"/>
  <c r="H465" i="10"/>
  <c r="G465" i="10"/>
  <c r="F465" i="10"/>
  <c r="E465" i="10"/>
  <c r="I464" i="10"/>
  <c r="H464" i="10"/>
  <c r="G464" i="10"/>
  <c r="F464" i="10"/>
  <c r="E464" i="10"/>
  <c r="I463" i="10"/>
  <c r="H463" i="10"/>
  <c r="G463" i="10"/>
  <c r="F463" i="10"/>
  <c r="E463" i="10"/>
  <c r="I462" i="10"/>
  <c r="H462" i="10"/>
  <c r="G462" i="10"/>
  <c r="F462" i="10"/>
  <c r="E462" i="10"/>
  <c r="I461" i="10"/>
  <c r="H461" i="10"/>
  <c r="G461" i="10"/>
  <c r="F461" i="10"/>
  <c r="E461" i="10"/>
  <c r="I460" i="10"/>
  <c r="H460" i="10"/>
  <c r="G460" i="10"/>
  <c r="F460" i="10"/>
  <c r="E460" i="10"/>
  <c r="I459" i="10"/>
  <c r="H459" i="10"/>
  <c r="G459" i="10"/>
  <c r="F459" i="10"/>
  <c r="E459" i="10"/>
  <c r="I458" i="10"/>
  <c r="H458" i="10"/>
  <c r="G458" i="10"/>
  <c r="F458" i="10"/>
  <c r="E458" i="10"/>
  <c r="I457" i="10"/>
  <c r="H457" i="10"/>
  <c r="G457" i="10"/>
  <c r="F457" i="10"/>
  <c r="E457" i="10"/>
  <c r="I456" i="10"/>
  <c r="H456" i="10"/>
  <c r="G456" i="10"/>
  <c r="F456" i="10"/>
  <c r="E456" i="10"/>
  <c r="I455" i="10"/>
  <c r="H455" i="10"/>
  <c r="G455" i="10"/>
  <c r="F455" i="10"/>
  <c r="E455" i="10"/>
  <c r="I454" i="10"/>
  <c r="H454" i="10"/>
  <c r="G454" i="10"/>
  <c r="F454" i="10"/>
  <c r="E454" i="10"/>
  <c r="I453" i="10"/>
  <c r="H453" i="10"/>
  <c r="G453" i="10"/>
  <c r="F453" i="10"/>
  <c r="E453" i="10"/>
  <c r="I452" i="10"/>
  <c r="H452" i="10"/>
  <c r="G452" i="10"/>
  <c r="F452" i="10"/>
  <c r="E452" i="10"/>
  <c r="I451" i="10"/>
  <c r="H451" i="10"/>
  <c r="G451" i="10"/>
  <c r="F451" i="10"/>
  <c r="E451" i="10"/>
  <c r="I450" i="10"/>
  <c r="H450" i="10"/>
  <c r="G450" i="10"/>
  <c r="F450" i="10"/>
  <c r="E450" i="10"/>
  <c r="I449" i="10"/>
  <c r="H449" i="10"/>
  <c r="G449" i="10"/>
  <c r="F449" i="10"/>
  <c r="E449" i="10"/>
  <c r="I448" i="10"/>
  <c r="H448" i="10"/>
  <c r="G448" i="10"/>
  <c r="F448" i="10"/>
  <c r="E448" i="10"/>
  <c r="I447" i="10"/>
  <c r="H447" i="10"/>
  <c r="G447" i="10"/>
  <c r="F447" i="10"/>
  <c r="E447" i="10"/>
  <c r="I446" i="10"/>
  <c r="H446" i="10"/>
  <c r="G446" i="10"/>
  <c r="F446" i="10"/>
  <c r="E446" i="10"/>
  <c r="I445" i="10"/>
  <c r="H445" i="10"/>
  <c r="G445" i="10"/>
  <c r="F445" i="10"/>
  <c r="E445" i="10"/>
  <c r="I444" i="10"/>
  <c r="H444" i="10"/>
  <c r="G444" i="10"/>
  <c r="F444" i="10"/>
  <c r="E444" i="10"/>
  <c r="I443" i="10"/>
  <c r="H443" i="10"/>
  <c r="G443" i="10"/>
  <c r="F443" i="10"/>
  <c r="E443" i="10"/>
  <c r="I442" i="10"/>
  <c r="H442" i="10"/>
  <c r="G442" i="10"/>
  <c r="F442" i="10"/>
  <c r="E442" i="10"/>
  <c r="I441" i="10"/>
  <c r="H441" i="10"/>
  <c r="G441" i="10"/>
  <c r="F441" i="10"/>
  <c r="E441" i="10"/>
  <c r="I440" i="10"/>
  <c r="H440" i="10"/>
  <c r="G440" i="10"/>
  <c r="F440" i="10"/>
  <c r="E440" i="10"/>
  <c r="I439" i="10"/>
  <c r="H439" i="10"/>
  <c r="G439" i="10"/>
  <c r="F439" i="10"/>
  <c r="E439" i="10"/>
  <c r="I438" i="10"/>
  <c r="H438" i="10"/>
  <c r="G438" i="10"/>
  <c r="F438" i="10"/>
  <c r="E438" i="10"/>
  <c r="I437" i="10"/>
  <c r="H437" i="10"/>
  <c r="G437" i="10"/>
  <c r="F437" i="10"/>
  <c r="E437" i="10"/>
  <c r="I436" i="10"/>
  <c r="H436" i="10"/>
  <c r="G436" i="10"/>
  <c r="F436" i="10"/>
  <c r="E436" i="10"/>
  <c r="I435" i="10"/>
  <c r="H435" i="10"/>
  <c r="G435" i="10"/>
  <c r="F435" i="10"/>
  <c r="E435" i="10"/>
  <c r="I434" i="10"/>
  <c r="H434" i="10"/>
  <c r="G434" i="10"/>
  <c r="F434" i="10"/>
  <c r="E434" i="10"/>
  <c r="I433" i="10"/>
  <c r="H433" i="10"/>
  <c r="G433" i="10"/>
  <c r="F433" i="10"/>
  <c r="E433" i="10"/>
  <c r="I432" i="10"/>
  <c r="H432" i="10"/>
  <c r="G432" i="10"/>
  <c r="F432" i="10"/>
  <c r="E432" i="10"/>
  <c r="I431" i="10"/>
  <c r="H431" i="10"/>
  <c r="G431" i="10"/>
  <c r="F431" i="10"/>
  <c r="E431" i="10"/>
  <c r="I430" i="10"/>
  <c r="H430" i="10"/>
  <c r="G430" i="10"/>
  <c r="F430" i="10"/>
  <c r="E430" i="10"/>
  <c r="I429" i="10"/>
  <c r="H429" i="10"/>
  <c r="G429" i="10"/>
  <c r="F429" i="10"/>
  <c r="E429" i="10"/>
  <c r="I428" i="10"/>
  <c r="H428" i="10"/>
  <c r="G428" i="10"/>
  <c r="F428" i="10"/>
  <c r="E428" i="10"/>
  <c r="I427" i="10"/>
  <c r="H427" i="10"/>
  <c r="G427" i="10"/>
  <c r="F427" i="10"/>
  <c r="E427" i="10"/>
  <c r="I426" i="10"/>
  <c r="H426" i="10"/>
  <c r="G426" i="10"/>
  <c r="F426" i="10"/>
  <c r="E426" i="10"/>
  <c r="I425" i="10"/>
  <c r="H425" i="10"/>
  <c r="G425" i="10"/>
  <c r="F425" i="10"/>
  <c r="E425" i="10"/>
  <c r="I424" i="10"/>
  <c r="H424" i="10"/>
  <c r="G424" i="10"/>
  <c r="F424" i="10"/>
  <c r="E424" i="10"/>
  <c r="I423" i="10"/>
  <c r="H423" i="10"/>
  <c r="G423" i="10"/>
  <c r="F423" i="10"/>
  <c r="E423" i="10"/>
  <c r="I422" i="10"/>
  <c r="H422" i="10"/>
  <c r="G422" i="10"/>
  <c r="F422" i="10"/>
  <c r="E422" i="10"/>
  <c r="I421" i="10"/>
  <c r="H421" i="10"/>
  <c r="G421" i="10"/>
  <c r="F421" i="10"/>
  <c r="E421" i="10"/>
  <c r="I420" i="10"/>
  <c r="H420" i="10"/>
  <c r="G420" i="10"/>
  <c r="F420" i="10"/>
  <c r="E420" i="10"/>
  <c r="I419" i="10"/>
  <c r="H419" i="10"/>
  <c r="G419" i="10"/>
  <c r="F419" i="10"/>
  <c r="E419" i="10"/>
  <c r="I418" i="10"/>
  <c r="H418" i="10"/>
  <c r="G418" i="10"/>
  <c r="F418" i="10"/>
  <c r="E418" i="10"/>
  <c r="I417" i="10"/>
  <c r="H417" i="10"/>
  <c r="G417" i="10"/>
  <c r="F417" i="10"/>
  <c r="E417" i="10"/>
  <c r="I416" i="10"/>
  <c r="H416" i="10"/>
  <c r="G416" i="10"/>
  <c r="F416" i="10"/>
  <c r="E416" i="10"/>
  <c r="I415" i="10"/>
  <c r="H415" i="10"/>
  <c r="G415" i="10"/>
  <c r="F415" i="10"/>
  <c r="E415" i="10"/>
  <c r="I414" i="10"/>
  <c r="H414" i="10"/>
  <c r="G414" i="10"/>
  <c r="F414" i="10"/>
  <c r="E414" i="10"/>
  <c r="I413" i="10"/>
  <c r="H413" i="10"/>
  <c r="G413" i="10"/>
  <c r="F413" i="10"/>
  <c r="E413" i="10"/>
  <c r="I412" i="10"/>
  <c r="H412" i="10"/>
  <c r="G412" i="10"/>
  <c r="F412" i="10"/>
  <c r="E412" i="10"/>
  <c r="I411" i="10"/>
  <c r="H411" i="10"/>
  <c r="G411" i="10"/>
  <c r="F411" i="10"/>
  <c r="E411" i="10"/>
  <c r="I410" i="10"/>
  <c r="H410" i="10"/>
  <c r="G410" i="10"/>
  <c r="F410" i="10"/>
  <c r="E410" i="10"/>
  <c r="I409" i="10"/>
  <c r="H409" i="10"/>
  <c r="G409" i="10"/>
  <c r="F409" i="10"/>
  <c r="E409" i="10"/>
  <c r="I408" i="10"/>
  <c r="H408" i="10"/>
  <c r="G408" i="10"/>
  <c r="F408" i="10"/>
  <c r="E408" i="10"/>
  <c r="I407" i="10"/>
  <c r="H407" i="10"/>
  <c r="G407" i="10"/>
  <c r="F407" i="10"/>
  <c r="E407" i="10"/>
  <c r="I406" i="10"/>
  <c r="H406" i="10"/>
  <c r="G406" i="10"/>
  <c r="F406" i="10"/>
  <c r="E406" i="10"/>
  <c r="I405" i="10"/>
  <c r="H405" i="10"/>
  <c r="G405" i="10"/>
  <c r="F405" i="10"/>
  <c r="E405" i="10"/>
  <c r="I404" i="10"/>
  <c r="H404" i="10"/>
  <c r="G404" i="10"/>
  <c r="F404" i="10"/>
  <c r="E404" i="10"/>
  <c r="I403" i="10"/>
  <c r="H403" i="10"/>
  <c r="G403" i="10"/>
  <c r="F403" i="10"/>
  <c r="E403" i="10"/>
  <c r="I402" i="10"/>
  <c r="H402" i="10"/>
  <c r="G402" i="10"/>
  <c r="F402" i="10"/>
  <c r="E402" i="10"/>
  <c r="I401" i="10"/>
  <c r="H401" i="10"/>
  <c r="G401" i="10"/>
  <c r="F401" i="10"/>
  <c r="E401" i="10"/>
  <c r="I400" i="10"/>
  <c r="H400" i="10"/>
  <c r="G400" i="10"/>
  <c r="F400" i="10"/>
  <c r="E400" i="10"/>
  <c r="I399" i="10"/>
  <c r="H399" i="10"/>
  <c r="G399" i="10"/>
  <c r="F399" i="10"/>
  <c r="E399" i="10"/>
  <c r="I398" i="10"/>
  <c r="H398" i="10"/>
  <c r="G398" i="10"/>
  <c r="F398" i="10"/>
  <c r="E398" i="10"/>
  <c r="I397" i="10"/>
  <c r="H397" i="10"/>
  <c r="G397" i="10"/>
  <c r="F397" i="10"/>
  <c r="E397" i="10"/>
  <c r="I396" i="10"/>
  <c r="H396" i="10"/>
  <c r="G396" i="10"/>
  <c r="F396" i="10"/>
  <c r="E396" i="10"/>
  <c r="I395" i="10"/>
  <c r="H395" i="10"/>
  <c r="G395" i="10"/>
  <c r="F395" i="10"/>
  <c r="E395" i="10"/>
  <c r="I394" i="10"/>
  <c r="H394" i="10"/>
  <c r="G394" i="10"/>
  <c r="F394" i="10"/>
  <c r="E394" i="10"/>
  <c r="I393" i="10"/>
  <c r="H393" i="10"/>
  <c r="G393" i="10"/>
  <c r="F393" i="10"/>
  <c r="E393" i="10"/>
  <c r="I392" i="10"/>
  <c r="H392" i="10"/>
  <c r="G392" i="10"/>
  <c r="F392" i="10"/>
  <c r="E392" i="10"/>
  <c r="I391" i="10"/>
  <c r="H391" i="10"/>
  <c r="G391" i="10"/>
  <c r="F391" i="10"/>
  <c r="E391" i="10"/>
  <c r="I390" i="10"/>
  <c r="H390" i="10"/>
  <c r="G390" i="10"/>
  <c r="F390" i="10"/>
  <c r="E390" i="10"/>
  <c r="I389" i="10"/>
  <c r="H389" i="10"/>
  <c r="G389" i="10"/>
  <c r="F389" i="10"/>
  <c r="E389" i="10"/>
  <c r="I388" i="10"/>
  <c r="H388" i="10"/>
  <c r="G388" i="10"/>
  <c r="F388" i="10"/>
  <c r="E388" i="10"/>
  <c r="I387" i="10"/>
  <c r="H387" i="10"/>
  <c r="G387" i="10"/>
  <c r="F387" i="10"/>
  <c r="E387" i="10"/>
  <c r="I386" i="10"/>
  <c r="H386" i="10"/>
  <c r="G386" i="10"/>
  <c r="F386" i="10"/>
  <c r="E386" i="10"/>
  <c r="I385" i="10"/>
  <c r="H385" i="10"/>
  <c r="G385" i="10"/>
  <c r="F385" i="10"/>
  <c r="E385" i="10"/>
  <c r="I384" i="10"/>
  <c r="H384" i="10"/>
  <c r="G384" i="10"/>
  <c r="F384" i="10"/>
  <c r="E384" i="10"/>
  <c r="I383" i="10"/>
  <c r="H383" i="10"/>
  <c r="G383" i="10"/>
  <c r="F383" i="10"/>
  <c r="E383" i="10"/>
  <c r="I382" i="10"/>
  <c r="H382" i="10"/>
  <c r="G382" i="10"/>
  <c r="F382" i="10"/>
  <c r="E382" i="10"/>
  <c r="I381" i="10"/>
  <c r="H381" i="10"/>
  <c r="G381" i="10"/>
  <c r="F381" i="10"/>
  <c r="E381" i="10"/>
  <c r="I380" i="10"/>
  <c r="H380" i="10"/>
  <c r="G380" i="10"/>
  <c r="F380" i="10"/>
  <c r="E380" i="10"/>
  <c r="I379" i="10"/>
  <c r="H379" i="10"/>
  <c r="G379" i="10"/>
  <c r="F379" i="10"/>
  <c r="E379" i="10"/>
  <c r="I378" i="10"/>
  <c r="H378" i="10"/>
  <c r="G378" i="10"/>
  <c r="F378" i="10"/>
  <c r="E378" i="10"/>
  <c r="I377" i="10"/>
  <c r="H377" i="10"/>
  <c r="G377" i="10"/>
  <c r="F377" i="10"/>
  <c r="E377" i="10"/>
  <c r="I376" i="10"/>
  <c r="H376" i="10"/>
  <c r="G376" i="10"/>
  <c r="F376" i="10"/>
  <c r="E376" i="10"/>
  <c r="I375" i="10"/>
  <c r="H375" i="10"/>
  <c r="G375" i="10"/>
  <c r="F375" i="10"/>
  <c r="E375" i="10"/>
  <c r="I374" i="10"/>
  <c r="H374" i="10"/>
  <c r="G374" i="10"/>
  <c r="F374" i="10"/>
  <c r="E374" i="10"/>
  <c r="I373" i="10"/>
  <c r="H373" i="10"/>
  <c r="G373" i="10"/>
  <c r="F373" i="10"/>
  <c r="E373" i="10"/>
  <c r="I372" i="10"/>
  <c r="H372" i="10"/>
  <c r="G372" i="10"/>
  <c r="F372" i="10"/>
  <c r="E372" i="10"/>
  <c r="I371" i="10"/>
  <c r="H371" i="10"/>
  <c r="G371" i="10"/>
  <c r="F371" i="10"/>
  <c r="E371" i="10"/>
  <c r="I370" i="10"/>
  <c r="H370" i="10"/>
  <c r="G370" i="10"/>
  <c r="F370" i="10"/>
  <c r="E370" i="10"/>
  <c r="I369" i="10"/>
  <c r="H369" i="10"/>
  <c r="G369" i="10"/>
  <c r="F369" i="10"/>
  <c r="E369" i="10"/>
  <c r="I368" i="10"/>
  <c r="H368" i="10"/>
  <c r="G368" i="10"/>
  <c r="F368" i="10"/>
  <c r="E368" i="10"/>
  <c r="I367" i="10"/>
  <c r="H367" i="10"/>
  <c r="G367" i="10"/>
  <c r="F367" i="10"/>
  <c r="E367" i="10"/>
  <c r="I366" i="10"/>
  <c r="H366" i="10"/>
  <c r="G366" i="10"/>
  <c r="F366" i="10"/>
  <c r="E366" i="10"/>
  <c r="I365" i="10"/>
  <c r="H365" i="10"/>
  <c r="G365" i="10"/>
  <c r="F365" i="10"/>
  <c r="E365" i="10"/>
  <c r="I364" i="10"/>
  <c r="H364" i="10"/>
  <c r="G364" i="10"/>
  <c r="F364" i="10"/>
  <c r="E364" i="10"/>
  <c r="I363" i="10"/>
  <c r="H363" i="10"/>
  <c r="G363" i="10"/>
  <c r="F363" i="10"/>
  <c r="E363" i="10"/>
  <c r="I362" i="10"/>
  <c r="H362" i="10"/>
  <c r="G362" i="10"/>
  <c r="F362" i="10"/>
  <c r="E362" i="10"/>
  <c r="I361" i="10"/>
  <c r="H361" i="10"/>
  <c r="G361" i="10"/>
  <c r="F361" i="10"/>
  <c r="E361" i="10"/>
  <c r="I360" i="10"/>
  <c r="H360" i="10"/>
  <c r="G360" i="10"/>
  <c r="F360" i="10"/>
  <c r="E360" i="10"/>
  <c r="I359" i="10"/>
  <c r="H359" i="10"/>
  <c r="G359" i="10"/>
  <c r="F359" i="10"/>
  <c r="E359" i="10"/>
  <c r="I358" i="10"/>
  <c r="H358" i="10"/>
  <c r="G358" i="10"/>
  <c r="F358" i="10"/>
  <c r="E358" i="10"/>
  <c r="I357" i="10"/>
  <c r="H357" i="10"/>
  <c r="G357" i="10"/>
  <c r="F357" i="10"/>
  <c r="E357" i="10"/>
  <c r="I356" i="10"/>
  <c r="H356" i="10"/>
  <c r="G356" i="10"/>
  <c r="F356" i="10"/>
  <c r="E356" i="10"/>
  <c r="I355" i="10"/>
  <c r="H355" i="10"/>
  <c r="G355" i="10"/>
  <c r="F355" i="10"/>
  <c r="E355" i="10"/>
  <c r="I354" i="10"/>
  <c r="H354" i="10"/>
  <c r="G354" i="10"/>
  <c r="F354" i="10"/>
  <c r="E354" i="10"/>
  <c r="I353" i="10"/>
  <c r="H353" i="10"/>
  <c r="G353" i="10"/>
  <c r="F353" i="10"/>
  <c r="E353" i="10"/>
  <c r="I352" i="10"/>
  <c r="H352" i="10"/>
  <c r="G352" i="10"/>
  <c r="F352" i="10"/>
  <c r="E352" i="10"/>
  <c r="I351" i="10"/>
  <c r="H351" i="10"/>
  <c r="G351" i="10"/>
  <c r="F351" i="10"/>
  <c r="E351" i="10"/>
  <c r="I350" i="10"/>
  <c r="H350" i="10"/>
  <c r="G350" i="10"/>
  <c r="F350" i="10"/>
  <c r="E350" i="10"/>
  <c r="I349" i="10"/>
  <c r="H349" i="10"/>
  <c r="G349" i="10"/>
  <c r="F349" i="10"/>
  <c r="E349" i="10"/>
  <c r="I348" i="10"/>
  <c r="H348" i="10"/>
  <c r="G348" i="10"/>
  <c r="F348" i="10"/>
  <c r="E348" i="10"/>
  <c r="I347" i="10"/>
  <c r="H347" i="10"/>
  <c r="G347" i="10"/>
  <c r="F347" i="10"/>
  <c r="E347" i="10"/>
  <c r="I346" i="10"/>
  <c r="H346" i="10"/>
  <c r="G346" i="10"/>
  <c r="F346" i="10"/>
  <c r="E346" i="10"/>
  <c r="I345" i="10"/>
  <c r="H345" i="10"/>
  <c r="G345" i="10"/>
  <c r="F345" i="10"/>
  <c r="E345" i="10"/>
  <c r="I344" i="10"/>
  <c r="H344" i="10"/>
  <c r="G344" i="10"/>
  <c r="F344" i="10"/>
  <c r="E344" i="10"/>
  <c r="I343" i="10"/>
  <c r="H343" i="10"/>
  <c r="G343" i="10"/>
  <c r="F343" i="10"/>
  <c r="E343" i="10"/>
  <c r="I342" i="10"/>
  <c r="H342" i="10"/>
  <c r="G342" i="10"/>
  <c r="F342" i="10"/>
  <c r="E342" i="10"/>
  <c r="I341" i="10"/>
  <c r="H341" i="10"/>
  <c r="G341" i="10"/>
  <c r="F341" i="10"/>
  <c r="E341" i="10"/>
  <c r="I340" i="10"/>
  <c r="H340" i="10"/>
  <c r="G340" i="10"/>
  <c r="F340" i="10"/>
  <c r="E340" i="10"/>
  <c r="I339" i="10"/>
  <c r="H339" i="10"/>
  <c r="G339" i="10"/>
  <c r="F339" i="10"/>
  <c r="E339" i="10"/>
  <c r="I338" i="10"/>
  <c r="H338" i="10"/>
  <c r="G338" i="10"/>
  <c r="F338" i="10"/>
  <c r="E338" i="10"/>
  <c r="I337" i="10"/>
  <c r="H337" i="10"/>
  <c r="G337" i="10"/>
  <c r="F337" i="10"/>
  <c r="E337" i="10"/>
  <c r="I336" i="10"/>
  <c r="H336" i="10"/>
  <c r="G336" i="10"/>
  <c r="F336" i="10"/>
  <c r="E336" i="10"/>
  <c r="I335" i="10"/>
  <c r="H335" i="10"/>
  <c r="G335" i="10"/>
  <c r="F335" i="10"/>
  <c r="E335" i="10"/>
  <c r="I334" i="10"/>
  <c r="H334" i="10"/>
  <c r="G334" i="10"/>
  <c r="F334" i="10"/>
  <c r="E334" i="10"/>
  <c r="I333" i="10"/>
  <c r="H333" i="10"/>
  <c r="G333" i="10"/>
  <c r="F333" i="10"/>
  <c r="E333" i="10"/>
  <c r="I332" i="10"/>
  <c r="H332" i="10"/>
  <c r="G332" i="10"/>
  <c r="F332" i="10"/>
  <c r="E332" i="10"/>
  <c r="I331" i="10"/>
  <c r="H331" i="10"/>
  <c r="G331" i="10"/>
  <c r="F331" i="10"/>
  <c r="E331" i="10"/>
  <c r="I330" i="10"/>
  <c r="H330" i="10"/>
  <c r="G330" i="10"/>
  <c r="F330" i="10"/>
  <c r="E330" i="10"/>
  <c r="I329" i="10"/>
  <c r="H329" i="10"/>
  <c r="G329" i="10"/>
  <c r="F329" i="10"/>
  <c r="E329" i="10"/>
  <c r="I328" i="10"/>
  <c r="H328" i="10"/>
  <c r="G328" i="10"/>
  <c r="F328" i="10"/>
  <c r="E328" i="10"/>
  <c r="I327" i="10"/>
  <c r="H327" i="10"/>
  <c r="G327" i="10"/>
  <c r="F327" i="10"/>
  <c r="E327" i="10"/>
  <c r="I326" i="10"/>
  <c r="H326" i="10"/>
  <c r="G326" i="10"/>
  <c r="F326" i="10"/>
  <c r="E326" i="10"/>
  <c r="I325" i="10"/>
  <c r="H325" i="10"/>
  <c r="G325" i="10"/>
  <c r="F325" i="10"/>
  <c r="E325" i="10"/>
  <c r="I324" i="10"/>
  <c r="H324" i="10"/>
  <c r="G324" i="10"/>
  <c r="F324" i="10"/>
  <c r="E324" i="10"/>
  <c r="I323" i="10"/>
  <c r="H323" i="10"/>
  <c r="G323" i="10"/>
  <c r="F323" i="10"/>
  <c r="E323" i="10"/>
  <c r="I322" i="10"/>
  <c r="H322" i="10"/>
  <c r="G322" i="10"/>
  <c r="F322" i="10"/>
  <c r="E322" i="10"/>
  <c r="I321" i="10"/>
  <c r="H321" i="10"/>
  <c r="G321" i="10"/>
  <c r="F321" i="10"/>
  <c r="E321" i="10"/>
  <c r="I320" i="10"/>
  <c r="H320" i="10"/>
  <c r="G320" i="10"/>
  <c r="F320" i="10"/>
  <c r="E320" i="10"/>
  <c r="I319" i="10"/>
  <c r="H319" i="10"/>
  <c r="G319" i="10"/>
  <c r="F319" i="10"/>
  <c r="E319" i="10"/>
  <c r="I318" i="10"/>
  <c r="H318" i="10"/>
  <c r="G318" i="10"/>
  <c r="F318" i="10"/>
  <c r="E318" i="10"/>
  <c r="I317" i="10"/>
  <c r="H317" i="10"/>
  <c r="G317" i="10"/>
  <c r="F317" i="10"/>
  <c r="E317" i="10"/>
  <c r="I316" i="10"/>
  <c r="H316" i="10"/>
  <c r="G316" i="10"/>
  <c r="F316" i="10"/>
  <c r="E316" i="10"/>
  <c r="I315" i="10"/>
  <c r="H315" i="10"/>
  <c r="G315" i="10"/>
  <c r="F315" i="10"/>
  <c r="E315" i="10"/>
  <c r="I314" i="10"/>
  <c r="H314" i="10"/>
  <c r="G314" i="10"/>
  <c r="F314" i="10"/>
  <c r="E314" i="10"/>
  <c r="I313" i="10"/>
  <c r="H313" i="10"/>
  <c r="G313" i="10"/>
  <c r="F313" i="10"/>
  <c r="E313" i="10"/>
  <c r="I312" i="10"/>
  <c r="H312" i="10"/>
  <c r="G312" i="10"/>
  <c r="F312" i="10"/>
  <c r="E312" i="10"/>
  <c r="I311" i="10"/>
  <c r="H311" i="10"/>
  <c r="G311" i="10"/>
  <c r="F311" i="10"/>
  <c r="E311" i="10"/>
  <c r="I310" i="10"/>
  <c r="H310" i="10"/>
  <c r="G310" i="10"/>
  <c r="F310" i="10"/>
  <c r="E310" i="10"/>
  <c r="I309" i="10"/>
  <c r="H309" i="10"/>
  <c r="G309" i="10"/>
  <c r="F309" i="10"/>
  <c r="E309" i="10"/>
  <c r="I308" i="10"/>
  <c r="H308" i="10"/>
  <c r="G308" i="10"/>
  <c r="F308" i="10"/>
  <c r="E308" i="10"/>
  <c r="I307" i="10"/>
  <c r="H307" i="10"/>
  <c r="G307" i="10"/>
  <c r="F307" i="10"/>
  <c r="E307" i="10"/>
  <c r="I306" i="10"/>
  <c r="H306" i="10"/>
  <c r="G306" i="10"/>
  <c r="F306" i="10"/>
  <c r="E306" i="10"/>
  <c r="I305" i="10"/>
  <c r="H305" i="10"/>
  <c r="G305" i="10"/>
  <c r="F305" i="10"/>
  <c r="E305" i="10"/>
  <c r="I304" i="10"/>
  <c r="H304" i="10"/>
  <c r="G304" i="10"/>
  <c r="F304" i="10"/>
  <c r="E304" i="10"/>
  <c r="I303" i="10"/>
  <c r="H303" i="10"/>
  <c r="G303" i="10"/>
  <c r="F303" i="10"/>
  <c r="E303" i="10"/>
  <c r="I302" i="10"/>
  <c r="H302" i="10"/>
  <c r="G302" i="10"/>
  <c r="F302" i="10"/>
  <c r="E302" i="10"/>
  <c r="I301" i="10"/>
  <c r="H301" i="10"/>
  <c r="G301" i="10"/>
  <c r="F301" i="10"/>
  <c r="E301" i="10"/>
  <c r="I300" i="10"/>
  <c r="H300" i="10"/>
  <c r="G300" i="10"/>
  <c r="F300" i="10"/>
  <c r="E300" i="10"/>
  <c r="I299" i="10"/>
  <c r="H299" i="10"/>
  <c r="G299" i="10"/>
  <c r="F299" i="10"/>
  <c r="E299" i="10"/>
  <c r="I298" i="10"/>
  <c r="H298" i="10"/>
  <c r="G298" i="10"/>
  <c r="F298" i="10"/>
  <c r="E298" i="10"/>
  <c r="I297" i="10"/>
  <c r="H297" i="10"/>
  <c r="G297" i="10"/>
  <c r="F297" i="10"/>
  <c r="E297" i="10"/>
  <c r="I296" i="10"/>
  <c r="H296" i="10"/>
  <c r="G296" i="10"/>
  <c r="F296" i="10"/>
  <c r="E296" i="10"/>
  <c r="I295" i="10"/>
  <c r="H295" i="10"/>
  <c r="G295" i="10"/>
  <c r="F295" i="10"/>
  <c r="E295" i="10"/>
  <c r="I294" i="10"/>
  <c r="H294" i="10"/>
  <c r="G294" i="10"/>
  <c r="F294" i="10"/>
  <c r="E294" i="10"/>
  <c r="I293" i="10"/>
  <c r="H293" i="10"/>
  <c r="G293" i="10"/>
  <c r="F293" i="10"/>
  <c r="E293" i="10"/>
  <c r="I292" i="10"/>
  <c r="H292" i="10"/>
  <c r="G292" i="10"/>
  <c r="F292" i="10"/>
  <c r="E292" i="10"/>
  <c r="I291" i="10"/>
  <c r="H291" i="10"/>
  <c r="G291" i="10"/>
  <c r="F291" i="10"/>
  <c r="E291" i="10"/>
  <c r="I290" i="10"/>
  <c r="H290" i="10"/>
  <c r="G290" i="10"/>
  <c r="F290" i="10"/>
  <c r="E290" i="10"/>
  <c r="I289" i="10"/>
  <c r="H289" i="10"/>
  <c r="G289" i="10"/>
  <c r="F289" i="10"/>
  <c r="E289" i="10"/>
  <c r="I288" i="10"/>
  <c r="H288" i="10"/>
  <c r="G288" i="10"/>
  <c r="F288" i="10"/>
  <c r="E288" i="10"/>
  <c r="I287" i="10"/>
  <c r="H287" i="10"/>
  <c r="G287" i="10"/>
  <c r="F287" i="10"/>
  <c r="E287" i="10"/>
  <c r="I286" i="10"/>
  <c r="H286" i="10"/>
  <c r="G286" i="10"/>
  <c r="F286" i="10"/>
  <c r="E286" i="10"/>
  <c r="I285" i="10"/>
  <c r="H285" i="10"/>
  <c r="G285" i="10"/>
  <c r="F285" i="10"/>
  <c r="E285" i="10"/>
  <c r="I284" i="10"/>
  <c r="H284" i="10"/>
  <c r="G284" i="10"/>
  <c r="F284" i="10"/>
  <c r="E284" i="10"/>
  <c r="I283" i="10"/>
  <c r="H283" i="10"/>
  <c r="G283" i="10"/>
  <c r="F283" i="10"/>
  <c r="E283" i="10"/>
  <c r="I282" i="10"/>
  <c r="H282" i="10"/>
  <c r="G282" i="10"/>
  <c r="F282" i="10"/>
  <c r="E282" i="10"/>
  <c r="I281" i="10"/>
  <c r="H281" i="10"/>
  <c r="G281" i="10"/>
  <c r="F281" i="10"/>
  <c r="E281" i="10"/>
  <c r="I280" i="10"/>
  <c r="H280" i="10"/>
  <c r="G280" i="10"/>
  <c r="F280" i="10"/>
  <c r="E280" i="10"/>
  <c r="I279" i="10"/>
  <c r="H279" i="10"/>
  <c r="G279" i="10"/>
  <c r="F279" i="10"/>
  <c r="E279" i="10"/>
  <c r="I278" i="10"/>
  <c r="H278" i="10"/>
  <c r="G278" i="10"/>
  <c r="F278" i="10"/>
  <c r="E278" i="10"/>
  <c r="I277" i="10"/>
  <c r="H277" i="10"/>
  <c r="G277" i="10"/>
  <c r="F277" i="10"/>
  <c r="E277" i="10"/>
  <c r="I276" i="10"/>
  <c r="H276" i="10"/>
  <c r="G276" i="10"/>
  <c r="F276" i="10"/>
  <c r="E276" i="10"/>
  <c r="I275" i="10"/>
  <c r="H275" i="10"/>
  <c r="G275" i="10"/>
  <c r="F275" i="10"/>
  <c r="E275" i="10"/>
  <c r="I274" i="10"/>
  <c r="H274" i="10"/>
  <c r="G274" i="10"/>
  <c r="F274" i="10"/>
  <c r="E274" i="10"/>
  <c r="I273" i="10"/>
  <c r="H273" i="10"/>
  <c r="G273" i="10"/>
  <c r="F273" i="10"/>
  <c r="E273" i="10"/>
  <c r="I272" i="10"/>
  <c r="H272" i="10"/>
  <c r="G272" i="10"/>
  <c r="F272" i="10"/>
  <c r="E272" i="10"/>
  <c r="I271" i="10"/>
  <c r="H271" i="10"/>
  <c r="G271" i="10"/>
  <c r="F271" i="10"/>
  <c r="E271" i="10"/>
  <c r="I270" i="10"/>
  <c r="H270" i="10"/>
  <c r="G270" i="10"/>
  <c r="F270" i="10"/>
  <c r="E270" i="10"/>
  <c r="I269" i="10"/>
  <c r="H269" i="10"/>
  <c r="G269" i="10"/>
  <c r="F269" i="10"/>
  <c r="E269" i="10"/>
  <c r="I268" i="10"/>
  <c r="H268" i="10"/>
  <c r="G268" i="10"/>
  <c r="F268" i="10"/>
  <c r="E268" i="10"/>
  <c r="I267" i="10"/>
  <c r="H267" i="10"/>
  <c r="G267" i="10"/>
  <c r="F267" i="10"/>
  <c r="E267" i="10"/>
  <c r="I266" i="10"/>
  <c r="H266" i="10"/>
  <c r="G266" i="10"/>
  <c r="F266" i="10"/>
  <c r="E266" i="10"/>
  <c r="I265" i="10"/>
  <c r="H265" i="10"/>
  <c r="G265" i="10"/>
  <c r="F265" i="10"/>
  <c r="E265" i="10"/>
  <c r="I264" i="10"/>
  <c r="H264" i="10"/>
  <c r="G264" i="10"/>
  <c r="F264" i="10"/>
  <c r="E264" i="10"/>
  <c r="I263" i="10"/>
  <c r="H263" i="10"/>
  <c r="G263" i="10"/>
  <c r="F263" i="10"/>
  <c r="E263" i="10"/>
  <c r="I262" i="10"/>
  <c r="H262" i="10"/>
  <c r="G262" i="10"/>
  <c r="F262" i="10"/>
  <c r="E262" i="10"/>
  <c r="I261" i="10"/>
  <c r="H261" i="10"/>
  <c r="G261" i="10"/>
  <c r="F261" i="10"/>
  <c r="E261" i="10"/>
  <c r="I260" i="10"/>
  <c r="H260" i="10"/>
  <c r="G260" i="10"/>
  <c r="F260" i="10"/>
  <c r="E260" i="10"/>
  <c r="I259" i="10"/>
  <c r="H259" i="10"/>
  <c r="G259" i="10"/>
  <c r="F259" i="10"/>
  <c r="E259" i="10"/>
  <c r="I258" i="10"/>
  <c r="H258" i="10"/>
  <c r="G258" i="10"/>
  <c r="F258" i="10"/>
  <c r="E258" i="10"/>
  <c r="I257" i="10"/>
  <c r="H257" i="10"/>
  <c r="G257" i="10"/>
  <c r="F257" i="10"/>
  <c r="E257" i="10"/>
  <c r="I256" i="10"/>
  <c r="H256" i="10"/>
  <c r="G256" i="10"/>
  <c r="F256" i="10"/>
  <c r="E256" i="10"/>
  <c r="I255" i="10"/>
  <c r="H255" i="10"/>
  <c r="G255" i="10"/>
  <c r="F255" i="10"/>
  <c r="E255" i="10"/>
  <c r="I254" i="10"/>
  <c r="H254" i="10"/>
  <c r="G254" i="10"/>
  <c r="F254" i="10"/>
  <c r="E254" i="10"/>
  <c r="I253" i="10"/>
  <c r="H253" i="10"/>
  <c r="G253" i="10"/>
  <c r="F253" i="10"/>
  <c r="E253" i="10"/>
  <c r="I252" i="10"/>
  <c r="H252" i="10"/>
  <c r="G252" i="10"/>
  <c r="F252" i="10"/>
  <c r="E252" i="10"/>
  <c r="I251" i="10"/>
  <c r="H251" i="10"/>
  <c r="G251" i="10"/>
  <c r="F251" i="10"/>
  <c r="E251" i="10"/>
  <c r="I250" i="10"/>
  <c r="H250" i="10"/>
  <c r="G250" i="10"/>
  <c r="F250" i="10"/>
  <c r="E250" i="10"/>
  <c r="I249" i="10"/>
  <c r="H249" i="10"/>
  <c r="G249" i="10"/>
  <c r="F249" i="10"/>
  <c r="E249" i="10"/>
  <c r="I248" i="10"/>
  <c r="H248" i="10"/>
  <c r="G248" i="10"/>
  <c r="F248" i="10"/>
  <c r="E248" i="10"/>
  <c r="I247" i="10"/>
  <c r="H247" i="10"/>
  <c r="G247" i="10"/>
  <c r="F247" i="10"/>
  <c r="E247" i="10"/>
  <c r="I246" i="10"/>
  <c r="H246" i="10"/>
  <c r="G246" i="10"/>
  <c r="F246" i="10"/>
  <c r="E246" i="10"/>
  <c r="I245" i="10"/>
  <c r="H245" i="10"/>
  <c r="G245" i="10"/>
  <c r="F245" i="10"/>
  <c r="E245" i="10"/>
  <c r="I244" i="10"/>
  <c r="H244" i="10"/>
  <c r="G244" i="10"/>
  <c r="F244" i="10"/>
  <c r="E244" i="10"/>
  <c r="I243" i="10"/>
  <c r="H243" i="10"/>
  <c r="G243" i="10"/>
  <c r="F243" i="10"/>
  <c r="E243" i="10"/>
  <c r="I242" i="10"/>
  <c r="H242" i="10"/>
  <c r="G242" i="10"/>
  <c r="F242" i="10"/>
  <c r="E242" i="10"/>
  <c r="I241" i="10"/>
  <c r="H241" i="10"/>
  <c r="G241" i="10"/>
  <c r="F241" i="10"/>
  <c r="E241" i="10"/>
  <c r="I240" i="10"/>
  <c r="H240" i="10"/>
  <c r="G240" i="10"/>
  <c r="F240" i="10"/>
  <c r="E240" i="10"/>
  <c r="I239" i="10"/>
  <c r="H239" i="10"/>
  <c r="G239" i="10"/>
  <c r="F239" i="10"/>
  <c r="E239" i="10"/>
  <c r="I238" i="10"/>
  <c r="H238" i="10"/>
  <c r="G238" i="10"/>
  <c r="F238" i="10"/>
  <c r="E238" i="10"/>
  <c r="I237" i="10"/>
  <c r="H237" i="10"/>
  <c r="G237" i="10"/>
  <c r="F237" i="10"/>
  <c r="E237" i="10"/>
  <c r="I236" i="10"/>
  <c r="H236" i="10"/>
  <c r="G236" i="10"/>
  <c r="F236" i="10"/>
  <c r="E236" i="10"/>
  <c r="I235" i="10"/>
  <c r="H235" i="10"/>
  <c r="G235" i="10"/>
  <c r="F235" i="10"/>
  <c r="E235" i="10"/>
  <c r="I234" i="10"/>
  <c r="H234" i="10"/>
  <c r="G234" i="10"/>
  <c r="F234" i="10"/>
  <c r="E234" i="10"/>
  <c r="I233" i="10"/>
  <c r="H233" i="10"/>
  <c r="G233" i="10"/>
  <c r="F233" i="10"/>
  <c r="E233" i="10"/>
  <c r="I232" i="10"/>
  <c r="H232" i="10"/>
  <c r="G232" i="10"/>
  <c r="F232" i="10"/>
  <c r="E232" i="10"/>
  <c r="I231" i="10"/>
  <c r="H231" i="10"/>
  <c r="G231" i="10"/>
  <c r="F231" i="10"/>
  <c r="E231" i="10"/>
  <c r="I230" i="10"/>
  <c r="H230" i="10"/>
  <c r="G230" i="10"/>
  <c r="F230" i="10"/>
  <c r="E230" i="10"/>
  <c r="I229" i="10"/>
  <c r="H229" i="10"/>
  <c r="G229" i="10"/>
  <c r="F229" i="10"/>
  <c r="E229" i="10"/>
  <c r="I228" i="10"/>
  <c r="H228" i="10"/>
  <c r="G228" i="10"/>
  <c r="F228" i="10"/>
  <c r="E228" i="10"/>
  <c r="I227" i="10"/>
  <c r="H227" i="10"/>
  <c r="G227" i="10"/>
  <c r="F227" i="10"/>
  <c r="E227" i="10"/>
  <c r="I226" i="10"/>
  <c r="H226" i="10"/>
  <c r="G226" i="10"/>
  <c r="F226" i="10"/>
  <c r="E226" i="10"/>
  <c r="I225" i="10"/>
  <c r="H225" i="10"/>
  <c r="G225" i="10"/>
  <c r="F225" i="10"/>
  <c r="E225" i="10"/>
  <c r="I224" i="10"/>
  <c r="H224" i="10"/>
  <c r="G224" i="10"/>
  <c r="F224" i="10"/>
  <c r="E224" i="10"/>
  <c r="I223" i="10"/>
  <c r="H223" i="10"/>
  <c r="G223" i="10"/>
  <c r="F223" i="10"/>
  <c r="E223" i="10"/>
  <c r="I222" i="10"/>
  <c r="H222" i="10"/>
  <c r="G222" i="10"/>
  <c r="F222" i="10"/>
  <c r="E222" i="10"/>
  <c r="I221" i="10"/>
  <c r="H221" i="10"/>
  <c r="G221" i="10"/>
  <c r="F221" i="10"/>
  <c r="E221" i="10"/>
  <c r="I220" i="10"/>
  <c r="H220" i="10"/>
  <c r="G220" i="10"/>
  <c r="F220" i="10"/>
  <c r="E220" i="10"/>
  <c r="I219" i="10"/>
  <c r="H219" i="10"/>
  <c r="G219" i="10"/>
  <c r="F219" i="10"/>
  <c r="E219" i="10"/>
  <c r="I218" i="10"/>
  <c r="H218" i="10"/>
  <c r="G218" i="10"/>
  <c r="F218" i="10"/>
  <c r="E218" i="10"/>
  <c r="I217" i="10"/>
  <c r="H217" i="10"/>
  <c r="G217" i="10"/>
  <c r="F217" i="10"/>
  <c r="E217" i="10"/>
  <c r="I216" i="10"/>
  <c r="H216" i="10"/>
  <c r="G216" i="10"/>
  <c r="F216" i="10"/>
  <c r="E216" i="10"/>
  <c r="I215" i="10"/>
  <c r="H215" i="10"/>
  <c r="G215" i="10"/>
  <c r="F215" i="10"/>
  <c r="E215" i="10"/>
  <c r="I214" i="10"/>
  <c r="H214" i="10"/>
  <c r="G214" i="10"/>
  <c r="F214" i="10"/>
  <c r="E214" i="10"/>
  <c r="I213" i="10"/>
  <c r="H213" i="10"/>
  <c r="G213" i="10"/>
  <c r="F213" i="10"/>
  <c r="E213" i="10"/>
  <c r="I212" i="10"/>
  <c r="H212" i="10"/>
  <c r="G212" i="10"/>
  <c r="F212" i="10"/>
  <c r="E212" i="10"/>
  <c r="I211" i="10"/>
  <c r="H211" i="10"/>
  <c r="G211" i="10"/>
  <c r="F211" i="10"/>
  <c r="E211" i="10"/>
  <c r="I210" i="10"/>
  <c r="H210" i="10"/>
  <c r="G210" i="10"/>
  <c r="F210" i="10"/>
  <c r="E210" i="10"/>
  <c r="I209" i="10"/>
  <c r="H209" i="10"/>
  <c r="G209" i="10"/>
  <c r="F209" i="10"/>
  <c r="E209" i="10"/>
  <c r="I208" i="10"/>
  <c r="H208" i="10"/>
  <c r="G208" i="10"/>
  <c r="F208" i="10"/>
  <c r="E208" i="10"/>
  <c r="I207" i="10"/>
  <c r="H207" i="10"/>
  <c r="G207" i="10"/>
  <c r="F207" i="10"/>
  <c r="E207" i="10"/>
  <c r="I206" i="10"/>
  <c r="H206" i="10"/>
  <c r="G206" i="10"/>
  <c r="F206" i="10"/>
  <c r="E206" i="10"/>
  <c r="I205" i="10"/>
  <c r="H205" i="10"/>
  <c r="G205" i="10"/>
  <c r="F205" i="10"/>
  <c r="E205" i="10"/>
  <c r="I204" i="10"/>
  <c r="H204" i="10"/>
  <c r="G204" i="10"/>
  <c r="F204" i="10"/>
  <c r="E204" i="10"/>
  <c r="I203" i="10"/>
  <c r="H203" i="10"/>
  <c r="G203" i="10"/>
  <c r="F203" i="10"/>
  <c r="E203" i="10"/>
  <c r="I202" i="10"/>
  <c r="H202" i="10"/>
  <c r="G202" i="10"/>
  <c r="F202" i="10"/>
  <c r="E202" i="10"/>
  <c r="I201" i="10"/>
  <c r="H201" i="10"/>
  <c r="G201" i="10"/>
  <c r="F201" i="10"/>
  <c r="E201" i="10"/>
  <c r="I200" i="10"/>
  <c r="H200" i="10"/>
  <c r="G200" i="10"/>
  <c r="F200" i="10"/>
  <c r="E200" i="10"/>
  <c r="I199" i="10"/>
  <c r="H199" i="10"/>
  <c r="G199" i="10"/>
  <c r="F199" i="10"/>
  <c r="E199" i="10"/>
  <c r="I198" i="10"/>
  <c r="H198" i="10"/>
  <c r="G198" i="10"/>
  <c r="F198" i="10"/>
  <c r="E198" i="10"/>
  <c r="I197" i="10"/>
  <c r="H197" i="10"/>
  <c r="G197" i="10"/>
  <c r="F197" i="10"/>
  <c r="E197" i="10"/>
  <c r="I196" i="10"/>
  <c r="H196" i="10"/>
  <c r="G196" i="10"/>
  <c r="F196" i="10"/>
  <c r="E196" i="10"/>
  <c r="I195" i="10"/>
  <c r="H195" i="10"/>
  <c r="G195" i="10"/>
  <c r="F195" i="10"/>
  <c r="E195" i="10"/>
  <c r="I194" i="10"/>
  <c r="H194" i="10"/>
  <c r="G194" i="10"/>
  <c r="F194" i="10"/>
  <c r="E194" i="10"/>
  <c r="I193" i="10"/>
  <c r="H193" i="10"/>
  <c r="G193" i="10"/>
  <c r="F193" i="10"/>
  <c r="E193" i="10"/>
  <c r="I192" i="10"/>
  <c r="H192" i="10"/>
  <c r="G192" i="10"/>
  <c r="F192" i="10"/>
  <c r="E192" i="10"/>
  <c r="I191" i="10"/>
  <c r="H191" i="10"/>
  <c r="G191" i="10"/>
  <c r="F191" i="10"/>
  <c r="E191" i="10"/>
  <c r="I190" i="10"/>
  <c r="H190" i="10"/>
  <c r="G190" i="10"/>
  <c r="F190" i="10"/>
  <c r="E190" i="10"/>
  <c r="I189" i="10"/>
  <c r="H189" i="10"/>
  <c r="G189" i="10"/>
  <c r="F189" i="10"/>
  <c r="E189" i="10"/>
  <c r="I188" i="10"/>
  <c r="H188" i="10"/>
  <c r="G188" i="10"/>
  <c r="F188" i="10"/>
  <c r="E188" i="10"/>
  <c r="I187" i="10"/>
  <c r="H187" i="10"/>
  <c r="G187" i="10"/>
  <c r="F187" i="10"/>
  <c r="E187" i="10"/>
  <c r="I186" i="10"/>
  <c r="H186" i="10"/>
  <c r="G186" i="10"/>
  <c r="F186" i="10"/>
  <c r="E186" i="10"/>
  <c r="I185" i="10"/>
  <c r="H185" i="10"/>
  <c r="G185" i="10"/>
  <c r="F185" i="10"/>
  <c r="E185" i="10"/>
  <c r="I184" i="10"/>
  <c r="H184" i="10"/>
  <c r="G184" i="10"/>
  <c r="F184" i="10"/>
  <c r="E184" i="10"/>
  <c r="I183" i="10"/>
  <c r="H183" i="10"/>
  <c r="G183" i="10"/>
  <c r="F183" i="10"/>
  <c r="E183" i="10"/>
  <c r="I182" i="10"/>
  <c r="H182" i="10"/>
  <c r="G182" i="10"/>
  <c r="F182" i="10"/>
  <c r="E182" i="10"/>
  <c r="I181" i="10"/>
  <c r="H181" i="10"/>
  <c r="G181" i="10"/>
  <c r="F181" i="10"/>
  <c r="E181" i="10"/>
  <c r="I180" i="10"/>
  <c r="H180" i="10"/>
  <c r="G180" i="10"/>
  <c r="F180" i="10"/>
  <c r="E180" i="10"/>
  <c r="I179" i="10"/>
  <c r="H179" i="10"/>
  <c r="G179" i="10"/>
  <c r="F179" i="10"/>
  <c r="E179" i="10"/>
  <c r="I178" i="10"/>
  <c r="H178" i="10"/>
  <c r="G178" i="10"/>
  <c r="F178" i="10"/>
  <c r="E178" i="10"/>
  <c r="I177" i="10"/>
  <c r="H177" i="10"/>
  <c r="G177" i="10"/>
  <c r="F177" i="10"/>
  <c r="E177" i="10"/>
  <c r="I176" i="10"/>
  <c r="H176" i="10"/>
  <c r="G176" i="10"/>
  <c r="F176" i="10"/>
  <c r="E176" i="10"/>
  <c r="I175" i="10"/>
  <c r="H175" i="10"/>
  <c r="G175" i="10"/>
  <c r="F175" i="10"/>
  <c r="E175" i="10"/>
  <c r="I174" i="10"/>
  <c r="H174" i="10"/>
  <c r="G174" i="10"/>
  <c r="F174" i="10"/>
  <c r="E174" i="10"/>
  <c r="I173" i="10"/>
  <c r="H173" i="10"/>
  <c r="G173" i="10"/>
  <c r="F173" i="10"/>
  <c r="E173" i="10"/>
  <c r="I172" i="10"/>
  <c r="H172" i="10"/>
  <c r="G172" i="10"/>
  <c r="F172" i="10"/>
  <c r="E172" i="10"/>
  <c r="I171" i="10"/>
  <c r="H171" i="10"/>
  <c r="G171" i="10"/>
  <c r="F171" i="10"/>
  <c r="E171" i="10"/>
  <c r="I170" i="10"/>
  <c r="H170" i="10"/>
  <c r="G170" i="10"/>
  <c r="F170" i="10"/>
  <c r="E170" i="10"/>
  <c r="I169" i="10"/>
  <c r="H169" i="10"/>
  <c r="G169" i="10"/>
  <c r="F169" i="10"/>
  <c r="E169" i="10"/>
  <c r="I168" i="10"/>
  <c r="H168" i="10"/>
  <c r="G168" i="10"/>
  <c r="F168" i="10"/>
  <c r="E168" i="10"/>
  <c r="I167" i="10"/>
  <c r="H167" i="10"/>
  <c r="G167" i="10"/>
  <c r="F167" i="10"/>
  <c r="E167" i="10"/>
  <c r="I166" i="10"/>
  <c r="H166" i="10"/>
  <c r="G166" i="10"/>
  <c r="F166" i="10"/>
  <c r="E166" i="10"/>
  <c r="I165" i="10"/>
  <c r="H165" i="10"/>
  <c r="G165" i="10"/>
  <c r="F165" i="10"/>
  <c r="E165" i="10"/>
  <c r="I164" i="10"/>
  <c r="H164" i="10"/>
  <c r="G164" i="10"/>
  <c r="F164" i="10"/>
  <c r="E164" i="10"/>
  <c r="I163" i="10"/>
  <c r="H163" i="10"/>
  <c r="G163" i="10"/>
  <c r="F163" i="10"/>
  <c r="E163" i="10"/>
  <c r="I162" i="10"/>
  <c r="H162" i="10"/>
  <c r="G162" i="10"/>
  <c r="F162" i="10"/>
  <c r="E162" i="10"/>
  <c r="I161" i="10"/>
  <c r="H161" i="10"/>
  <c r="G161" i="10"/>
  <c r="F161" i="10"/>
  <c r="E161" i="10"/>
  <c r="I160" i="10"/>
  <c r="H160" i="10"/>
  <c r="G160" i="10"/>
  <c r="F160" i="10"/>
  <c r="E160" i="10"/>
  <c r="I159" i="10"/>
  <c r="H159" i="10"/>
  <c r="G159" i="10"/>
  <c r="F159" i="10"/>
  <c r="E159" i="10"/>
  <c r="I158" i="10"/>
  <c r="H158" i="10"/>
  <c r="G158" i="10"/>
  <c r="F158" i="10"/>
  <c r="E158" i="10"/>
  <c r="I157" i="10"/>
  <c r="H157" i="10"/>
  <c r="G157" i="10"/>
  <c r="F157" i="10"/>
  <c r="E157" i="10"/>
  <c r="I156" i="10"/>
  <c r="H156" i="10"/>
  <c r="G156" i="10"/>
  <c r="F156" i="10"/>
  <c r="E156" i="10"/>
  <c r="I155" i="10"/>
  <c r="H155" i="10"/>
  <c r="G155" i="10"/>
  <c r="F155" i="10"/>
  <c r="E155" i="10"/>
  <c r="I154" i="10"/>
  <c r="H154" i="10"/>
  <c r="G154" i="10"/>
  <c r="F154" i="10"/>
  <c r="E154" i="10"/>
  <c r="I153" i="10"/>
  <c r="H153" i="10"/>
  <c r="G153" i="10"/>
  <c r="F153" i="10"/>
  <c r="E153" i="10"/>
  <c r="I152" i="10"/>
  <c r="H152" i="10"/>
  <c r="G152" i="10"/>
  <c r="F152" i="10"/>
  <c r="E152" i="10"/>
  <c r="I151" i="10"/>
  <c r="H151" i="10"/>
  <c r="G151" i="10"/>
  <c r="F151" i="10"/>
  <c r="E151" i="10"/>
  <c r="I150" i="10"/>
  <c r="H150" i="10"/>
  <c r="G150" i="10"/>
  <c r="F150" i="10"/>
  <c r="E150" i="10"/>
  <c r="I149" i="10"/>
  <c r="H149" i="10"/>
  <c r="G149" i="10"/>
  <c r="F149" i="10"/>
  <c r="E149" i="10"/>
  <c r="I148" i="10"/>
  <c r="H148" i="10"/>
  <c r="G148" i="10"/>
  <c r="F148" i="10"/>
  <c r="E148" i="10"/>
  <c r="I147" i="10"/>
  <c r="H147" i="10"/>
  <c r="G147" i="10"/>
  <c r="F147" i="10"/>
  <c r="E147" i="10"/>
  <c r="I146" i="10"/>
  <c r="H146" i="10"/>
  <c r="G146" i="10"/>
  <c r="F146" i="10"/>
  <c r="E146" i="10"/>
  <c r="I145" i="10"/>
  <c r="H145" i="10"/>
  <c r="G145" i="10"/>
  <c r="F145" i="10"/>
  <c r="E145" i="10"/>
  <c r="I144" i="10"/>
  <c r="H144" i="10"/>
  <c r="G144" i="10"/>
  <c r="F144" i="10"/>
  <c r="E144" i="10"/>
  <c r="I143" i="10"/>
  <c r="H143" i="10"/>
  <c r="G143" i="10"/>
  <c r="F143" i="10"/>
  <c r="E143" i="10"/>
  <c r="I142" i="10"/>
  <c r="H142" i="10"/>
  <c r="G142" i="10"/>
  <c r="F142" i="10"/>
  <c r="E142" i="10"/>
  <c r="I141" i="10"/>
  <c r="H141" i="10"/>
  <c r="G141" i="10"/>
  <c r="F141" i="10"/>
  <c r="E141" i="10"/>
  <c r="I140" i="10"/>
  <c r="H140" i="10"/>
  <c r="G140" i="10"/>
  <c r="F140" i="10"/>
  <c r="E140" i="10"/>
  <c r="I139" i="10"/>
  <c r="H139" i="10"/>
  <c r="G139" i="10"/>
  <c r="F139" i="10"/>
  <c r="E139" i="10"/>
  <c r="I138" i="10"/>
  <c r="H138" i="10"/>
  <c r="G138" i="10"/>
  <c r="F138" i="10"/>
  <c r="E138" i="10"/>
  <c r="I137" i="10"/>
  <c r="H137" i="10"/>
  <c r="G137" i="10"/>
  <c r="F137" i="10"/>
  <c r="E137" i="10"/>
  <c r="I136" i="10"/>
  <c r="H136" i="10"/>
  <c r="G136" i="10"/>
  <c r="F136" i="10"/>
  <c r="E136" i="10"/>
  <c r="I135" i="10"/>
  <c r="H135" i="10"/>
  <c r="G135" i="10"/>
  <c r="F135" i="10"/>
  <c r="E135" i="10"/>
  <c r="I134" i="10"/>
  <c r="H134" i="10"/>
  <c r="G134" i="10"/>
  <c r="F134" i="10"/>
  <c r="E134" i="10"/>
  <c r="I133" i="10"/>
  <c r="H133" i="10"/>
  <c r="G133" i="10"/>
  <c r="F133" i="10"/>
  <c r="E133" i="10"/>
  <c r="I132" i="10"/>
  <c r="H132" i="10"/>
  <c r="G132" i="10"/>
  <c r="F132" i="10"/>
  <c r="E132" i="10"/>
  <c r="I131" i="10"/>
  <c r="H131" i="10"/>
  <c r="G131" i="10"/>
  <c r="F131" i="10"/>
  <c r="E131" i="10"/>
  <c r="I130" i="10"/>
  <c r="H130" i="10"/>
  <c r="G130" i="10"/>
  <c r="F130" i="10"/>
  <c r="E130" i="10"/>
  <c r="I129" i="10"/>
  <c r="H129" i="10"/>
  <c r="G129" i="10"/>
  <c r="F129" i="10"/>
  <c r="E129" i="10"/>
  <c r="I128" i="10"/>
  <c r="H128" i="10"/>
  <c r="G128" i="10"/>
  <c r="F128" i="10"/>
  <c r="E128" i="10"/>
  <c r="I127" i="10"/>
  <c r="H127" i="10"/>
  <c r="G127" i="10"/>
  <c r="F127" i="10"/>
  <c r="E127" i="10"/>
  <c r="I126" i="10"/>
  <c r="H126" i="10"/>
  <c r="G126" i="10"/>
  <c r="F126" i="10"/>
  <c r="E126" i="10"/>
  <c r="I125" i="10"/>
  <c r="H125" i="10"/>
  <c r="G125" i="10"/>
  <c r="F125" i="10"/>
  <c r="E125" i="10"/>
  <c r="I124" i="10"/>
  <c r="H124" i="10"/>
  <c r="G124" i="10"/>
  <c r="F124" i="10"/>
  <c r="E124" i="10"/>
  <c r="I123" i="10"/>
  <c r="H123" i="10"/>
  <c r="G123" i="10"/>
  <c r="F123" i="10"/>
  <c r="E123" i="10"/>
  <c r="I122" i="10"/>
  <c r="H122" i="10"/>
  <c r="G122" i="10"/>
  <c r="F122" i="10"/>
  <c r="E122" i="10"/>
  <c r="I121" i="10"/>
  <c r="H121" i="10"/>
  <c r="G121" i="10"/>
  <c r="F121" i="10"/>
  <c r="E121" i="10"/>
  <c r="I120" i="10"/>
  <c r="H120" i="10"/>
  <c r="G120" i="10"/>
  <c r="F120" i="10"/>
  <c r="E120" i="10"/>
  <c r="I119" i="10"/>
  <c r="H119" i="10"/>
  <c r="G119" i="10"/>
  <c r="F119" i="10"/>
  <c r="E119" i="10"/>
  <c r="I118" i="10"/>
  <c r="H118" i="10"/>
  <c r="G118" i="10"/>
  <c r="F118" i="10"/>
  <c r="E118" i="10"/>
  <c r="I117" i="10"/>
  <c r="H117" i="10"/>
  <c r="G117" i="10"/>
  <c r="F117" i="10"/>
  <c r="E117" i="10"/>
  <c r="I116" i="10"/>
  <c r="H116" i="10"/>
  <c r="G116" i="10"/>
  <c r="F116" i="10"/>
  <c r="E116" i="10"/>
  <c r="I115" i="10"/>
  <c r="H115" i="10"/>
  <c r="G115" i="10"/>
  <c r="F115" i="10"/>
  <c r="E115" i="10"/>
  <c r="I114" i="10"/>
  <c r="H114" i="10"/>
  <c r="G114" i="10"/>
  <c r="F114" i="10"/>
  <c r="E114" i="10"/>
  <c r="I113" i="10"/>
  <c r="H113" i="10"/>
  <c r="G113" i="10"/>
  <c r="F113" i="10"/>
  <c r="E113" i="10"/>
  <c r="I112" i="10"/>
  <c r="H112" i="10"/>
  <c r="G112" i="10"/>
  <c r="F112" i="10"/>
  <c r="E112" i="10"/>
  <c r="I111" i="10"/>
  <c r="H111" i="10"/>
  <c r="G111" i="10"/>
  <c r="F111" i="10"/>
  <c r="E111" i="10"/>
  <c r="I110" i="10"/>
  <c r="H110" i="10"/>
  <c r="G110" i="10"/>
  <c r="F110" i="10"/>
  <c r="E110" i="10"/>
  <c r="I109" i="10"/>
  <c r="H109" i="10"/>
  <c r="G109" i="10"/>
  <c r="F109" i="10"/>
  <c r="E109" i="10"/>
  <c r="I108" i="10"/>
  <c r="H108" i="10"/>
  <c r="G108" i="10"/>
  <c r="F108" i="10"/>
  <c r="E108" i="10"/>
  <c r="I107" i="10"/>
  <c r="H107" i="10"/>
  <c r="G107" i="10"/>
  <c r="F107" i="10"/>
  <c r="E107" i="10"/>
  <c r="I106" i="10"/>
  <c r="H106" i="10"/>
  <c r="G106" i="10"/>
  <c r="F106" i="10"/>
  <c r="E106" i="10"/>
  <c r="I105" i="10"/>
  <c r="H105" i="10"/>
  <c r="G105" i="10"/>
  <c r="F105" i="10"/>
  <c r="E105" i="10"/>
  <c r="I104" i="10"/>
  <c r="H104" i="10"/>
  <c r="G104" i="10"/>
  <c r="F104" i="10"/>
  <c r="E104" i="10"/>
  <c r="I103" i="10"/>
  <c r="H103" i="10"/>
  <c r="G103" i="10"/>
  <c r="F103" i="10"/>
  <c r="E103" i="10"/>
  <c r="I102" i="10"/>
  <c r="H102" i="10"/>
  <c r="G102" i="10"/>
  <c r="F102" i="10"/>
  <c r="E102" i="10"/>
  <c r="I101" i="10"/>
  <c r="H101" i="10"/>
  <c r="G101" i="10"/>
  <c r="F101" i="10"/>
  <c r="E101" i="10"/>
  <c r="I100" i="10"/>
  <c r="H100" i="10"/>
  <c r="G100" i="10"/>
  <c r="F100" i="10"/>
  <c r="E100" i="10"/>
  <c r="I99" i="10"/>
  <c r="H99" i="10"/>
  <c r="G99" i="10"/>
  <c r="F99" i="10"/>
  <c r="E99" i="10"/>
  <c r="I98" i="10"/>
  <c r="H98" i="10"/>
  <c r="G98" i="10"/>
  <c r="F98" i="10"/>
  <c r="E98" i="10"/>
  <c r="I97" i="10"/>
  <c r="H97" i="10"/>
  <c r="G97" i="10"/>
  <c r="F97" i="10"/>
  <c r="E97" i="10"/>
  <c r="I96" i="10"/>
  <c r="H96" i="10"/>
  <c r="G96" i="10"/>
  <c r="F96" i="10"/>
  <c r="E96" i="10"/>
  <c r="I95" i="10"/>
  <c r="H95" i="10"/>
  <c r="G95" i="10"/>
  <c r="F95" i="10"/>
  <c r="E95" i="10"/>
  <c r="I94" i="10"/>
  <c r="H94" i="10"/>
  <c r="G94" i="10"/>
  <c r="F94" i="10"/>
  <c r="E94" i="10"/>
  <c r="I93" i="10"/>
  <c r="H93" i="10"/>
  <c r="G93" i="10"/>
  <c r="F93" i="10"/>
  <c r="E93" i="10"/>
  <c r="I92" i="10"/>
  <c r="H92" i="10"/>
  <c r="G92" i="10"/>
  <c r="F92" i="10"/>
  <c r="E92" i="10"/>
  <c r="I91" i="10"/>
  <c r="H91" i="10"/>
  <c r="G91" i="10"/>
  <c r="F91" i="10"/>
  <c r="E91" i="10"/>
  <c r="I90" i="10"/>
  <c r="H90" i="10"/>
  <c r="G90" i="10"/>
  <c r="F90" i="10"/>
  <c r="E90" i="10"/>
  <c r="I89" i="10"/>
  <c r="H89" i="10"/>
  <c r="G89" i="10"/>
  <c r="F89" i="10"/>
  <c r="E89" i="10"/>
  <c r="I88" i="10"/>
  <c r="H88" i="10"/>
  <c r="G88" i="10"/>
  <c r="F88" i="10"/>
  <c r="E88" i="10"/>
  <c r="I87" i="10"/>
  <c r="H87" i="10"/>
  <c r="G87" i="10"/>
  <c r="F87" i="10"/>
  <c r="E87" i="10"/>
  <c r="I86" i="10"/>
  <c r="H86" i="10"/>
  <c r="G86" i="10"/>
  <c r="F86" i="10"/>
  <c r="E86" i="10"/>
  <c r="I85" i="10"/>
  <c r="H85" i="10"/>
  <c r="G85" i="10"/>
  <c r="F85" i="10"/>
  <c r="E85" i="10"/>
  <c r="I84" i="10"/>
  <c r="H84" i="10"/>
  <c r="G84" i="10"/>
  <c r="F84" i="10"/>
  <c r="E84" i="10"/>
  <c r="I83" i="10"/>
  <c r="H83" i="10"/>
  <c r="G83" i="10"/>
  <c r="F83" i="10"/>
  <c r="E83" i="10"/>
  <c r="I82" i="10"/>
  <c r="H82" i="10"/>
  <c r="G82" i="10"/>
  <c r="F82" i="10"/>
  <c r="E82" i="10"/>
  <c r="I81" i="10"/>
  <c r="H81" i="10"/>
  <c r="G81" i="10"/>
  <c r="F81" i="10"/>
  <c r="E81" i="10"/>
  <c r="I80" i="10"/>
  <c r="H80" i="10"/>
  <c r="G80" i="10"/>
  <c r="F80" i="10"/>
  <c r="E80" i="10"/>
  <c r="I79" i="10"/>
  <c r="H79" i="10"/>
  <c r="G79" i="10"/>
  <c r="F79" i="10"/>
  <c r="E79" i="10"/>
  <c r="I78" i="10"/>
  <c r="H78" i="10"/>
  <c r="G78" i="10"/>
  <c r="F78" i="10"/>
  <c r="E78" i="10"/>
  <c r="I77" i="10"/>
  <c r="H77" i="10"/>
  <c r="G77" i="10"/>
  <c r="F77" i="10"/>
  <c r="E77" i="10"/>
  <c r="I76" i="10"/>
  <c r="H76" i="10"/>
  <c r="G76" i="10"/>
  <c r="F76" i="10"/>
  <c r="E76" i="10"/>
  <c r="I75" i="10"/>
  <c r="H75" i="10"/>
  <c r="G75" i="10"/>
  <c r="F75" i="10"/>
  <c r="E75" i="10"/>
  <c r="I74" i="10"/>
  <c r="H74" i="10"/>
  <c r="G74" i="10"/>
  <c r="F74" i="10"/>
  <c r="E74" i="10"/>
  <c r="I73" i="10"/>
  <c r="H73" i="10"/>
  <c r="G73" i="10"/>
  <c r="F73" i="10"/>
  <c r="E73" i="10"/>
  <c r="I72" i="10"/>
  <c r="H72" i="10"/>
  <c r="G72" i="10"/>
  <c r="F72" i="10"/>
  <c r="E72" i="10"/>
  <c r="I71" i="10"/>
  <c r="H71" i="10"/>
  <c r="G71" i="10"/>
  <c r="F71" i="10"/>
  <c r="E71" i="10"/>
  <c r="I70" i="10"/>
  <c r="H70" i="10"/>
  <c r="G70" i="10"/>
  <c r="F70" i="10"/>
  <c r="E70" i="10"/>
  <c r="I69" i="10"/>
  <c r="H69" i="10"/>
  <c r="G69" i="10"/>
  <c r="F69" i="10"/>
  <c r="E69" i="10"/>
  <c r="I68" i="10"/>
  <c r="H68" i="10"/>
  <c r="G68" i="10"/>
  <c r="F68" i="10"/>
  <c r="E68" i="10"/>
  <c r="I67" i="10"/>
  <c r="H67" i="10"/>
  <c r="G67" i="10"/>
  <c r="F67" i="10"/>
  <c r="E67" i="10"/>
  <c r="I66" i="10"/>
  <c r="H66" i="10"/>
  <c r="G66" i="10"/>
  <c r="F66" i="10"/>
  <c r="E66" i="10"/>
  <c r="I65" i="10"/>
  <c r="H65" i="10"/>
  <c r="G65" i="10"/>
  <c r="F65" i="10"/>
  <c r="E65" i="10"/>
  <c r="I64" i="10"/>
  <c r="H64" i="10"/>
  <c r="G64" i="10"/>
  <c r="F64" i="10"/>
  <c r="E64" i="10"/>
  <c r="I63" i="10"/>
  <c r="H63" i="10"/>
  <c r="G63" i="10"/>
  <c r="F63" i="10"/>
  <c r="E63" i="10"/>
  <c r="I62" i="10"/>
  <c r="H62" i="10"/>
  <c r="G62" i="10"/>
  <c r="F62" i="10"/>
  <c r="E62" i="10"/>
  <c r="I61" i="10"/>
  <c r="H61" i="10"/>
  <c r="G61" i="10"/>
  <c r="F61" i="10"/>
  <c r="E61" i="10"/>
  <c r="I60" i="10"/>
  <c r="H60" i="10"/>
  <c r="G60" i="10"/>
  <c r="F60" i="10"/>
  <c r="E60" i="10"/>
  <c r="I59" i="10"/>
  <c r="H59" i="10"/>
  <c r="G59" i="10"/>
  <c r="F59" i="10"/>
  <c r="E59" i="10"/>
  <c r="I58" i="10"/>
  <c r="H58" i="10"/>
  <c r="G58" i="10"/>
  <c r="F58" i="10"/>
  <c r="E58" i="10"/>
  <c r="I57" i="10"/>
  <c r="H57" i="10"/>
  <c r="G57" i="10"/>
  <c r="F57" i="10"/>
  <c r="E57" i="10"/>
  <c r="I56" i="10"/>
  <c r="H56" i="10"/>
  <c r="G56" i="10"/>
  <c r="F56" i="10"/>
  <c r="E56" i="10"/>
  <c r="I55" i="10"/>
  <c r="H55" i="10"/>
  <c r="G55" i="10"/>
  <c r="F55" i="10"/>
  <c r="E55" i="10"/>
  <c r="I54" i="10"/>
  <c r="H54" i="10"/>
  <c r="G54" i="10"/>
  <c r="F54" i="10"/>
  <c r="E54" i="10"/>
  <c r="I53" i="10"/>
  <c r="H53" i="10"/>
  <c r="G53" i="10"/>
  <c r="F53" i="10"/>
  <c r="E53" i="10"/>
  <c r="I52" i="10"/>
  <c r="H52" i="10"/>
  <c r="G52" i="10"/>
  <c r="F52" i="10"/>
  <c r="E52" i="10"/>
  <c r="I51" i="10"/>
  <c r="H51" i="10"/>
  <c r="G51" i="10"/>
  <c r="F51" i="10"/>
  <c r="E51" i="10"/>
  <c r="I50" i="10"/>
  <c r="H50" i="10"/>
  <c r="G50" i="10"/>
  <c r="F50" i="10"/>
  <c r="E50" i="10"/>
  <c r="I49" i="10"/>
  <c r="H49" i="10"/>
  <c r="G49" i="10"/>
  <c r="F49" i="10"/>
  <c r="E49" i="10"/>
  <c r="I48" i="10"/>
  <c r="H48" i="10"/>
  <c r="G48" i="10"/>
  <c r="F48" i="10"/>
  <c r="E48" i="10"/>
  <c r="I47" i="10"/>
  <c r="H47" i="10"/>
  <c r="G47" i="10"/>
  <c r="F47" i="10"/>
  <c r="E47" i="10"/>
  <c r="I46" i="10"/>
  <c r="H46" i="10"/>
  <c r="G46" i="10"/>
  <c r="F46" i="10"/>
  <c r="E46" i="10"/>
  <c r="I45" i="10"/>
  <c r="H45" i="10"/>
  <c r="G45" i="10"/>
  <c r="F45" i="10"/>
  <c r="E45" i="10"/>
  <c r="I44" i="10"/>
  <c r="H44" i="10"/>
  <c r="G44" i="10"/>
  <c r="F44" i="10"/>
  <c r="E44" i="10"/>
  <c r="I43" i="10"/>
  <c r="H43" i="10"/>
  <c r="G43" i="10"/>
  <c r="F43" i="10"/>
  <c r="E43" i="10"/>
  <c r="I42" i="10"/>
  <c r="H42" i="10"/>
  <c r="G42" i="10"/>
  <c r="F42" i="10"/>
  <c r="E42" i="10"/>
  <c r="I41" i="10"/>
  <c r="H41" i="10"/>
  <c r="E4" i="2"/>
  <c r="D4" i="2"/>
  <c r="C4" i="2"/>
  <c r="B4" i="2"/>
  <c r="A4" i="2"/>
  <c r="F30" i="2"/>
  <c r="E30" i="2"/>
  <c r="D30" i="2"/>
  <c r="C30" i="2"/>
  <c r="B30" i="2"/>
  <c r="A30" i="2"/>
  <c r="F29" i="2"/>
  <c r="E29" i="2"/>
  <c r="D29" i="2"/>
  <c r="C29" i="2"/>
  <c r="B29" i="2"/>
  <c r="A29" i="2"/>
  <c r="F28" i="2"/>
  <c r="E28" i="2"/>
  <c r="D28" i="2"/>
  <c r="C28" i="2"/>
  <c r="B28" i="2"/>
  <c r="A28" i="2"/>
  <c r="F27" i="2"/>
  <c r="E27" i="2"/>
  <c r="D27" i="2"/>
  <c r="C27" i="2"/>
  <c r="B27" i="2"/>
  <c r="A27" i="2"/>
  <c r="F26" i="2"/>
  <c r="E26" i="2"/>
  <c r="D26" i="2"/>
  <c r="C26" i="2"/>
  <c r="B26" i="2"/>
  <c r="A26" i="2"/>
  <c r="F25" i="2"/>
  <c r="E25" i="2"/>
  <c r="D25" i="2"/>
  <c r="C25" i="2"/>
  <c r="B25" i="2"/>
  <c r="A25" i="2"/>
  <c r="F24" i="2"/>
  <c r="E24" i="2"/>
  <c r="D24" i="2"/>
  <c r="C24" i="2"/>
  <c r="B24" i="2"/>
  <c r="A24" i="2"/>
  <c r="F23" i="2"/>
  <c r="E23" i="2"/>
  <c r="D23" i="2"/>
  <c r="C23" i="2"/>
  <c r="B23" i="2"/>
  <c r="A23" i="2"/>
  <c r="F22" i="2"/>
  <c r="E22" i="2"/>
  <c r="D22" i="2"/>
  <c r="C22" i="2"/>
  <c r="B22" i="2"/>
  <c r="A22" i="2"/>
  <c r="F21" i="2"/>
  <c r="E21" i="2"/>
  <c r="D21" i="2"/>
  <c r="C21" i="2"/>
  <c r="B21" i="2"/>
  <c r="A21" i="2"/>
  <c r="F20" i="2"/>
  <c r="E20" i="2"/>
  <c r="D20" i="2"/>
  <c r="C20" i="2"/>
  <c r="B20" i="2"/>
  <c r="A20" i="2"/>
  <c r="F19" i="2"/>
  <c r="E19" i="2"/>
  <c r="D19" i="2"/>
  <c r="C19" i="2"/>
  <c r="B19" i="2"/>
  <c r="A19" i="2"/>
  <c r="F18" i="2"/>
  <c r="E18" i="2"/>
  <c r="D18" i="2"/>
  <c r="C18" i="2"/>
  <c r="B18" i="2"/>
  <c r="A18" i="2"/>
  <c r="F17" i="2"/>
  <c r="E17" i="2"/>
  <c r="D17" i="2"/>
  <c r="C17" i="2"/>
  <c r="B17" i="2"/>
  <c r="A17" i="2"/>
  <c r="F16" i="2"/>
  <c r="E16" i="2"/>
  <c r="D16" i="2"/>
  <c r="C16" i="2"/>
  <c r="B16" i="2"/>
  <c r="A16" i="2"/>
  <c r="F15" i="2"/>
  <c r="E15" i="2"/>
  <c r="D15" i="2"/>
  <c r="C15" i="2"/>
  <c r="B15" i="2"/>
  <c r="A15" i="2"/>
  <c r="F14" i="2"/>
  <c r="E14" i="2"/>
  <c r="D14" i="2"/>
  <c r="C14" i="2"/>
  <c r="B14" i="2"/>
  <c r="A14" i="2"/>
  <c r="F13" i="2"/>
  <c r="E13" i="2"/>
  <c r="D13" i="2"/>
  <c r="C13" i="2"/>
  <c r="B13" i="2"/>
  <c r="A13" i="2"/>
  <c r="F12" i="2"/>
  <c r="E12" i="2"/>
  <c r="D12" i="2"/>
  <c r="C12" i="2"/>
  <c r="B12" i="2"/>
  <c r="A12" i="2"/>
  <c r="F11" i="2"/>
  <c r="E11" i="2"/>
  <c r="D11" i="2"/>
  <c r="C11" i="2"/>
  <c r="B11" i="2"/>
  <c r="A11" i="2"/>
  <c r="F10" i="2"/>
  <c r="E10" i="2"/>
  <c r="D10" i="2"/>
  <c r="C10" i="2"/>
  <c r="B10" i="2"/>
  <c r="A10" i="2"/>
  <c r="F9" i="2"/>
  <c r="E9" i="2"/>
  <c r="D9" i="2"/>
  <c r="C9" i="2"/>
  <c r="B9" i="2"/>
  <c r="A9" i="2"/>
  <c r="F8" i="2"/>
  <c r="E8" i="2"/>
  <c r="D8" i="2"/>
  <c r="C8" i="2"/>
  <c r="B8" i="2"/>
  <c r="A8" i="2"/>
  <c r="F7" i="2"/>
  <c r="E7" i="2"/>
  <c r="D7" i="2"/>
  <c r="C7" i="2"/>
  <c r="B7" i="2"/>
  <c r="A7" i="2"/>
  <c r="F6" i="2"/>
  <c r="E6" i="2"/>
  <c r="D6" i="2"/>
  <c r="C6" i="2"/>
  <c r="B6" i="2"/>
  <c r="A6" i="2"/>
  <c r="F5" i="2"/>
  <c r="E5" i="2"/>
  <c r="D5" i="2"/>
  <c r="C5" i="2"/>
  <c r="B5" i="2"/>
  <c r="A5" i="2"/>
  <c r="F4" i="2"/>
  <c r="L43" i="2"/>
  <c r="L40" i="2"/>
  <c r="L38" i="2"/>
  <c r="L36" i="2"/>
  <c r="L35" i="2"/>
  <c r="L31" i="2"/>
  <c r="L42" i="2"/>
  <c r="L32" i="2"/>
  <c r="L34" i="2"/>
  <c r="L44" i="2"/>
  <c r="L41" i="2"/>
  <c r="L39" i="2"/>
  <c r="L37" i="2"/>
  <c r="L33" i="2"/>
  <c r="F31" i="1"/>
  <c r="F30" i="1"/>
  <c r="F29" i="1"/>
  <c r="F28" i="1"/>
  <c r="F27" i="1"/>
  <c r="F26" i="1"/>
  <c r="F25" i="1"/>
  <c r="F24" i="1"/>
  <c r="F23" i="1"/>
  <c r="F22" i="1"/>
  <c r="D22" i="1"/>
  <c r="D27" i="1"/>
  <c r="D31" i="1"/>
  <c r="D30" i="1"/>
  <c r="D29" i="1"/>
  <c r="D28" i="1"/>
  <c r="D26" i="1"/>
  <c r="D25" i="1"/>
  <c r="D24" i="1"/>
  <c r="D23" i="1"/>
  <c r="F20" i="1"/>
  <c r="F19" i="1"/>
  <c r="F18" i="1"/>
  <c r="F17" i="1"/>
  <c r="F16" i="1"/>
  <c r="F15" i="1"/>
  <c r="F14" i="1"/>
  <c r="F13" i="1"/>
  <c r="G32" i="2"/>
  <c r="G33" i="2"/>
  <c r="G34" i="2"/>
  <c r="G38" i="2"/>
  <c r="G39" i="2"/>
  <c r="G40" i="2"/>
  <c r="G41" i="2"/>
  <c r="G43" i="2"/>
  <c r="G44" i="2"/>
  <c r="G31" i="2"/>
  <c r="G35" i="2"/>
  <c r="G36" i="2"/>
  <c r="G37" i="2"/>
  <c r="G42" i="2"/>
  <c r="F3" i="1"/>
  <c r="H3" i="1" s="1"/>
  <c r="F6" i="1"/>
  <c r="H6" i="1" s="1"/>
  <c r="F5" i="1"/>
  <c r="H5" i="1" s="1"/>
  <c r="F4" i="1"/>
  <c r="H4" i="1" s="1"/>
  <c r="A3" i="11" l="1" a="1"/>
  <c r="O76" i="8"/>
  <c r="B77" i="8"/>
  <c r="C77" i="8"/>
  <c r="M77" i="8"/>
  <c r="N77" i="8"/>
  <c r="B78" i="8"/>
  <c r="D78" i="8"/>
  <c r="E78" i="8"/>
  <c r="G78" i="8"/>
  <c r="H78" i="8"/>
  <c r="N78" i="8"/>
  <c r="O78" i="8"/>
  <c r="Q78" i="8"/>
  <c r="A79" i="8"/>
  <c r="B79" i="8"/>
  <c r="C79" i="8"/>
  <c r="D79" i="8"/>
  <c r="E79" i="8"/>
  <c r="F79" i="8"/>
  <c r="G79" i="8"/>
  <c r="H79" i="8"/>
  <c r="I79" i="8"/>
  <c r="K79" i="8"/>
  <c r="M79" i="8"/>
  <c r="N79" i="8"/>
  <c r="P79" i="8"/>
  <c r="B80" i="8"/>
  <c r="C80" i="8"/>
  <c r="D80" i="8"/>
  <c r="F80" i="8"/>
  <c r="G80" i="8"/>
  <c r="I80" i="8"/>
  <c r="K80" i="8"/>
  <c r="L80" i="8"/>
  <c r="M80" i="8"/>
  <c r="N80" i="8"/>
  <c r="O80" i="8"/>
  <c r="Q80" i="8"/>
  <c r="A81" i="8"/>
  <c r="B81" i="8"/>
  <c r="E81" i="8"/>
  <c r="F81" i="8"/>
  <c r="H81" i="8"/>
  <c r="I81" i="8"/>
  <c r="J81" i="8"/>
  <c r="K81" i="8"/>
  <c r="N81" i="8"/>
  <c r="O81" i="8"/>
  <c r="P81" i="8"/>
  <c r="A82" i="8"/>
  <c r="B82" i="8"/>
  <c r="C82" i="8"/>
  <c r="D82" i="8"/>
  <c r="F82" i="8"/>
  <c r="G82" i="8"/>
  <c r="I82" i="8"/>
  <c r="L82" i="8"/>
  <c r="M82" i="8"/>
  <c r="N82" i="8"/>
  <c r="P82" i="8"/>
  <c r="Q82" i="8"/>
  <c r="R82" i="8"/>
  <c r="A83" i="8"/>
  <c r="B83" i="8"/>
  <c r="E83" i="8"/>
  <c r="F83" i="8"/>
  <c r="H83" i="8"/>
  <c r="I83" i="8"/>
  <c r="J83" i="8"/>
  <c r="O83" i="8"/>
  <c r="G84" i="8"/>
  <c r="L84" i="8"/>
  <c r="M84" i="8"/>
  <c r="N84" i="8"/>
  <c r="A85" i="8"/>
  <c r="C85" i="8"/>
  <c r="D85" i="8"/>
  <c r="F85" i="8"/>
  <c r="G85" i="8"/>
  <c r="J85" i="8"/>
  <c r="L85" i="8"/>
  <c r="N85" i="8"/>
  <c r="D86" i="8"/>
  <c r="E86" i="8"/>
  <c r="F86" i="8"/>
  <c r="L86" i="8"/>
  <c r="M86" i="8"/>
  <c r="O86" i="8"/>
  <c r="P86" i="8"/>
  <c r="K87" i="8"/>
  <c r="P87" i="8"/>
  <c r="E88" i="8"/>
  <c r="M63" i="8"/>
  <c r="C64" i="8"/>
  <c r="H64" i="8"/>
  <c r="M64" i="8"/>
  <c r="N64" i="8"/>
  <c r="C65" i="8"/>
  <c r="I65" i="8"/>
  <c r="K65" i="8"/>
  <c r="Q65" i="8"/>
  <c r="E66" i="8"/>
  <c r="G66" i="8"/>
  <c r="J66" i="8"/>
  <c r="D67" i="8"/>
  <c r="I67" i="8"/>
  <c r="N67" i="8"/>
  <c r="H68" i="8"/>
  <c r="L68" i="8"/>
  <c r="M68" i="8"/>
  <c r="C69" i="8"/>
  <c r="D69" i="8"/>
  <c r="I69" i="8"/>
  <c r="M69" i="8"/>
  <c r="B70" i="8"/>
  <c r="F70" i="8"/>
  <c r="H70" i="8"/>
  <c r="J70" i="8"/>
  <c r="K70" i="8"/>
  <c r="M70" i="8"/>
  <c r="Q70" i="8"/>
  <c r="R70" i="8"/>
  <c r="A71" i="8"/>
  <c r="F71" i="8"/>
  <c r="G71" i="8"/>
  <c r="H71" i="8"/>
  <c r="P71" i="8"/>
  <c r="Q71" i="8"/>
  <c r="R71" i="8"/>
  <c r="A72" i="8"/>
  <c r="B72" i="8"/>
  <c r="C72" i="8"/>
  <c r="D72" i="8"/>
  <c r="E72" i="8"/>
  <c r="F72" i="8"/>
  <c r="G72" i="8"/>
  <c r="H72" i="8"/>
  <c r="I72" i="8"/>
  <c r="J72" i="8"/>
  <c r="M72" i="8"/>
  <c r="N72" i="8"/>
  <c r="O72" i="8"/>
  <c r="P72" i="8"/>
  <c r="R72" i="8"/>
  <c r="A73" i="8"/>
  <c r="E73" i="8"/>
  <c r="F73" i="8"/>
  <c r="G73" i="8"/>
  <c r="J73" i="8"/>
  <c r="K73" i="8"/>
  <c r="N73" i="8"/>
  <c r="O73" i="8"/>
  <c r="P73" i="8"/>
  <c r="A74" i="8"/>
  <c r="B74" i="8"/>
  <c r="C74" i="8"/>
  <c r="D74" i="8"/>
  <c r="E74" i="8"/>
  <c r="F74" i="8"/>
  <c r="I74" i="8"/>
  <c r="E75" i="8"/>
  <c r="F75" i="8"/>
  <c r="G75" i="8"/>
  <c r="K75" i="8"/>
  <c r="L75" i="8"/>
  <c r="A76" i="8"/>
  <c r="E76" i="8"/>
  <c r="G76" i="8"/>
  <c r="H76" i="8"/>
  <c r="N76" i="8"/>
  <c r="E77" i="8"/>
  <c r="H77" i="8"/>
  <c r="L77" i="8"/>
  <c r="Q77" i="8"/>
  <c r="R77" i="8"/>
  <c r="A78" i="8"/>
  <c r="C78" i="8"/>
  <c r="I78" i="8"/>
  <c r="J78" i="8"/>
  <c r="K83" i="8"/>
  <c r="P83" i="8"/>
  <c r="C84" i="8"/>
  <c r="F84" i="8"/>
  <c r="H84" i="8"/>
  <c r="I84" i="8"/>
  <c r="P84" i="8"/>
  <c r="B85" i="8"/>
  <c r="K85" i="8"/>
  <c r="O85" i="8"/>
  <c r="P85" i="8"/>
  <c r="C86" i="8"/>
  <c r="H86" i="8"/>
  <c r="J86" i="8"/>
  <c r="Q86" i="8"/>
  <c r="I87" i="8"/>
  <c r="J87" i="8"/>
  <c r="L87" i="8"/>
  <c r="N87" i="8"/>
  <c r="Q87" i="8"/>
  <c r="C88" i="8"/>
  <c r="D88" i="8"/>
  <c r="F88" i="8"/>
  <c r="I88" i="8"/>
  <c r="J88" i="8"/>
  <c r="K88" i="8"/>
  <c r="M88" i="8"/>
  <c r="P88" i="8"/>
  <c r="Q88" i="8"/>
  <c r="R88" i="8"/>
  <c r="A89" i="8"/>
  <c r="B89" i="8"/>
  <c r="C89" i="8"/>
  <c r="D89" i="8"/>
  <c r="E89" i="8"/>
  <c r="F89" i="8"/>
  <c r="G89" i="8"/>
  <c r="I89" i="8"/>
  <c r="K89" i="8"/>
  <c r="L89" i="8"/>
  <c r="M89" i="8"/>
  <c r="N89" i="8"/>
  <c r="O89" i="8"/>
  <c r="Q89" i="8"/>
  <c r="A5" i="8"/>
  <c r="D5" i="8"/>
  <c r="I5" i="8"/>
  <c r="L5" i="8"/>
  <c r="M5" i="8"/>
  <c r="P5" i="8"/>
  <c r="C6" i="8"/>
  <c r="D6" i="8"/>
  <c r="E6" i="8"/>
  <c r="I6" i="8"/>
  <c r="K6" i="8"/>
  <c r="L6" i="8"/>
  <c r="M6" i="8"/>
  <c r="O6" i="8"/>
  <c r="Q6" i="8"/>
  <c r="D7" i="8"/>
  <c r="E7" i="8"/>
  <c r="H7" i="8"/>
  <c r="M7" i="8"/>
  <c r="O7" i="8"/>
  <c r="Q7" i="8"/>
  <c r="R7" i="8"/>
  <c r="B8" i="8"/>
  <c r="F8" i="8"/>
  <c r="G8" i="8"/>
  <c r="I8" i="8"/>
  <c r="J8" i="8"/>
  <c r="P8" i="8"/>
  <c r="Q8" i="8"/>
  <c r="B9" i="8"/>
  <c r="D9" i="8"/>
  <c r="J9" i="8"/>
  <c r="K9" i="8"/>
  <c r="N9" i="8"/>
  <c r="B10" i="8"/>
  <c r="D10" i="8"/>
  <c r="E10" i="8"/>
  <c r="F10" i="8"/>
  <c r="I10" i="8"/>
  <c r="J10" i="8"/>
  <c r="K10" i="8"/>
  <c r="N10" i="8"/>
  <c r="O10" i="8"/>
  <c r="K11" i="8"/>
  <c r="L11" i="8"/>
  <c r="Q11" i="8"/>
  <c r="R11" i="8"/>
  <c r="E12" i="8"/>
  <c r="F12" i="8"/>
  <c r="G12" i="8"/>
  <c r="L12" i="8"/>
  <c r="M12" i="8"/>
  <c r="N12" i="8"/>
  <c r="R12" i="8"/>
  <c r="G13" i="8"/>
  <c r="I13" i="8"/>
  <c r="J13" i="8"/>
  <c r="L13" i="8"/>
  <c r="M13" i="8"/>
  <c r="R13" i="8"/>
  <c r="B14" i="8"/>
  <c r="F14" i="8"/>
  <c r="G14" i="8"/>
  <c r="J14" i="8"/>
  <c r="M14" i="8"/>
  <c r="N14" i="8"/>
  <c r="R14" i="8"/>
  <c r="D15" i="8"/>
  <c r="G15" i="8"/>
  <c r="H15" i="8"/>
  <c r="I15" i="8"/>
  <c r="O15" i="8"/>
  <c r="P15" i="8"/>
  <c r="Q15" i="8"/>
  <c r="A16" i="8"/>
  <c r="G16" i="8"/>
  <c r="K16" i="8"/>
  <c r="L16" i="8"/>
  <c r="P16" i="8"/>
  <c r="R16" i="8"/>
  <c r="J17" i="8"/>
  <c r="K17" i="8"/>
  <c r="C21" i="8"/>
  <c r="E21" i="8"/>
  <c r="F21" i="8"/>
  <c r="M21" i="8"/>
  <c r="O21" i="8"/>
  <c r="R21" i="8"/>
  <c r="A22" i="8"/>
  <c r="D22" i="8"/>
  <c r="K22" i="8"/>
  <c r="M22" i="8"/>
  <c r="J23" i="8"/>
  <c r="L23" i="8"/>
  <c r="O23" i="8"/>
  <c r="D24" i="8"/>
  <c r="E24" i="8"/>
  <c r="I24" i="8"/>
  <c r="N24" i="8"/>
  <c r="O24" i="8"/>
  <c r="C25" i="8"/>
  <c r="H25" i="8"/>
  <c r="J25" i="8"/>
  <c r="K25" i="8"/>
  <c r="R25" i="8"/>
  <c r="C26" i="8"/>
  <c r="D26" i="8"/>
  <c r="F26" i="8"/>
  <c r="I26" i="8"/>
  <c r="K26" i="8"/>
  <c r="N26" i="8"/>
  <c r="O26" i="8"/>
  <c r="E27" i="8"/>
  <c r="F27" i="8"/>
  <c r="J27" i="8"/>
  <c r="M27" i="8"/>
  <c r="O27" i="8"/>
  <c r="P27" i="8"/>
  <c r="F28" i="8"/>
  <c r="I28" i="8"/>
  <c r="M28" i="8"/>
  <c r="A29" i="8"/>
  <c r="B29" i="8"/>
  <c r="C29" i="8"/>
  <c r="F29" i="8"/>
  <c r="I29" i="8"/>
  <c r="J29" i="8"/>
  <c r="H30" i="8"/>
  <c r="J30" i="8"/>
  <c r="K30" i="8"/>
  <c r="O30" i="8"/>
  <c r="P30" i="8"/>
  <c r="B31" i="8"/>
  <c r="E31" i="8"/>
  <c r="J31" i="8"/>
  <c r="R31" i="8"/>
  <c r="R32" i="8"/>
  <c r="B33" i="8"/>
  <c r="C33" i="8"/>
  <c r="H33" i="8"/>
  <c r="J33" i="8"/>
  <c r="K33" i="8"/>
  <c r="P33" i="8"/>
  <c r="R33" i="8"/>
  <c r="A34" i="8"/>
  <c r="F34" i="8"/>
  <c r="I34" i="8"/>
  <c r="J34" i="8"/>
  <c r="K34" i="8"/>
  <c r="A35" i="8"/>
  <c r="H35" i="8"/>
  <c r="I35" i="8"/>
  <c r="J35" i="8"/>
  <c r="K35" i="8"/>
  <c r="Q35" i="8"/>
  <c r="R35" i="8"/>
  <c r="A36" i="8"/>
  <c r="C36" i="8"/>
  <c r="E36" i="8"/>
  <c r="F36" i="8"/>
  <c r="G36" i="8"/>
  <c r="H36" i="8"/>
  <c r="I36" i="8"/>
  <c r="L36" i="8"/>
  <c r="D37" i="8"/>
  <c r="M38" i="8"/>
  <c r="N38" i="8"/>
  <c r="Q38" i="8"/>
  <c r="G25" i="8"/>
  <c r="R38" i="8"/>
  <c r="B39" i="8"/>
  <c r="D39" i="8"/>
  <c r="G39" i="8"/>
  <c r="H39" i="8"/>
  <c r="I39" i="8"/>
  <c r="L39" i="8"/>
  <c r="M39" i="8"/>
  <c r="N39" i="8"/>
  <c r="P39" i="8"/>
  <c r="R39" i="8"/>
  <c r="C40" i="8"/>
  <c r="D40" i="8"/>
  <c r="E40" i="8"/>
  <c r="G40" i="8"/>
  <c r="H40" i="8"/>
  <c r="I40" i="8"/>
  <c r="J40" i="8"/>
  <c r="K40" i="8"/>
  <c r="M40" i="8"/>
  <c r="P40" i="8"/>
  <c r="Q40" i="8"/>
  <c r="B41" i="8"/>
  <c r="C41" i="8"/>
  <c r="D41" i="8"/>
  <c r="F41" i="8"/>
  <c r="G41" i="8"/>
  <c r="B42" i="8"/>
  <c r="F42" i="8"/>
  <c r="J42" i="8"/>
  <c r="P63" i="8"/>
  <c r="B64" i="8"/>
  <c r="E64" i="8"/>
  <c r="F64" i="8"/>
  <c r="I64" i="8"/>
  <c r="P64" i="8"/>
  <c r="Q64" i="8"/>
  <c r="A65" i="8"/>
  <c r="G65" i="8"/>
  <c r="H65" i="8"/>
  <c r="L65" i="8"/>
  <c r="O65" i="8"/>
  <c r="R65" i="8"/>
  <c r="B66" i="8"/>
  <c r="F66" i="8"/>
  <c r="H66" i="8"/>
  <c r="I66" i="8"/>
  <c r="N66" i="8"/>
  <c r="A67" i="8"/>
  <c r="B67" i="8"/>
  <c r="C67" i="8"/>
  <c r="F67" i="8"/>
  <c r="K67" i="8"/>
  <c r="P67" i="8"/>
  <c r="A68" i="8"/>
  <c r="B68" i="8"/>
  <c r="D68" i="8"/>
  <c r="E68" i="8"/>
  <c r="F68" i="8"/>
  <c r="I68" i="8"/>
  <c r="J68" i="8"/>
  <c r="Q68" i="8"/>
  <c r="G69" i="8"/>
  <c r="H69" i="8"/>
  <c r="J69" i="8"/>
  <c r="O69" i="8"/>
  <c r="P69" i="8"/>
  <c r="R69" i="8"/>
  <c r="D70" i="8"/>
  <c r="G70" i="8"/>
  <c r="N74" i="8"/>
  <c r="A75" i="8"/>
  <c r="D75" i="8"/>
  <c r="H75" i="8"/>
  <c r="I75" i="8"/>
  <c r="O75" i="8"/>
  <c r="C76" i="8"/>
  <c r="D76" i="8"/>
  <c r="I76" i="8"/>
  <c r="J76" i="8"/>
  <c r="L76" i="8"/>
  <c r="B5" i="8"/>
  <c r="C5" i="8"/>
  <c r="E5" i="8"/>
  <c r="F5" i="8"/>
  <c r="J5" i="8"/>
  <c r="K5" i="8"/>
  <c r="O5" i="8"/>
  <c r="Q5" i="8"/>
  <c r="R5" i="8"/>
  <c r="A6" i="8"/>
  <c r="G6" i="8"/>
  <c r="H6" i="8"/>
  <c r="N6" i="8"/>
  <c r="A7" i="8"/>
  <c r="B7" i="8"/>
  <c r="F7" i="8"/>
  <c r="I7" i="8"/>
  <c r="J7" i="8"/>
  <c r="N7" i="8"/>
  <c r="C8" i="8"/>
  <c r="D8" i="8"/>
  <c r="L8" i="8"/>
  <c r="M8" i="8"/>
  <c r="N8" i="8"/>
  <c r="R8" i="8"/>
  <c r="A9" i="8"/>
  <c r="C9" i="8"/>
  <c r="G9" i="8"/>
  <c r="H9" i="8"/>
  <c r="L9" i="8"/>
  <c r="M9" i="8"/>
  <c r="Q9" i="8"/>
  <c r="C10" i="8"/>
  <c r="G10" i="8"/>
  <c r="H10" i="8"/>
  <c r="L10" i="8"/>
  <c r="M10" i="8"/>
  <c r="C11" i="8"/>
  <c r="E11" i="8"/>
  <c r="M11" i="8"/>
  <c r="N11" i="8"/>
  <c r="C12" i="8"/>
  <c r="D12" i="8"/>
  <c r="I12" i="8"/>
  <c r="J12" i="8"/>
  <c r="K12" i="8"/>
  <c r="O12" i="8"/>
  <c r="P12" i="8"/>
  <c r="A13" i="8"/>
  <c r="B13" i="8"/>
  <c r="C13" i="8"/>
  <c r="F13" i="8"/>
  <c r="H13" i="8"/>
  <c r="K13" i="8"/>
  <c r="N13" i="8"/>
  <c r="O13" i="8"/>
  <c r="P13" i="8"/>
  <c r="Q13" i="8"/>
  <c r="D14" i="8"/>
  <c r="H14" i="8"/>
  <c r="I14" i="8"/>
  <c r="K14" i="8"/>
  <c r="P14" i="8"/>
  <c r="Q14" i="8"/>
  <c r="B15" i="8"/>
  <c r="E15" i="8"/>
  <c r="F15" i="8"/>
  <c r="K15" i="8"/>
  <c r="L15" i="8"/>
  <c r="N15" i="8"/>
  <c r="C16" i="8"/>
  <c r="D16" i="8"/>
  <c r="H16" i="8"/>
  <c r="I16" i="8"/>
  <c r="J16" i="8"/>
  <c r="M16" i="8"/>
  <c r="Q16" i="8"/>
  <c r="B17" i="8"/>
  <c r="C17" i="8"/>
  <c r="F17" i="8"/>
  <c r="G17" i="8"/>
  <c r="H17" i="8"/>
  <c r="I17" i="8"/>
  <c r="L17" i="8"/>
  <c r="M17" i="8"/>
  <c r="N17" i="8"/>
  <c r="O17" i="8"/>
  <c r="P17" i="8"/>
  <c r="Q17" i="8"/>
  <c r="R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A19" i="8"/>
  <c r="B19" i="8"/>
  <c r="C19" i="8"/>
  <c r="D19" i="8"/>
  <c r="E19" i="8"/>
  <c r="F19" i="8"/>
  <c r="G19" i="8"/>
  <c r="H19" i="8"/>
  <c r="I19" i="8"/>
  <c r="J19" i="8"/>
  <c r="K19" i="8"/>
  <c r="L19" i="8"/>
  <c r="P19" i="8"/>
  <c r="Q19" i="8"/>
  <c r="R19" i="8"/>
  <c r="A20" i="8"/>
  <c r="B20" i="8"/>
  <c r="C20" i="8"/>
  <c r="D20" i="8"/>
  <c r="E20" i="8"/>
  <c r="F20" i="8"/>
  <c r="G20" i="8"/>
  <c r="H20" i="8"/>
  <c r="I20" i="8"/>
  <c r="J20" i="8"/>
  <c r="L20" i="8"/>
  <c r="M20" i="8"/>
  <c r="N20" i="8"/>
  <c r="R20" i="8"/>
  <c r="D21" i="8"/>
  <c r="G21" i="8"/>
  <c r="H21" i="8"/>
  <c r="I21" i="8"/>
  <c r="J21" i="8"/>
  <c r="B22" i="8"/>
  <c r="C22" i="8"/>
  <c r="G22" i="8"/>
  <c r="H22" i="8"/>
  <c r="I22" i="8"/>
  <c r="J22" i="8"/>
  <c r="L22" i="8"/>
  <c r="N22" i="8"/>
  <c r="O22" i="8"/>
  <c r="B23" i="8"/>
  <c r="D23" i="8"/>
  <c r="E23" i="8"/>
  <c r="F23" i="8"/>
  <c r="H23" i="8"/>
  <c r="M23" i="8"/>
  <c r="N23" i="8"/>
  <c r="R23" i="8"/>
  <c r="A24" i="8"/>
  <c r="B24" i="8"/>
  <c r="F24" i="8"/>
  <c r="G24" i="8"/>
  <c r="J24" i="8"/>
  <c r="K24" i="8"/>
  <c r="L24" i="8"/>
  <c r="M24" i="8"/>
  <c r="P24" i="8"/>
  <c r="Q24" i="8"/>
  <c r="R24" i="8"/>
  <c r="A25" i="8"/>
  <c r="B25" i="8"/>
  <c r="F25" i="8"/>
  <c r="I25" i="8"/>
  <c r="L25" i="8"/>
  <c r="M25" i="8"/>
  <c r="A26" i="8"/>
  <c r="B26" i="8"/>
  <c r="G26" i="8"/>
  <c r="H26" i="8"/>
  <c r="L26" i="8"/>
  <c r="M26" i="8"/>
  <c r="P26" i="8"/>
  <c r="Q26" i="8"/>
  <c r="R26" i="8"/>
  <c r="B27" i="8"/>
  <c r="D27" i="8"/>
  <c r="G27" i="8"/>
  <c r="H27" i="8"/>
  <c r="I27" i="8"/>
  <c r="L27" i="8"/>
  <c r="Q27" i="8"/>
  <c r="R27" i="8"/>
  <c r="C28" i="8"/>
  <c r="D28" i="8"/>
  <c r="G28" i="8"/>
  <c r="H28" i="8"/>
  <c r="K28" i="8"/>
  <c r="L28" i="8"/>
  <c r="P28" i="8"/>
  <c r="Q28" i="8"/>
  <c r="D29" i="8"/>
  <c r="G29" i="8"/>
  <c r="H29" i="8"/>
  <c r="P29" i="8"/>
  <c r="Q29" i="8"/>
  <c r="R29" i="8"/>
  <c r="A30" i="8"/>
  <c r="D30" i="8"/>
  <c r="E30" i="8"/>
  <c r="G30" i="8"/>
  <c r="L30" i="8"/>
  <c r="N30" i="8"/>
  <c r="Q30" i="8"/>
  <c r="R30" i="8"/>
  <c r="A31" i="8"/>
  <c r="C31" i="8"/>
  <c r="F31" i="8"/>
  <c r="H31" i="8"/>
  <c r="K31" i="8"/>
  <c r="L31" i="8"/>
  <c r="N31" i="8"/>
  <c r="P31" i="8"/>
  <c r="A32" i="8"/>
  <c r="B32" i="8"/>
  <c r="D32" i="8"/>
  <c r="G32" i="8"/>
  <c r="H32" i="8"/>
  <c r="I32" i="8"/>
  <c r="K32" i="8"/>
  <c r="L32" i="8"/>
  <c r="P32" i="8"/>
  <c r="Q32" i="8"/>
  <c r="A33" i="8"/>
  <c r="E33" i="8"/>
  <c r="F33" i="8"/>
  <c r="G33" i="8"/>
  <c r="L33" i="8"/>
  <c r="M33" i="8"/>
  <c r="O33" i="8"/>
  <c r="Q33" i="8"/>
  <c r="B34" i="8"/>
  <c r="E34" i="8"/>
  <c r="G34" i="8"/>
  <c r="H34" i="8"/>
  <c r="L34" i="8"/>
  <c r="M34" i="8"/>
  <c r="N34" i="8"/>
  <c r="O34" i="8"/>
  <c r="P34" i="8"/>
  <c r="Q34" i="8"/>
  <c r="R34" i="8"/>
  <c r="E35" i="8"/>
  <c r="F35" i="8"/>
  <c r="G35" i="8"/>
  <c r="N35" i="8"/>
  <c r="O35" i="8"/>
  <c r="P35" i="8"/>
  <c r="B36" i="8"/>
  <c r="J36" i="8"/>
  <c r="K36" i="8"/>
  <c r="N36" i="8"/>
  <c r="O36" i="8"/>
  <c r="A37" i="8"/>
  <c r="B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A38" i="8"/>
  <c r="B38" i="8"/>
  <c r="C38" i="8"/>
  <c r="D38" i="8"/>
  <c r="E38" i="8"/>
  <c r="F38" i="8"/>
  <c r="G38" i="8"/>
  <c r="H38" i="8"/>
  <c r="I38" i="8"/>
  <c r="J38" i="8"/>
  <c r="K38" i="8"/>
  <c r="L38" i="8"/>
  <c r="Q42" i="8"/>
  <c r="C43" i="8"/>
  <c r="F43" i="8"/>
  <c r="G43" i="8"/>
  <c r="L43" i="8"/>
  <c r="P43" i="8"/>
  <c r="R43" i="8"/>
  <c r="E44" i="8"/>
  <c r="F44" i="8"/>
  <c r="L44" i="8"/>
  <c r="M44" i="8"/>
  <c r="N44" i="8"/>
  <c r="O44" i="8"/>
  <c r="R44" i="8"/>
  <c r="D45" i="8"/>
  <c r="E45" i="8"/>
  <c r="F45" i="8"/>
  <c r="I45" i="8"/>
  <c r="M45" i="8"/>
  <c r="N45" i="8"/>
  <c r="O45" i="8"/>
  <c r="Q45" i="8"/>
  <c r="R45" i="8"/>
  <c r="B46" i="8"/>
  <c r="E46" i="8"/>
  <c r="F46" i="8"/>
  <c r="G46" i="8"/>
  <c r="K46" i="8"/>
  <c r="L46" i="8"/>
  <c r="N46" i="8"/>
  <c r="P46" i="8"/>
  <c r="D47" i="8"/>
  <c r="E47" i="8"/>
  <c r="H47" i="8"/>
  <c r="I47" i="8"/>
  <c r="J47" i="8"/>
  <c r="L47" i="8"/>
  <c r="R47" i="8"/>
  <c r="A48" i="8"/>
  <c r="B48" i="8"/>
  <c r="E48" i="8"/>
  <c r="F48" i="8"/>
  <c r="J48" i="8"/>
  <c r="N48" i="8"/>
  <c r="P48" i="8"/>
  <c r="Q48" i="8"/>
  <c r="C49" i="8"/>
  <c r="D49" i="8"/>
  <c r="E49" i="8"/>
  <c r="G49" i="8"/>
  <c r="H49" i="8"/>
  <c r="I49" i="8"/>
  <c r="J49" i="8"/>
  <c r="K49" i="8"/>
  <c r="L49" i="8"/>
  <c r="N49" i="8"/>
  <c r="P49" i="8"/>
  <c r="Q49" i="8"/>
  <c r="F50" i="8"/>
  <c r="L50" i="8"/>
  <c r="M50" i="8"/>
  <c r="Q50" i="8"/>
  <c r="R50" i="8"/>
  <c r="B51" i="8"/>
  <c r="C51" i="8"/>
  <c r="D51" i="8"/>
  <c r="E51" i="8"/>
  <c r="F51" i="8"/>
  <c r="G51" i="8"/>
  <c r="J51" i="8"/>
  <c r="N51" i="8"/>
  <c r="O51" i="8"/>
  <c r="P51" i="8"/>
  <c r="B52" i="8"/>
  <c r="C52" i="8"/>
  <c r="D52" i="8"/>
  <c r="F52" i="8"/>
  <c r="G52" i="8"/>
  <c r="H52" i="8"/>
  <c r="I52" i="8"/>
  <c r="J52" i="8"/>
  <c r="K52" i="8"/>
  <c r="M52" i="8"/>
  <c r="N52" i="8"/>
  <c r="O52" i="8"/>
  <c r="P52" i="8"/>
  <c r="Q52" i="8"/>
  <c r="R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A55" i="8"/>
  <c r="B55" i="8"/>
  <c r="C55" i="8"/>
  <c r="D55" i="8"/>
  <c r="E55" i="8"/>
  <c r="F55" i="8"/>
  <c r="G55" i="8"/>
  <c r="H55" i="8"/>
  <c r="I55" i="8"/>
  <c r="J55" i="8"/>
  <c r="K55" i="8"/>
  <c r="L55" i="8"/>
  <c r="N55" i="8"/>
  <c r="O55" i="8"/>
  <c r="P55" i="8"/>
  <c r="Q55" i="8"/>
  <c r="A56" i="8"/>
  <c r="D56" i="8"/>
  <c r="H56" i="8"/>
  <c r="I56" i="8"/>
  <c r="K56" i="8"/>
  <c r="L56" i="8"/>
  <c r="M56" i="8"/>
  <c r="O56" i="8"/>
  <c r="B57" i="8"/>
  <c r="C57" i="8"/>
  <c r="F57" i="8"/>
  <c r="I57" i="8"/>
  <c r="J57" i="8"/>
  <c r="L57" i="8"/>
  <c r="N57" i="8"/>
  <c r="Q57" i="8"/>
  <c r="C58" i="8"/>
  <c r="D58" i="8"/>
  <c r="J58" i="8"/>
  <c r="N58" i="8"/>
  <c r="Q58" i="8"/>
  <c r="A59" i="8"/>
  <c r="B59" i="8"/>
  <c r="E59" i="8"/>
  <c r="F59" i="8"/>
  <c r="H59" i="8"/>
  <c r="I59" i="8"/>
  <c r="M59" i="8"/>
  <c r="N59" i="8"/>
  <c r="O59" i="8"/>
  <c r="A60" i="8"/>
  <c r="B63" i="8"/>
  <c r="G63" i="8"/>
  <c r="J63" i="8"/>
  <c r="K63" i="8"/>
  <c r="L63" i="8"/>
  <c r="N63" i="8"/>
  <c r="R63" i="8"/>
  <c r="L64" i="8"/>
  <c r="R64" i="8"/>
  <c r="B65" i="8"/>
  <c r="D65" i="8"/>
  <c r="E65" i="8"/>
  <c r="F65" i="8"/>
  <c r="N65" i="8"/>
  <c r="P65" i="8"/>
  <c r="A66" i="8"/>
  <c r="K66" i="8"/>
  <c r="L66" i="8"/>
  <c r="M66" i="8"/>
  <c r="O66" i="8"/>
  <c r="P66" i="8"/>
  <c r="R66" i="8"/>
  <c r="E67" i="8"/>
  <c r="G67" i="8"/>
  <c r="O67" i="8"/>
  <c r="G68" i="8"/>
  <c r="N68" i="8"/>
  <c r="O68" i="8"/>
  <c r="P68" i="8"/>
  <c r="A69" i="8"/>
  <c r="B69" i="8"/>
  <c r="F69" i="8"/>
  <c r="N69" i="8"/>
  <c r="Q69" i="8"/>
  <c r="E70" i="8"/>
  <c r="I70" i="8"/>
  <c r="L70" i="8"/>
  <c r="N70" i="8"/>
  <c r="O70" i="8"/>
  <c r="P70" i="8"/>
  <c r="B71" i="8"/>
  <c r="C71" i="8"/>
  <c r="D71" i="8"/>
  <c r="E71" i="8"/>
  <c r="I71" i="8"/>
  <c r="J71" i="8"/>
  <c r="K71" i="8"/>
  <c r="L71" i="8"/>
  <c r="M71" i="8"/>
  <c r="N71" i="8"/>
  <c r="O71" i="8"/>
  <c r="K72" i="8"/>
  <c r="L72" i="8"/>
  <c r="Q72" i="8"/>
  <c r="B73" i="8"/>
  <c r="C73" i="8"/>
  <c r="D73" i="8"/>
  <c r="H73" i="8"/>
  <c r="I73" i="8"/>
  <c r="L73" i="8"/>
  <c r="M73" i="8"/>
  <c r="Q73" i="8"/>
  <c r="R73" i="8"/>
  <c r="G74" i="8"/>
  <c r="H74" i="8"/>
  <c r="J74" i="8"/>
  <c r="K74" i="8"/>
  <c r="L74" i="8"/>
  <c r="M74" i="8"/>
  <c r="O74" i="8"/>
  <c r="P74" i="8"/>
  <c r="Q74" i="8"/>
  <c r="B75" i="8"/>
  <c r="R75" i="8"/>
  <c r="F76" i="8"/>
  <c r="K76" i="8"/>
  <c r="M76" i="8"/>
  <c r="Q76" i="8"/>
  <c r="A77" i="8"/>
  <c r="D77" i="8"/>
  <c r="F77" i="8"/>
  <c r="P77" i="8"/>
  <c r="M78" i="8"/>
  <c r="L83" i="8"/>
  <c r="N83" i="8"/>
  <c r="Q83" i="8"/>
  <c r="B84" i="8"/>
  <c r="D84" i="8"/>
  <c r="E84" i="8"/>
  <c r="O84" i="8"/>
  <c r="H85" i="8"/>
  <c r="M85" i="8"/>
  <c r="A86" i="8"/>
  <c r="B86" i="8"/>
  <c r="N86" i="8"/>
  <c r="R86" i="8"/>
  <c r="B87" i="8"/>
  <c r="D87" i="8"/>
  <c r="E87" i="8"/>
  <c r="M87" i="8"/>
  <c r="O87" i="8"/>
  <c r="R87" i="8"/>
  <c r="B88" i="8"/>
  <c r="G88" i="8"/>
  <c r="H88" i="8"/>
  <c r="L88" i="8"/>
  <c r="N88" i="8"/>
  <c r="O88" i="8"/>
  <c r="H89" i="8"/>
  <c r="J89" i="8"/>
  <c r="P89" i="8"/>
  <c r="R89" i="8"/>
  <c r="G5" i="8"/>
  <c r="H5" i="8"/>
  <c r="N5" i="8"/>
  <c r="B6" i="8"/>
  <c r="F6" i="8"/>
  <c r="J6" i="8"/>
  <c r="P6" i="8"/>
  <c r="R6" i="8"/>
  <c r="C7" i="8"/>
  <c r="G7" i="8"/>
  <c r="K7" i="8"/>
  <c r="L7" i="8"/>
  <c r="P7" i="8"/>
  <c r="A8" i="8"/>
  <c r="E8" i="8"/>
  <c r="H8" i="8"/>
  <c r="K8" i="8"/>
  <c r="O8" i="8"/>
  <c r="E9" i="8"/>
  <c r="F9" i="8"/>
  <c r="I9" i="8"/>
  <c r="O9" i="8"/>
  <c r="P9" i="8"/>
  <c r="R9" i="8"/>
  <c r="A10" i="8"/>
  <c r="P10" i="8"/>
  <c r="Q10" i="8"/>
  <c r="R10" i="8"/>
  <c r="A11" i="8"/>
  <c r="B11" i="8"/>
  <c r="D11" i="8"/>
  <c r="F11" i="8"/>
  <c r="G11" i="8"/>
  <c r="H11" i="8"/>
  <c r="I11" i="8"/>
  <c r="J11" i="8"/>
  <c r="O11" i="8"/>
  <c r="P11" i="8"/>
  <c r="A12" i="8"/>
  <c r="B12" i="8"/>
  <c r="H12" i="8"/>
  <c r="Q12" i="8"/>
  <c r="D13" i="8"/>
  <c r="E13" i="8"/>
  <c r="A14" i="8"/>
  <c r="C14" i="8"/>
  <c r="E14" i="8"/>
  <c r="L14" i="8"/>
  <c r="O14" i="8"/>
  <c r="A15" i="8"/>
  <c r="C15" i="8"/>
  <c r="J15" i="8"/>
  <c r="M15" i="8"/>
  <c r="R15" i="8"/>
  <c r="B16" i="8"/>
  <c r="E16" i="8"/>
  <c r="F16" i="8"/>
  <c r="N16" i="8"/>
  <c r="O16" i="8"/>
  <c r="A17" i="8"/>
  <c r="D17" i="8"/>
  <c r="E17" i="8"/>
  <c r="M19" i="8"/>
  <c r="N19" i="8"/>
  <c r="O19" i="8"/>
  <c r="K20" i="8"/>
  <c r="O20" i="8"/>
  <c r="P20" i="8"/>
  <c r="Q20" i="8"/>
  <c r="A21" i="8"/>
  <c r="B21" i="8"/>
  <c r="K21" i="8"/>
  <c r="L21" i="8"/>
  <c r="N21" i="8"/>
  <c r="P21" i="8"/>
  <c r="Q21" i="8"/>
  <c r="E22" i="8"/>
  <c r="F22" i="8"/>
  <c r="P22" i="8"/>
  <c r="Q22" i="8"/>
  <c r="R22" i="8"/>
  <c r="A23" i="8"/>
  <c r="C23" i="8"/>
  <c r="G23" i="8"/>
  <c r="I23" i="8"/>
  <c r="K23" i="8"/>
  <c r="P23" i="8"/>
  <c r="Q23" i="8"/>
  <c r="C24" i="8"/>
  <c r="H24" i="8"/>
  <c r="D25" i="8"/>
  <c r="E25" i="8"/>
  <c r="N25" i="8"/>
  <c r="O25" i="8"/>
  <c r="P25" i="8"/>
  <c r="Q25" i="8"/>
  <c r="E26" i="8"/>
  <c r="J26" i="8"/>
  <c r="A27" i="8"/>
  <c r="C27" i="8"/>
  <c r="K27" i="8"/>
  <c r="N27" i="8"/>
  <c r="A28" i="8"/>
  <c r="B28" i="8"/>
  <c r="E28" i="8"/>
  <c r="J28" i="8"/>
  <c r="N28" i="8"/>
  <c r="O28" i="8"/>
  <c r="R28" i="8"/>
  <c r="E29" i="8"/>
  <c r="K29" i="8"/>
  <c r="L29" i="8"/>
  <c r="M29" i="8"/>
  <c r="N29" i="8"/>
  <c r="O29" i="8"/>
  <c r="B30" i="8"/>
  <c r="C30" i="8"/>
  <c r="F30" i="8"/>
  <c r="I30" i="8"/>
  <c r="M30" i="8"/>
  <c r="D31" i="8"/>
  <c r="G31" i="8"/>
  <c r="I31" i="8"/>
  <c r="M31" i="8"/>
  <c r="O31" i="8"/>
  <c r="Q31" i="8"/>
  <c r="C32" i="8"/>
  <c r="E32" i="8"/>
  <c r="F32" i="8"/>
  <c r="J32" i="8"/>
  <c r="M32" i="8"/>
  <c r="N32" i="8"/>
  <c r="O32" i="8"/>
  <c r="D33" i="8"/>
  <c r="I33" i="8"/>
  <c r="N33" i="8"/>
  <c r="C34" i="8"/>
  <c r="D34" i="8"/>
  <c r="B35" i="8"/>
  <c r="C35" i="8"/>
  <c r="D35" i="8"/>
  <c r="L35" i="8"/>
  <c r="M35" i="8"/>
  <c r="D36" i="8"/>
  <c r="M36" i="8"/>
  <c r="P36" i="8"/>
  <c r="Q36" i="8"/>
  <c r="R36" i="8"/>
  <c r="C37" i="8"/>
  <c r="O38" i="8"/>
  <c r="P38" i="8"/>
  <c r="A39" i="8"/>
  <c r="C39" i="8"/>
  <c r="E39" i="8"/>
  <c r="F39" i="8"/>
  <c r="J39" i="8"/>
  <c r="K39" i="8"/>
  <c r="O39" i="8"/>
  <c r="Q39" i="8"/>
  <c r="A40" i="8"/>
  <c r="B40" i="8"/>
  <c r="F40" i="8"/>
  <c r="L40" i="8"/>
  <c r="N40" i="8"/>
  <c r="O40" i="8"/>
  <c r="R40" i="8"/>
  <c r="A41" i="8"/>
  <c r="E41" i="8"/>
  <c r="H41" i="8"/>
  <c r="I41" i="8"/>
  <c r="J41" i="8"/>
  <c r="K41" i="8"/>
  <c r="L41" i="8"/>
  <c r="M41" i="8"/>
  <c r="N41" i="8"/>
  <c r="O41" i="8"/>
  <c r="P41" i="8"/>
  <c r="Q41" i="8"/>
  <c r="R41" i="8"/>
  <c r="A42" i="8"/>
  <c r="C42" i="8"/>
  <c r="D42" i="8"/>
  <c r="E42" i="8"/>
  <c r="G42" i="8"/>
  <c r="H42" i="8"/>
  <c r="I42" i="8"/>
  <c r="K42" i="8"/>
  <c r="L42" i="8"/>
  <c r="M42" i="8"/>
  <c r="N42" i="8"/>
  <c r="O42" i="8"/>
  <c r="P42" i="8"/>
  <c r="R42" i="8"/>
  <c r="A43" i="8"/>
  <c r="B43" i="8"/>
  <c r="D43" i="8"/>
  <c r="E43" i="8"/>
  <c r="H43" i="8"/>
  <c r="I43" i="8"/>
  <c r="J43" i="8"/>
  <c r="K43" i="8"/>
  <c r="M43" i="8"/>
  <c r="N43" i="8"/>
  <c r="O43" i="8"/>
  <c r="Q43" i="8"/>
  <c r="A44" i="8"/>
  <c r="B44" i="8"/>
  <c r="C44" i="8"/>
  <c r="D44" i="8"/>
  <c r="G44" i="8"/>
  <c r="H44" i="8"/>
  <c r="I44" i="8"/>
  <c r="J44" i="8"/>
  <c r="K44" i="8"/>
  <c r="P44" i="8"/>
  <c r="Q44" i="8"/>
  <c r="A45" i="8"/>
  <c r="B45" i="8"/>
  <c r="C45" i="8"/>
  <c r="G45" i="8"/>
  <c r="H45" i="8"/>
  <c r="J45" i="8"/>
  <c r="K45" i="8"/>
  <c r="L45" i="8"/>
  <c r="P45" i="8"/>
  <c r="A46" i="8"/>
  <c r="C46" i="8"/>
  <c r="D46" i="8"/>
  <c r="H46" i="8"/>
  <c r="I46" i="8"/>
  <c r="J46" i="8"/>
  <c r="M46" i="8"/>
  <c r="O46" i="8"/>
  <c r="Q46" i="8"/>
  <c r="R46" i="8"/>
  <c r="A47" i="8"/>
  <c r="B47" i="8"/>
  <c r="C47" i="8"/>
  <c r="F47" i="8"/>
  <c r="G47" i="8"/>
  <c r="K47" i="8"/>
  <c r="M47" i="8"/>
  <c r="N47" i="8"/>
  <c r="O47" i="8"/>
  <c r="P47" i="8"/>
  <c r="Q47" i="8"/>
  <c r="C48" i="8"/>
  <c r="D48" i="8"/>
  <c r="G48" i="8"/>
  <c r="H48" i="8"/>
  <c r="I48" i="8"/>
  <c r="K48" i="8"/>
  <c r="L48" i="8"/>
  <c r="M48" i="8"/>
  <c r="O48" i="8"/>
  <c r="R48" i="8"/>
  <c r="A49" i="8"/>
  <c r="B49" i="8"/>
  <c r="F49" i="8"/>
  <c r="M49" i="8"/>
  <c r="O49" i="8"/>
  <c r="R49" i="8"/>
  <c r="A50" i="8"/>
  <c r="B50" i="8"/>
  <c r="C50" i="8"/>
  <c r="D50" i="8"/>
  <c r="E50" i="8"/>
  <c r="G50" i="8"/>
  <c r="H50" i="8"/>
  <c r="I50" i="8"/>
  <c r="J50" i="8"/>
  <c r="K50" i="8"/>
  <c r="N50" i="8"/>
  <c r="O50" i="8"/>
  <c r="P50" i="8"/>
  <c r="A51" i="8"/>
  <c r="H51" i="8"/>
  <c r="I51" i="8"/>
  <c r="K51" i="8"/>
  <c r="L51" i="8"/>
  <c r="M51" i="8"/>
  <c r="Q51" i="8"/>
  <c r="R51" i="8"/>
  <c r="A52" i="8"/>
  <c r="E52" i="8"/>
  <c r="L52" i="8"/>
  <c r="M55" i="8"/>
  <c r="R55" i="8"/>
  <c r="B56" i="8"/>
  <c r="C56" i="8"/>
  <c r="E56" i="8"/>
  <c r="F56" i="8"/>
  <c r="G56" i="8"/>
  <c r="J56" i="8"/>
  <c r="N56" i="8"/>
  <c r="P56" i="8"/>
  <c r="Q56" i="8"/>
  <c r="R56" i="8"/>
  <c r="A57" i="8"/>
  <c r="D57" i="8"/>
  <c r="E57" i="8"/>
  <c r="G57" i="8"/>
  <c r="H57" i="8"/>
  <c r="K57" i="8"/>
  <c r="M57" i="8"/>
  <c r="O57" i="8"/>
  <c r="P57" i="8"/>
  <c r="R57" i="8"/>
  <c r="A58" i="8"/>
  <c r="B58" i="8"/>
  <c r="E58" i="8"/>
  <c r="F58" i="8"/>
  <c r="G58" i="8"/>
  <c r="H58" i="8"/>
  <c r="I58" i="8"/>
  <c r="K58" i="8"/>
  <c r="L58" i="8"/>
  <c r="M58" i="8"/>
  <c r="O58" i="8"/>
  <c r="P58" i="8"/>
  <c r="R58" i="8"/>
  <c r="C59" i="8"/>
  <c r="D59" i="8"/>
  <c r="G59" i="8"/>
  <c r="J59" i="8"/>
  <c r="K59" i="8"/>
  <c r="L59" i="8"/>
  <c r="P59" i="8"/>
  <c r="Q59" i="8"/>
  <c r="R59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A63" i="8"/>
  <c r="C63" i="8"/>
  <c r="D63" i="8"/>
  <c r="E63" i="8"/>
  <c r="F63" i="8"/>
  <c r="H63" i="8"/>
  <c r="I63" i="8"/>
  <c r="O63" i="8"/>
  <c r="Q63" i="8"/>
  <c r="A64" i="8"/>
  <c r="D64" i="8"/>
  <c r="G64" i="8"/>
  <c r="J64" i="8"/>
  <c r="K64" i="8"/>
  <c r="O64" i="8"/>
  <c r="J65" i="8"/>
  <c r="M65" i="8"/>
  <c r="C66" i="8"/>
  <c r="D66" i="8"/>
  <c r="Q66" i="8"/>
  <c r="H67" i="8"/>
  <c r="J67" i="8"/>
  <c r="L67" i="8"/>
  <c r="M67" i="8"/>
  <c r="Q67" i="8"/>
  <c r="R67" i="8"/>
  <c r="C68" i="8"/>
  <c r="K68" i="8"/>
  <c r="R68" i="8"/>
  <c r="E69" i="8"/>
  <c r="K69" i="8"/>
  <c r="L69" i="8"/>
  <c r="A70" i="8"/>
  <c r="C70" i="8"/>
  <c r="R74" i="8"/>
  <c r="C75" i="8"/>
  <c r="J75" i="8"/>
  <c r="M75" i="8"/>
  <c r="N75" i="8"/>
  <c r="P75" i="8"/>
  <c r="Q75" i="8"/>
  <c r="B76" i="8"/>
  <c r="P76" i="8"/>
  <c r="R76" i="8"/>
  <c r="G77" i="8"/>
  <c r="I77" i="8"/>
  <c r="J77" i="8"/>
  <c r="K77" i="8"/>
  <c r="O77" i="8"/>
  <c r="F78" i="8"/>
  <c r="K78" i="8"/>
  <c r="L78" i="8"/>
  <c r="P78" i="8"/>
  <c r="R78" i="8"/>
  <c r="J79" i="8"/>
  <c r="L79" i="8"/>
  <c r="O79" i="8"/>
  <c r="Q79" i="8"/>
  <c r="R79" i="8"/>
  <c r="A80" i="8"/>
  <c r="E80" i="8"/>
  <c r="H80" i="8"/>
  <c r="J80" i="8"/>
  <c r="P80" i="8"/>
  <c r="R80" i="8"/>
  <c r="C81" i="8"/>
  <c r="D81" i="8"/>
  <c r="G81" i="8"/>
  <c r="L81" i="8"/>
  <c r="M81" i="8"/>
  <c r="Q81" i="8"/>
  <c r="R81" i="8"/>
  <c r="E82" i="8"/>
  <c r="H82" i="8"/>
  <c r="J82" i="8"/>
  <c r="K82" i="8"/>
  <c r="O82" i="8"/>
  <c r="C83" i="8"/>
  <c r="D83" i="8"/>
  <c r="G83" i="8"/>
  <c r="M83" i="8"/>
  <c r="R83" i="8"/>
  <c r="A84" i="8"/>
  <c r="J84" i="8"/>
  <c r="K84" i="8"/>
  <c r="Q84" i="8"/>
  <c r="R84" i="8"/>
  <c r="E85" i="8"/>
  <c r="I85" i="8"/>
  <c r="Q85" i="8"/>
  <c r="R85" i="8"/>
  <c r="G86" i="8"/>
  <c r="I86" i="8"/>
  <c r="K86" i="8"/>
  <c r="A87" i="8"/>
  <c r="C87" i="8"/>
  <c r="F87" i="8"/>
  <c r="G87" i="8"/>
  <c r="H87" i="8"/>
  <c r="A88" i="8"/>
  <c r="P150" i="8"/>
  <c r="Q150" i="8"/>
  <c r="R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O113" i="8"/>
  <c r="Q152" i="8"/>
  <c r="R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A173" i="8"/>
  <c r="B173" i="8"/>
  <c r="C173" i="8"/>
  <c r="D173" i="8"/>
  <c r="E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A178" i="8"/>
  <c r="B178" i="8"/>
  <c r="C178" i="8"/>
  <c r="D178" i="8"/>
  <c r="E178" i="8"/>
  <c r="F178" i="8"/>
  <c r="I178" i="8"/>
  <c r="O178" i="8"/>
  <c r="Q178" i="8"/>
  <c r="F179" i="8"/>
  <c r="G179" i="8"/>
  <c r="H179" i="8"/>
  <c r="I179" i="8"/>
  <c r="L179" i="8"/>
  <c r="M179" i="8"/>
  <c r="N179" i="8"/>
  <c r="Q179" i="8"/>
  <c r="R179" i="8"/>
  <c r="B180" i="8"/>
  <c r="C180" i="8"/>
  <c r="F180" i="8"/>
  <c r="G180" i="8"/>
  <c r="P180" i="8"/>
  <c r="A92" i="8"/>
  <c r="F173" i="8"/>
  <c r="G178" i="8"/>
  <c r="H178" i="8"/>
  <c r="J178" i="8"/>
  <c r="K178" i="8"/>
  <c r="L178" i="8"/>
  <c r="M178" i="8"/>
  <c r="N178" i="8"/>
  <c r="P178" i="8"/>
  <c r="R178" i="8"/>
  <c r="A179" i="8"/>
  <c r="B179" i="8"/>
  <c r="C179" i="8"/>
  <c r="D179" i="8"/>
  <c r="E179" i="8"/>
  <c r="J179" i="8"/>
  <c r="K179" i="8"/>
  <c r="O179" i="8"/>
  <c r="P179" i="8"/>
  <c r="A180" i="8"/>
  <c r="D180" i="8"/>
  <c r="E180" i="8"/>
  <c r="H180" i="8"/>
  <c r="I180" i="8"/>
  <c r="J180" i="8"/>
  <c r="K180" i="8"/>
  <c r="L180" i="8"/>
  <c r="M180" i="8"/>
  <c r="N180" i="8"/>
  <c r="O180" i="8"/>
  <c r="Q180" i="8"/>
  <c r="R180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P113" i="8"/>
  <c r="Q113" i="8"/>
  <c r="R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A129" i="8"/>
  <c r="B129" i="8"/>
  <c r="P152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B1111" i="14"/>
  <c r="B1116" i="14" s="1"/>
  <c r="B1121" i="14" s="1"/>
  <c r="B1126" i="14" s="1"/>
  <c r="B1131" i="14" s="1"/>
  <c r="B1136" i="14" s="1"/>
  <c r="B1141" i="14" s="1"/>
  <c r="B1146" i="14" s="1"/>
  <c r="B1151" i="14" s="1"/>
  <c r="B1156" i="14" s="1"/>
  <c r="B1161" i="14" s="1"/>
  <c r="B1166" i="14" s="1"/>
  <c r="B1171" i="14" s="1"/>
  <c r="B1176" i="14" s="1"/>
  <c r="B1181" i="14" s="1"/>
  <c r="B1186" i="14" s="1"/>
  <c r="B1191" i="14" s="1"/>
  <c r="B1196" i="14" s="1"/>
  <c r="B1201" i="14" s="1"/>
  <c r="B1206" i="14" s="1"/>
  <c r="B1211" i="14" s="1"/>
  <c r="B1216" i="14" s="1"/>
  <c r="B1221" i="14" s="1"/>
  <c r="B1226" i="14" s="1"/>
  <c r="B1231" i="14" s="1"/>
  <c r="B1236" i="14" s="1"/>
  <c r="B1241" i="14" s="1"/>
  <c r="B1246" i="14" s="1"/>
  <c r="B1251" i="14" s="1"/>
  <c r="B1256" i="14" s="1"/>
  <c r="B1261" i="14" s="1"/>
  <c r="B1266" i="14" s="1"/>
  <c r="B1271" i="14" s="1"/>
  <c r="B1276" i="14" s="1"/>
  <c r="B1281" i="14" s="1"/>
  <c r="B1286" i="14" s="1"/>
  <c r="B1291" i="14" s="1"/>
  <c r="B1296" i="14" s="1"/>
  <c r="B1301" i="14" s="1"/>
  <c r="B1306" i="14" s="1"/>
  <c r="B1311" i="14" s="1"/>
  <c r="B1316" i="14" s="1"/>
  <c r="B1321" i="14" s="1"/>
  <c r="B1326" i="14" s="1"/>
  <c r="B1331" i="14" s="1"/>
  <c r="B1336" i="14" s="1"/>
  <c r="B1341" i="14" s="1"/>
  <c r="B1346" i="14" s="1"/>
  <c r="B1351" i="14" s="1"/>
  <c r="B1356" i="14" s="1"/>
  <c r="B1361" i="14" s="1"/>
  <c r="B1366" i="14" s="1"/>
  <c r="B1371" i="14" s="1"/>
  <c r="B1376" i="14" s="1"/>
  <c r="B1381" i="14" s="1"/>
  <c r="B1386" i="14" s="1"/>
  <c r="B1391" i="14" s="1"/>
  <c r="B1396" i="14" s="1"/>
  <c r="B1401" i="14" s="1"/>
  <c r="B1406" i="14" s="1"/>
  <c r="B1411" i="14" s="1"/>
  <c r="B1416" i="14" s="1"/>
  <c r="B1421" i="14" s="1"/>
  <c r="B1426" i="14" s="1"/>
  <c r="B1431" i="14" s="1"/>
  <c r="B1436" i="14" s="1"/>
  <c r="B1441" i="14" s="1"/>
  <c r="B1446" i="14" s="1"/>
  <c r="B1451" i="14" s="1"/>
  <c r="B1456" i="14" s="1"/>
  <c r="B1461" i="14" s="1"/>
  <c r="B1466" i="14" s="1"/>
  <c r="B1471" i="14" s="1"/>
  <c r="B1476" i="14" s="1"/>
  <c r="B1481" i="14" s="1"/>
  <c r="B1486" i="14" s="1"/>
  <c r="B1491" i="14" s="1"/>
  <c r="B1496" i="14" s="1"/>
  <c r="B1501" i="14" s="1"/>
  <c r="B1506" i="14" s="1"/>
  <c r="B1511" i="14" s="1"/>
  <c r="B1516" i="14" s="1"/>
  <c r="B1521" i="14" s="1"/>
  <c r="B1526" i="14" s="1"/>
  <c r="B1531" i="14" s="1"/>
  <c r="B1536" i="14" s="1"/>
  <c r="B1541" i="14" s="1"/>
  <c r="B1546" i="14" s="1"/>
  <c r="B1551" i="14" s="1"/>
  <c r="B1556" i="14" s="1"/>
  <c r="B1561" i="14" s="1"/>
  <c r="B1566" i="14" s="1"/>
  <c r="B1571" i="14" s="1"/>
  <c r="B1576" i="14" s="1"/>
  <c r="B1581" i="14" s="1"/>
  <c r="B1586" i="14" s="1"/>
  <c r="B1591" i="14" s="1"/>
  <c r="B1596" i="14" s="1"/>
  <c r="B1601" i="14" s="1"/>
  <c r="B1606" i="14" s="1"/>
  <c r="B1611" i="14" s="1"/>
  <c r="B1616" i="14" s="1"/>
  <c r="B1621" i="14" s="1"/>
  <c r="B1626" i="14" s="1"/>
  <c r="B1631" i="14" s="1"/>
  <c r="B1636" i="14" s="1"/>
  <c r="B1641" i="14" s="1"/>
  <c r="B1646" i="14" s="1"/>
  <c r="B1651" i="14" s="1"/>
  <c r="B1656" i="14" s="1"/>
  <c r="B1661" i="14" s="1"/>
  <c r="B1666" i="14" s="1"/>
  <c r="B1671" i="14" s="1"/>
  <c r="B1676" i="14" s="1"/>
  <c r="B1681" i="14" s="1"/>
  <c r="B1686" i="14" s="1"/>
  <c r="B1691" i="14" s="1"/>
  <c r="B1696" i="14" s="1"/>
  <c r="B1701" i="14" s="1"/>
  <c r="B1706" i="14" s="1"/>
  <c r="B1711" i="14" s="1"/>
  <c r="B1716" i="14" s="1"/>
  <c r="B1721" i="14" s="1"/>
  <c r="B1726" i="14" s="1"/>
  <c r="B1731" i="14" s="1"/>
  <c r="B1736" i="14" s="1"/>
  <c r="B1741" i="14" s="1"/>
  <c r="B1746" i="14" s="1"/>
  <c r="B1751" i="14" s="1"/>
  <c r="B1756" i="14" s="1"/>
  <c r="B1761" i="14" s="1"/>
  <c r="B1766" i="14" s="1"/>
  <c r="B1771" i="14" s="1"/>
  <c r="B1776" i="14" s="1"/>
  <c r="B1781" i="14" s="1"/>
  <c r="B1786" i="14" s="1"/>
  <c r="B1791" i="14" s="1"/>
  <c r="B1796" i="14" s="1"/>
  <c r="B1801" i="14" s="1"/>
  <c r="B1806" i="14" s="1"/>
  <c r="B1112" i="14"/>
  <c r="B1117" i="14" s="1"/>
  <c r="B1122" i="14" s="1"/>
  <c r="B1127" i="14" s="1"/>
  <c r="B1132" i="14" s="1"/>
  <c r="B1137" i="14" s="1"/>
  <c r="B1142" i="14" s="1"/>
  <c r="B1147" i="14" s="1"/>
  <c r="B1152" i="14" s="1"/>
  <c r="B1157" i="14" s="1"/>
  <c r="B1162" i="14" s="1"/>
  <c r="B1167" i="14" s="1"/>
  <c r="B1172" i="14" s="1"/>
  <c r="B1177" i="14" s="1"/>
  <c r="B1182" i="14" s="1"/>
  <c r="B1187" i="14" s="1"/>
  <c r="B1192" i="14" s="1"/>
  <c r="B1197" i="14" s="1"/>
  <c r="B1202" i="14" s="1"/>
  <c r="B1207" i="14" s="1"/>
  <c r="B1212" i="14" s="1"/>
  <c r="B1217" i="14" s="1"/>
  <c r="B1222" i="14" s="1"/>
  <c r="B1227" i="14" s="1"/>
  <c r="B1232" i="14" s="1"/>
  <c r="B1237" i="14" s="1"/>
  <c r="B1242" i="14" s="1"/>
  <c r="B1247" i="14" s="1"/>
  <c r="B1252" i="14" s="1"/>
  <c r="B1257" i="14" s="1"/>
  <c r="B1262" i="14" s="1"/>
  <c r="B1267" i="14" s="1"/>
  <c r="B1272" i="14" s="1"/>
  <c r="B1277" i="14" s="1"/>
  <c r="B1282" i="14" s="1"/>
  <c r="B1287" i="14" s="1"/>
  <c r="B1292" i="14" s="1"/>
  <c r="B1297" i="14" s="1"/>
  <c r="B1302" i="14" s="1"/>
  <c r="B1307" i="14" s="1"/>
  <c r="B1312" i="14" s="1"/>
  <c r="B1317" i="14" s="1"/>
  <c r="B1322" i="14" s="1"/>
  <c r="B1327" i="14" s="1"/>
  <c r="B1332" i="14" s="1"/>
  <c r="B1337" i="14" s="1"/>
  <c r="B1342" i="14" s="1"/>
  <c r="B1347" i="14" s="1"/>
  <c r="B1352" i="14" s="1"/>
  <c r="B1357" i="14" s="1"/>
  <c r="B1362" i="14" s="1"/>
  <c r="B1367" i="14" s="1"/>
  <c r="B1372" i="14" s="1"/>
  <c r="B1377" i="14" s="1"/>
  <c r="B1382" i="14" s="1"/>
  <c r="B1387" i="14" s="1"/>
  <c r="B1392" i="14" s="1"/>
  <c r="B1397" i="14" s="1"/>
  <c r="B1402" i="14" s="1"/>
  <c r="B1407" i="14" s="1"/>
  <c r="B1412" i="14" s="1"/>
  <c r="B1417" i="14" s="1"/>
  <c r="B1422" i="14" s="1"/>
  <c r="B1427" i="14" s="1"/>
  <c r="B1432" i="14" s="1"/>
  <c r="B1437" i="14" s="1"/>
  <c r="B1442" i="14" s="1"/>
  <c r="B1447" i="14" s="1"/>
  <c r="B1452" i="14" s="1"/>
  <c r="B1457" i="14" s="1"/>
  <c r="B1462" i="14" s="1"/>
  <c r="B1467" i="14" s="1"/>
  <c r="B1472" i="14" s="1"/>
  <c r="B1477" i="14" s="1"/>
  <c r="B1482" i="14" s="1"/>
  <c r="B1487" i="14" s="1"/>
  <c r="B1492" i="14" s="1"/>
  <c r="B1497" i="14" s="1"/>
  <c r="B1502" i="14" s="1"/>
  <c r="B1507" i="14" s="1"/>
  <c r="B1512" i="14" s="1"/>
  <c r="B1517" i="14" s="1"/>
  <c r="B1522" i="14" s="1"/>
  <c r="B1527" i="14" s="1"/>
  <c r="B1532" i="14" s="1"/>
  <c r="B1537" i="14" s="1"/>
  <c r="B1542" i="14" s="1"/>
  <c r="B1547" i="14" s="1"/>
  <c r="B1552" i="14" s="1"/>
  <c r="B1557" i="14" s="1"/>
  <c r="B1562" i="14" s="1"/>
  <c r="B1567" i="14" s="1"/>
  <c r="B1572" i="14" s="1"/>
  <c r="B1577" i="14" s="1"/>
  <c r="B1582" i="14" s="1"/>
  <c r="B1587" i="14" s="1"/>
  <c r="B1592" i="14" s="1"/>
  <c r="B1597" i="14" s="1"/>
  <c r="B1602" i="14" s="1"/>
  <c r="B1607" i="14" s="1"/>
  <c r="B1612" i="14" s="1"/>
  <c r="B1617" i="14" s="1"/>
  <c r="B1622" i="14" s="1"/>
  <c r="B1627" i="14" s="1"/>
  <c r="B1632" i="14" s="1"/>
  <c r="B1637" i="14" s="1"/>
  <c r="B1642" i="14" s="1"/>
  <c r="B1647" i="14" s="1"/>
  <c r="B1652" i="14" s="1"/>
  <c r="B1657" i="14" s="1"/>
  <c r="B1662" i="14" s="1"/>
  <c r="B1667" i="14" s="1"/>
  <c r="B1672" i="14" s="1"/>
  <c r="B1677" i="14" s="1"/>
  <c r="B1682" i="14" s="1"/>
  <c r="B1687" i="14" s="1"/>
  <c r="B1692" i="14" s="1"/>
  <c r="B1697" i="14" s="1"/>
  <c r="B1702" i="14" s="1"/>
  <c r="B1707" i="14" s="1"/>
  <c r="B1712" i="14" s="1"/>
  <c r="B1717" i="14" s="1"/>
  <c r="B1722" i="14" s="1"/>
  <c r="B1727" i="14" s="1"/>
  <c r="B1732" i="14" s="1"/>
  <c r="B1737" i="14" s="1"/>
  <c r="B1742" i="14" s="1"/>
  <c r="B1747" i="14" s="1"/>
  <c r="B1752" i="14" s="1"/>
  <c r="B1757" i="14" s="1"/>
  <c r="B1762" i="14" s="1"/>
  <c r="B1767" i="14" s="1"/>
  <c r="B1772" i="14" s="1"/>
  <c r="B1777" i="14" s="1"/>
  <c r="B1782" i="14" s="1"/>
  <c r="B1787" i="14" s="1"/>
  <c r="B1792" i="14" s="1"/>
  <c r="B1797" i="14" s="1"/>
  <c r="B1802" i="14" s="1"/>
  <c r="B1807" i="14" s="1"/>
  <c r="B1113" i="14"/>
  <c r="B1118" i="14" s="1"/>
  <c r="B1123" i="14" s="1"/>
  <c r="B1128" i="14" s="1"/>
  <c r="B1133" i="14" s="1"/>
  <c r="B1138" i="14" s="1"/>
  <c r="B1143" i="14" s="1"/>
  <c r="B1148" i="14" s="1"/>
  <c r="B1153" i="14" s="1"/>
  <c r="B1158" i="14" s="1"/>
  <c r="B1163" i="14" s="1"/>
  <c r="B1168" i="14" s="1"/>
  <c r="B1173" i="14" s="1"/>
  <c r="B1178" i="14" s="1"/>
  <c r="B1183" i="14" s="1"/>
  <c r="B1188" i="14" s="1"/>
  <c r="B1193" i="14" s="1"/>
  <c r="B1198" i="14" s="1"/>
  <c r="B1203" i="14" s="1"/>
  <c r="B1208" i="14" s="1"/>
  <c r="B1213" i="14" s="1"/>
  <c r="B1218" i="14" s="1"/>
  <c r="B1223" i="14" s="1"/>
  <c r="B1228" i="14" s="1"/>
  <c r="B1233" i="14" s="1"/>
  <c r="B1238" i="14" s="1"/>
  <c r="B1243" i="14" s="1"/>
  <c r="B1248" i="14" s="1"/>
  <c r="B1253" i="14" s="1"/>
  <c r="B1258" i="14" s="1"/>
  <c r="B1263" i="14" s="1"/>
  <c r="B1268" i="14" s="1"/>
  <c r="B1273" i="14" s="1"/>
  <c r="B1278" i="14" s="1"/>
  <c r="B1283" i="14" s="1"/>
  <c r="B1288" i="14" s="1"/>
  <c r="B1293" i="14" s="1"/>
  <c r="B1298" i="14" s="1"/>
  <c r="B1303" i="14" s="1"/>
  <c r="B1308" i="14" s="1"/>
  <c r="B1313" i="14" s="1"/>
  <c r="B1318" i="14" s="1"/>
  <c r="B1323" i="14" s="1"/>
  <c r="B1328" i="14" s="1"/>
  <c r="B1333" i="14" s="1"/>
  <c r="B1338" i="14" s="1"/>
  <c r="B1343" i="14" s="1"/>
  <c r="B1348" i="14" s="1"/>
  <c r="B1353" i="14" s="1"/>
  <c r="B1358" i="14" s="1"/>
  <c r="B1363" i="14" s="1"/>
  <c r="B1368" i="14" s="1"/>
  <c r="B1373" i="14" s="1"/>
  <c r="B1378" i="14" s="1"/>
  <c r="B1383" i="14" s="1"/>
  <c r="B1388" i="14" s="1"/>
  <c r="B1393" i="14" s="1"/>
  <c r="B1398" i="14" s="1"/>
  <c r="B1403" i="14" s="1"/>
  <c r="B1408" i="14" s="1"/>
  <c r="B1413" i="14" s="1"/>
  <c r="B1418" i="14" s="1"/>
  <c r="B1423" i="14" s="1"/>
  <c r="B1428" i="14" s="1"/>
  <c r="B1433" i="14" s="1"/>
  <c r="B1438" i="14" s="1"/>
  <c r="B1443" i="14" s="1"/>
  <c r="B1448" i="14" s="1"/>
  <c r="B1453" i="14" s="1"/>
  <c r="B1458" i="14" s="1"/>
  <c r="B1463" i="14" s="1"/>
  <c r="B1468" i="14" s="1"/>
  <c r="B1473" i="14" s="1"/>
  <c r="B1478" i="14" s="1"/>
  <c r="B1483" i="14" s="1"/>
  <c r="B1488" i="14" s="1"/>
  <c r="B1493" i="14" s="1"/>
  <c r="B1498" i="14" s="1"/>
  <c r="B1503" i="14" s="1"/>
  <c r="B1508" i="14" s="1"/>
  <c r="B1513" i="14" s="1"/>
  <c r="B1518" i="14" s="1"/>
  <c r="B1523" i="14" s="1"/>
  <c r="B1528" i="14" s="1"/>
  <c r="B1533" i="14" s="1"/>
  <c r="B1538" i="14" s="1"/>
  <c r="B1543" i="14" s="1"/>
  <c r="B1548" i="14" s="1"/>
  <c r="B1553" i="14" s="1"/>
  <c r="B1558" i="14" s="1"/>
  <c r="B1563" i="14" s="1"/>
  <c r="B1568" i="14" s="1"/>
  <c r="B1573" i="14" s="1"/>
  <c r="B1578" i="14" s="1"/>
  <c r="B1583" i="14" s="1"/>
  <c r="B1588" i="14" s="1"/>
  <c r="B1593" i="14" s="1"/>
  <c r="B1598" i="14" s="1"/>
  <c r="B1603" i="14" s="1"/>
  <c r="B1608" i="14" s="1"/>
  <c r="B1613" i="14" s="1"/>
  <c r="B1618" i="14" s="1"/>
  <c r="B1623" i="14" s="1"/>
  <c r="B1628" i="14" s="1"/>
  <c r="B1633" i="14" s="1"/>
  <c r="B1638" i="14" s="1"/>
  <c r="B1643" i="14" s="1"/>
  <c r="B1648" i="14" s="1"/>
  <c r="B1653" i="14" s="1"/>
  <c r="B1658" i="14" s="1"/>
  <c r="B1663" i="14" s="1"/>
  <c r="B1668" i="14" s="1"/>
  <c r="B1673" i="14" s="1"/>
  <c r="B1678" i="14" s="1"/>
  <c r="B1683" i="14" s="1"/>
  <c r="B1688" i="14" s="1"/>
  <c r="B1693" i="14" s="1"/>
  <c r="B1698" i="14" s="1"/>
  <c r="B1703" i="14" s="1"/>
  <c r="B1708" i="14" s="1"/>
  <c r="B1713" i="14" s="1"/>
  <c r="B1718" i="14" s="1"/>
  <c r="B1723" i="14" s="1"/>
  <c r="B1728" i="14" s="1"/>
  <c r="B1733" i="14" s="1"/>
  <c r="B1738" i="14" s="1"/>
  <c r="B1743" i="14" s="1"/>
  <c r="B1748" i="14" s="1"/>
  <c r="B1753" i="14" s="1"/>
  <c r="B1758" i="14" s="1"/>
  <c r="B1763" i="14" s="1"/>
  <c r="B1768" i="14" s="1"/>
  <c r="B1773" i="14" s="1"/>
  <c r="B1778" i="14" s="1"/>
  <c r="B1783" i="14" s="1"/>
  <c r="B1788" i="14" s="1"/>
  <c r="B1793" i="14" s="1"/>
  <c r="B1798" i="14" s="1"/>
  <c r="B1803" i="14" s="1"/>
  <c r="B1808" i="14" s="1"/>
  <c r="B1114" i="14"/>
  <c r="B1119" i="14" s="1"/>
  <c r="B1124" i="14" s="1"/>
  <c r="B1129" i="14" s="1"/>
  <c r="B1134" i="14" s="1"/>
  <c r="B1139" i="14" s="1"/>
  <c r="B1144" i="14" s="1"/>
  <c r="B1149" i="14" s="1"/>
  <c r="B1154" i="14" s="1"/>
  <c r="B1159" i="14" s="1"/>
  <c r="B1164" i="14" s="1"/>
  <c r="B1169" i="14" s="1"/>
  <c r="B1174" i="14" s="1"/>
  <c r="B1179" i="14" s="1"/>
  <c r="B1184" i="14" s="1"/>
  <c r="B1189" i="14" s="1"/>
  <c r="B1194" i="14" s="1"/>
  <c r="B1199" i="14" s="1"/>
  <c r="B1204" i="14" s="1"/>
  <c r="B1209" i="14" s="1"/>
  <c r="B1214" i="14" s="1"/>
  <c r="B1219" i="14" s="1"/>
  <c r="B1224" i="14" s="1"/>
  <c r="B1229" i="14" s="1"/>
  <c r="B1234" i="14" s="1"/>
  <c r="B1239" i="14" s="1"/>
  <c r="B1244" i="14" s="1"/>
  <c r="B1249" i="14" s="1"/>
  <c r="B1254" i="14" s="1"/>
  <c r="B1259" i="14" s="1"/>
  <c r="B1264" i="14" s="1"/>
  <c r="B1269" i="14" s="1"/>
  <c r="B1274" i="14" s="1"/>
  <c r="B1279" i="14" s="1"/>
  <c r="B1284" i="14" s="1"/>
  <c r="B1289" i="14" s="1"/>
  <c r="B1294" i="14" s="1"/>
  <c r="B1299" i="14" s="1"/>
  <c r="B1304" i="14" s="1"/>
  <c r="B1309" i="14" s="1"/>
  <c r="B1314" i="14" s="1"/>
  <c r="B1319" i="14" s="1"/>
  <c r="B1324" i="14" s="1"/>
  <c r="B1329" i="14" s="1"/>
  <c r="B1334" i="14" s="1"/>
  <c r="B1339" i="14" s="1"/>
  <c r="B1344" i="14" s="1"/>
  <c r="B1349" i="14" s="1"/>
  <c r="B1354" i="14" s="1"/>
  <c r="B1359" i="14" s="1"/>
  <c r="B1364" i="14" s="1"/>
  <c r="B1369" i="14" s="1"/>
  <c r="B1374" i="14" s="1"/>
  <c r="B1379" i="14" s="1"/>
  <c r="B1384" i="14" s="1"/>
  <c r="B1389" i="14" s="1"/>
  <c r="B1394" i="14" s="1"/>
  <c r="B1399" i="14" s="1"/>
  <c r="B1404" i="14" s="1"/>
  <c r="B1409" i="14" s="1"/>
  <c r="B1414" i="14" s="1"/>
  <c r="B1419" i="14" s="1"/>
  <c r="B1424" i="14" s="1"/>
  <c r="B1429" i="14" s="1"/>
  <c r="B1434" i="14" s="1"/>
  <c r="B1439" i="14" s="1"/>
  <c r="B1444" i="14" s="1"/>
  <c r="B1449" i="14" s="1"/>
  <c r="B1454" i="14" s="1"/>
  <c r="B1459" i="14" s="1"/>
  <c r="B1464" i="14" s="1"/>
  <c r="B1469" i="14" s="1"/>
  <c r="B1474" i="14" s="1"/>
  <c r="B1479" i="14" s="1"/>
  <c r="B1484" i="14" s="1"/>
  <c r="B1489" i="14" s="1"/>
  <c r="B1494" i="14" s="1"/>
  <c r="B1499" i="14" s="1"/>
  <c r="B1504" i="14" s="1"/>
  <c r="B1509" i="14" s="1"/>
  <c r="B1514" i="14" s="1"/>
  <c r="B1519" i="14" s="1"/>
  <c r="B1524" i="14" s="1"/>
  <c r="B1529" i="14" s="1"/>
  <c r="B1534" i="14" s="1"/>
  <c r="B1539" i="14" s="1"/>
  <c r="B1544" i="14" s="1"/>
  <c r="B1549" i="14" s="1"/>
  <c r="B1554" i="14" s="1"/>
  <c r="B1559" i="14" s="1"/>
  <c r="B1564" i="14" s="1"/>
  <c r="B1569" i="14" s="1"/>
  <c r="B1574" i="14" s="1"/>
  <c r="B1579" i="14" s="1"/>
  <c r="B1584" i="14" s="1"/>
  <c r="B1589" i="14" s="1"/>
  <c r="B1594" i="14" s="1"/>
  <c r="B1599" i="14" s="1"/>
  <c r="B1604" i="14" s="1"/>
  <c r="B1609" i="14" s="1"/>
  <c r="B1614" i="14" s="1"/>
  <c r="B1619" i="14" s="1"/>
  <c r="B1624" i="14" s="1"/>
  <c r="B1629" i="14" s="1"/>
  <c r="B1634" i="14" s="1"/>
  <c r="B1639" i="14" s="1"/>
  <c r="B1644" i="14" s="1"/>
  <c r="B1649" i="14" s="1"/>
  <c r="B1654" i="14" s="1"/>
  <c r="B1659" i="14" s="1"/>
  <c r="B1664" i="14" s="1"/>
  <c r="B1669" i="14" s="1"/>
  <c r="B1674" i="14" s="1"/>
  <c r="B1679" i="14" s="1"/>
  <c r="B1684" i="14" s="1"/>
  <c r="B1689" i="14" s="1"/>
  <c r="B1694" i="14" s="1"/>
  <c r="B1699" i="14" s="1"/>
  <c r="B1704" i="14" s="1"/>
  <c r="B1709" i="14" s="1"/>
  <c r="B1714" i="14" s="1"/>
  <c r="B1719" i="14" s="1"/>
  <c r="B1724" i="14" s="1"/>
  <c r="B1729" i="14" s="1"/>
  <c r="B1734" i="14" s="1"/>
  <c r="B1739" i="14" s="1"/>
  <c r="B1744" i="14" s="1"/>
  <c r="B1749" i="14" s="1"/>
  <c r="B1754" i="14" s="1"/>
  <c r="B1759" i="14" s="1"/>
  <c r="B1764" i="14" s="1"/>
  <c r="B1769" i="14" s="1"/>
  <c r="B1774" i="14" s="1"/>
  <c r="B1779" i="14" s="1"/>
  <c r="B1784" i="14" s="1"/>
  <c r="B1789" i="14" s="1"/>
  <c r="B1794" i="14" s="1"/>
  <c r="B1799" i="14" s="1"/>
  <c r="B1804" i="14" s="1"/>
  <c r="B1809" i="14" s="1"/>
  <c r="B1115" i="14"/>
  <c r="B1120" i="14" s="1"/>
  <c r="B1125" i="14" s="1"/>
  <c r="B1130" i="14" s="1"/>
  <c r="B1135" i="14" s="1"/>
  <c r="B1140" i="14" s="1"/>
  <c r="B1145" i="14" s="1"/>
  <c r="B1150" i="14" s="1"/>
  <c r="B1155" i="14" s="1"/>
  <c r="B1160" i="14" s="1"/>
  <c r="B1165" i="14" s="1"/>
  <c r="B1170" i="14" s="1"/>
  <c r="B1175" i="14" s="1"/>
  <c r="B1180" i="14" s="1"/>
  <c r="B1185" i="14" s="1"/>
  <c r="B1190" i="14" s="1"/>
  <c r="B1195" i="14" s="1"/>
  <c r="B1200" i="14" s="1"/>
  <c r="B1205" i="14" s="1"/>
  <c r="B1210" i="14" s="1"/>
  <c r="B1215" i="14" s="1"/>
  <c r="B1220" i="14" s="1"/>
  <c r="B1225" i="14" s="1"/>
  <c r="B1230" i="14" s="1"/>
  <c r="B1235" i="14" s="1"/>
  <c r="B1240" i="14" s="1"/>
  <c r="B1245" i="14" s="1"/>
  <c r="B1250" i="14" s="1"/>
  <c r="B1255" i="14" s="1"/>
  <c r="B1260" i="14" s="1"/>
  <c r="B1265" i="14" s="1"/>
  <c r="B1270" i="14" s="1"/>
  <c r="B1275" i="14" s="1"/>
  <c r="B1280" i="14" s="1"/>
  <c r="B1285" i="14" s="1"/>
  <c r="B1290" i="14" s="1"/>
  <c r="B1295" i="14" s="1"/>
  <c r="B1300" i="14" s="1"/>
  <c r="B1305" i="14" s="1"/>
  <c r="B1310" i="14" s="1"/>
  <c r="B1315" i="14" s="1"/>
  <c r="B1320" i="14" s="1"/>
  <c r="B1325" i="14" s="1"/>
  <c r="B1330" i="14" s="1"/>
  <c r="B1335" i="14" s="1"/>
  <c r="B1340" i="14" s="1"/>
  <c r="B1345" i="14" s="1"/>
  <c r="B1350" i="14" s="1"/>
  <c r="B1355" i="14" s="1"/>
  <c r="B1360" i="14" s="1"/>
  <c r="B1365" i="14" s="1"/>
  <c r="B1370" i="14" s="1"/>
  <c r="B1375" i="14" s="1"/>
  <c r="B1380" i="14" s="1"/>
  <c r="B1385" i="14" s="1"/>
  <c r="B1390" i="14" s="1"/>
  <c r="B1395" i="14" s="1"/>
  <c r="B1400" i="14" s="1"/>
  <c r="B1405" i="14" s="1"/>
  <c r="B1410" i="14" s="1"/>
  <c r="B1415" i="14" s="1"/>
  <c r="B1420" i="14" s="1"/>
  <c r="B1425" i="14" s="1"/>
  <c r="B1430" i="14" s="1"/>
  <c r="B1435" i="14" s="1"/>
  <c r="B1440" i="14" s="1"/>
  <c r="B1445" i="14" s="1"/>
  <c r="B1450" i="14" s="1"/>
  <c r="B1455" i="14" s="1"/>
  <c r="B1460" i="14" s="1"/>
  <c r="B1465" i="14" s="1"/>
  <c r="B1470" i="14" s="1"/>
  <c r="B1475" i="14" s="1"/>
  <c r="B1480" i="14" s="1"/>
  <c r="B1485" i="14" s="1"/>
  <c r="B1490" i="14" s="1"/>
  <c r="B1495" i="14" s="1"/>
  <c r="B1500" i="14" s="1"/>
  <c r="B1505" i="14" s="1"/>
  <c r="B1510" i="14" s="1"/>
  <c r="B1515" i="14" s="1"/>
  <c r="B1520" i="14" s="1"/>
  <c r="B1525" i="14" s="1"/>
  <c r="B1530" i="14" s="1"/>
  <c r="B1535" i="14" s="1"/>
  <c r="B1540" i="14" s="1"/>
  <c r="B1545" i="14" s="1"/>
  <c r="B1550" i="14" s="1"/>
  <c r="B1555" i="14" s="1"/>
  <c r="B1560" i="14" s="1"/>
  <c r="B1565" i="14" s="1"/>
  <c r="B1570" i="14" s="1"/>
  <c r="B1575" i="14" s="1"/>
  <c r="B1580" i="14" s="1"/>
  <c r="B1585" i="14" s="1"/>
  <c r="B1590" i="14" s="1"/>
  <c r="B1595" i="14" s="1"/>
  <c r="B1600" i="14" s="1"/>
  <c r="B1605" i="14" s="1"/>
  <c r="B1610" i="14" s="1"/>
  <c r="B1615" i="14" s="1"/>
  <c r="B1620" i="14" s="1"/>
  <c r="B1625" i="14" s="1"/>
  <c r="B1630" i="14" s="1"/>
  <c r="B1635" i="14" s="1"/>
  <c r="B1640" i="14" s="1"/>
  <c r="B1645" i="14" s="1"/>
  <c r="B1650" i="14" s="1"/>
  <c r="B1655" i="14" s="1"/>
  <c r="B1660" i="14" s="1"/>
  <c r="B1665" i="14" s="1"/>
  <c r="B1670" i="14" s="1"/>
  <c r="B1675" i="14" s="1"/>
  <c r="B1680" i="14" s="1"/>
  <c r="B1685" i="14" s="1"/>
  <c r="B1690" i="14" s="1"/>
  <c r="B1695" i="14" s="1"/>
  <c r="B1700" i="14" s="1"/>
  <c r="B1705" i="14" s="1"/>
  <c r="B1710" i="14" s="1"/>
  <c r="B1715" i="14" s="1"/>
  <c r="B1720" i="14" s="1"/>
  <c r="B1725" i="14" s="1"/>
  <c r="B1730" i="14" s="1"/>
  <c r="B1735" i="14" s="1"/>
  <c r="B1740" i="14" s="1"/>
  <c r="B1745" i="14" s="1"/>
  <c r="B1750" i="14" s="1"/>
  <c r="B1755" i="14" s="1"/>
  <c r="B1760" i="14" s="1"/>
  <c r="B1765" i="14" s="1"/>
  <c r="B1770" i="14" s="1"/>
  <c r="B1775" i="14" s="1"/>
  <c r="B1780" i="14" s="1"/>
  <c r="B1785" i="14" s="1"/>
  <c r="B1790" i="14" s="1"/>
  <c r="B1795" i="14" s="1"/>
  <c r="B1800" i="14" s="1"/>
  <c r="B1805" i="14" s="1"/>
  <c r="B1810" i="14" s="1"/>
  <c r="A21" i="12"/>
  <c r="C21" i="12"/>
  <c r="D21" i="12"/>
  <c r="E21" i="12"/>
  <c r="F21" i="12"/>
  <c r="G21" i="12"/>
  <c r="H21" i="12"/>
  <c r="I21" i="12"/>
  <c r="J21" i="12"/>
  <c r="A20" i="12"/>
  <c r="C20" i="12"/>
  <c r="D20" i="12"/>
  <c r="E20" i="12"/>
  <c r="F20" i="12"/>
  <c r="G20" i="12"/>
  <c r="H20" i="12"/>
  <c r="I20" i="12"/>
  <c r="J20" i="12"/>
  <c r="A19" i="12"/>
  <c r="C19" i="12"/>
  <c r="D19" i="12"/>
  <c r="E19" i="12"/>
  <c r="F19" i="12"/>
  <c r="G19" i="12"/>
  <c r="H19" i="12"/>
  <c r="I19" i="12"/>
  <c r="J19" i="12"/>
  <c r="A18" i="12"/>
  <c r="C18" i="12"/>
  <c r="D18" i="12"/>
  <c r="E18" i="12"/>
  <c r="F18" i="12"/>
  <c r="G18" i="12"/>
  <c r="H18" i="12"/>
  <c r="I18" i="12"/>
  <c r="J18" i="12"/>
  <c r="A17" i="12"/>
  <c r="C17" i="12"/>
  <c r="D17" i="12"/>
  <c r="E17" i="12"/>
  <c r="F17" i="12"/>
  <c r="G17" i="12"/>
  <c r="H17" i="12"/>
  <c r="I17" i="12"/>
  <c r="J17" i="12"/>
  <c r="A16" i="12"/>
  <c r="C16" i="12"/>
  <c r="D16" i="12"/>
  <c r="E16" i="12"/>
  <c r="F16" i="12"/>
  <c r="G16" i="12"/>
  <c r="H16" i="12"/>
  <c r="I16" i="12"/>
  <c r="J16" i="12"/>
  <c r="A26" i="12"/>
  <c r="C26" i="12"/>
  <c r="D26" i="12"/>
  <c r="E26" i="12"/>
  <c r="F26" i="12"/>
  <c r="G26" i="12"/>
  <c r="H26" i="12"/>
  <c r="I26" i="12"/>
  <c r="J26" i="12"/>
  <c r="A15" i="12"/>
  <c r="C15" i="12"/>
  <c r="D15" i="12"/>
  <c r="E15" i="12"/>
  <c r="F15" i="12"/>
  <c r="G15" i="12"/>
  <c r="H15" i="12"/>
  <c r="I15" i="12"/>
  <c r="J15" i="12"/>
  <c r="A14" i="12"/>
  <c r="C14" i="12"/>
  <c r="D14" i="12"/>
  <c r="E14" i="12"/>
  <c r="F14" i="12"/>
  <c r="G14" i="12"/>
  <c r="H14" i="12"/>
  <c r="I14" i="12"/>
  <c r="J14" i="12"/>
  <c r="A13" i="12"/>
  <c r="C13" i="12"/>
  <c r="D13" i="12"/>
  <c r="E13" i="12"/>
  <c r="F13" i="12"/>
  <c r="G13" i="12"/>
  <c r="H13" i="12"/>
  <c r="I13" i="12"/>
  <c r="J13" i="12"/>
  <c r="A12" i="12"/>
  <c r="C12" i="12"/>
  <c r="D12" i="12"/>
  <c r="E12" i="12"/>
  <c r="F12" i="12"/>
  <c r="G12" i="12"/>
  <c r="H12" i="12"/>
  <c r="I12" i="12"/>
  <c r="J12" i="12"/>
  <c r="A11" i="12"/>
  <c r="C11" i="12"/>
  <c r="D11" i="12"/>
  <c r="E11" i="12"/>
  <c r="F11" i="12"/>
  <c r="G11" i="12"/>
  <c r="H11" i="12"/>
  <c r="I11" i="12"/>
  <c r="J11" i="12"/>
  <c r="A10" i="12"/>
  <c r="C10" i="12"/>
  <c r="D10" i="12"/>
  <c r="E10" i="12"/>
  <c r="F10" i="12"/>
  <c r="G10" i="12"/>
  <c r="H10" i="12"/>
  <c r="I10" i="12"/>
  <c r="J10" i="12"/>
  <c r="A38" i="12"/>
  <c r="C38" i="12"/>
  <c r="D38" i="12"/>
  <c r="E38" i="12"/>
  <c r="F38" i="12"/>
  <c r="G38" i="12"/>
  <c r="H38" i="12"/>
  <c r="I38" i="12"/>
  <c r="J38" i="12"/>
  <c r="A37" i="12"/>
  <c r="C37" i="12"/>
  <c r="D37" i="12"/>
  <c r="E37" i="12"/>
  <c r="F37" i="12"/>
  <c r="G37" i="12"/>
  <c r="H37" i="12"/>
  <c r="I37" i="12"/>
  <c r="J37" i="12"/>
  <c r="A35" i="12"/>
  <c r="C35" i="12"/>
  <c r="D35" i="12"/>
  <c r="E35" i="12"/>
  <c r="F35" i="12"/>
  <c r="G35" i="12"/>
  <c r="H35" i="12"/>
  <c r="I35" i="12"/>
  <c r="J35" i="12"/>
  <c r="A25" i="12"/>
  <c r="C25" i="12"/>
  <c r="D25" i="12"/>
  <c r="E25" i="12"/>
  <c r="F25" i="12"/>
  <c r="G25" i="12"/>
  <c r="H25" i="12"/>
  <c r="I25" i="12"/>
  <c r="J25" i="12"/>
  <c r="A34" i="12"/>
  <c r="C34" i="12"/>
  <c r="D34" i="12"/>
  <c r="E34" i="12"/>
  <c r="F34" i="12"/>
  <c r="G34" i="12"/>
  <c r="H34" i="12"/>
  <c r="I34" i="12"/>
  <c r="J34" i="12"/>
  <c r="A33" i="12"/>
  <c r="C33" i="12"/>
  <c r="D33" i="12"/>
  <c r="E33" i="12"/>
  <c r="F33" i="12"/>
  <c r="G33" i="12"/>
  <c r="H33" i="12"/>
  <c r="I33" i="12"/>
  <c r="J33" i="12"/>
  <c r="A32" i="12"/>
  <c r="C32" i="12"/>
  <c r="D32" i="12"/>
  <c r="E32" i="12"/>
  <c r="F32" i="12"/>
  <c r="G32" i="12"/>
  <c r="H32" i="12"/>
  <c r="I32" i="12"/>
  <c r="J32" i="12"/>
  <c r="A31" i="12"/>
  <c r="C31" i="12"/>
  <c r="D31" i="12"/>
  <c r="E31" i="12"/>
  <c r="F31" i="12"/>
  <c r="G31" i="12"/>
  <c r="H31" i="12"/>
  <c r="I31" i="12"/>
  <c r="J31" i="12"/>
  <c r="A30" i="12"/>
  <c r="C30" i="12"/>
  <c r="D30" i="12"/>
  <c r="E30" i="12"/>
  <c r="F30" i="12"/>
  <c r="G30" i="12"/>
  <c r="H30" i="12"/>
  <c r="J30" i="12"/>
  <c r="A29" i="12"/>
  <c r="C29" i="12"/>
  <c r="D29" i="12"/>
  <c r="E29" i="12"/>
  <c r="F29" i="12"/>
  <c r="G29" i="12"/>
  <c r="H29" i="12"/>
  <c r="J29" i="12"/>
  <c r="A9" i="12"/>
  <c r="C9" i="12"/>
  <c r="D9" i="12"/>
  <c r="E9" i="12"/>
  <c r="F9" i="12"/>
  <c r="G9" i="12"/>
  <c r="H9" i="12"/>
  <c r="I9" i="12"/>
  <c r="J9" i="12"/>
  <c r="A28" i="12"/>
  <c r="C28" i="12"/>
  <c r="D28" i="12"/>
  <c r="E28" i="12"/>
  <c r="F28" i="12"/>
  <c r="G28" i="12"/>
  <c r="H28" i="12"/>
  <c r="I28" i="12"/>
  <c r="J28" i="12"/>
  <c r="A27" i="12"/>
  <c r="C27" i="12"/>
  <c r="D27" i="12"/>
  <c r="E27" i="12"/>
  <c r="F27" i="12"/>
  <c r="G27" i="12"/>
  <c r="H27" i="12"/>
  <c r="I27" i="12"/>
  <c r="J27" i="12"/>
  <c r="A36" i="12"/>
  <c r="C36" i="12"/>
  <c r="D36" i="12"/>
  <c r="E36" i="12"/>
  <c r="F36" i="12"/>
  <c r="G36" i="12"/>
  <c r="H36" i="12"/>
  <c r="I36" i="12"/>
  <c r="J36" i="12"/>
  <c r="A24" i="12"/>
  <c r="C24" i="12"/>
  <c r="D24" i="12"/>
  <c r="E24" i="12"/>
  <c r="F24" i="12"/>
  <c r="G24" i="12"/>
  <c r="H24" i="12"/>
  <c r="I24" i="12"/>
  <c r="J24" i="12"/>
  <c r="A23" i="12"/>
  <c r="C23" i="12"/>
  <c r="D23" i="12"/>
  <c r="E23" i="12"/>
  <c r="F23" i="12"/>
  <c r="G23" i="12"/>
  <c r="H23" i="12"/>
  <c r="I23" i="12"/>
  <c r="J23" i="12"/>
  <c r="A22" i="12"/>
  <c r="C22" i="12"/>
  <c r="D22" i="12"/>
  <c r="E22" i="12"/>
  <c r="F22" i="12"/>
  <c r="G22" i="12"/>
  <c r="H22" i="12"/>
  <c r="I22" i="12"/>
  <c r="J22" i="12"/>
  <c r="K8" i="12"/>
  <c r="A10" i="10"/>
  <c r="A15" i="10" s="1"/>
  <c r="A20" i="10" s="1"/>
  <c r="A25" i="10" s="1"/>
  <c r="A30" i="10" s="1"/>
  <c r="A35" i="10" s="1"/>
  <c r="A40" i="10" s="1"/>
  <c r="A45" i="10" s="1"/>
  <c r="A50" i="10" s="1"/>
  <c r="A55" i="10" s="1"/>
  <c r="A60" i="10" s="1"/>
  <c r="A65" i="10" s="1"/>
  <c r="A70" i="10" s="1"/>
  <c r="A75" i="10" s="1"/>
  <c r="A80" i="10" s="1"/>
  <c r="A85" i="10" s="1"/>
  <c r="A90" i="10" s="1"/>
  <c r="A95" i="10" s="1"/>
  <c r="A100" i="10" s="1"/>
  <c r="A105" i="10" s="1"/>
  <c r="A110" i="10" s="1"/>
  <c r="A115" i="10" s="1"/>
  <c r="A120" i="10" s="1"/>
  <c r="A125" i="10" s="1"/>
  <c r="A130" i="10" s="1"/>
  <c r="A135" i="10" s="1"/>
  <c r="A140" i="10" s="1"/>
  <c r="A145" i="10" s="1"/>
  <c r="A150" i="10" s="1"/>
  <c r="A155" i="10" s="1"/>
  <c r="A160" i="10" s="1"/>
  <c r="A165" i="10" s="1"/>
  <c r="A170" i="10" s="1"/>
  <c r="A175" i="10" s="1"/>
  <c r="A180" i="10" s="1"/>
  <c r="A185" i="10" s="1"/>
  <c r="A190" i="10" s="1"/>
  <c r="A195" i="10" s="1"/>
  <c r="A200" i="10" s="1"/>
  <c r="A205" i="10" s="1"/>
  <c r="A210" i="10" s="1"/>
  <c r="A215" i="10" s="1"/>
  <c r="A220" i="10" s="1"/>
  <c r="A225" i="10" s="1"/>
  <c r="A230" i="10" s="1"/>
  <c r="A235" i="10" s="1"/>
  <c r="A240" i="10" s="1"/>
  <c r="A245" i="10" s="1"/>
  <c r="A250" i="10" s="1"/>
  <c r="A255" i="10" s="1"/>
  <c r="A260" i="10" s="1"/>
  <c r="A265" i="10" s="1"/>
  <c r="A270" i="10" s="1"/>
  <c r="A275" i="10" s="1"/>
  <c r="A280" i="10" s="1"/>
  <c r="A285" i="10" s="1"/>
  <c r="A290" i="10" s="1"/>
  <c r="A295" i="10" s="1"/>
  <c r="A300" i="10" s="1"/>
  <c r="A305" i="10" s="1"/>
  <c r="A310" i="10" s="1"/>
  <c r="A315" i="10" s="1"/>
  <c r="A320" i="10" s="1"/>
  <c r="A325" i="10" s="1"/>
  <c r="A330" i="10" s="1"/>
  <c r="A335" i="10" s="1"/>
  <c r="A340" i="10" s="1"/>
  <c r="A345" i="10" s="1"/>
  <c r="A350" i="10" s="1"/>
  <c r="A355" i="10" s="1"/>
  <c r="A360" i="10" s="1"/>
  <c r="A365" i="10" s="1"/>
  <c r="A370" i="10" s="1"/>
  <c r="A375" i="10" s="1"/>
  <c r="A380" i="10" s="1"/>
  <c r="A385" i="10" s="1"/>
  <c r="A390" i="10" s="1"/>
  <c r="A395" i="10" s="1"/>
  <c r="A400" i="10" s="1"/>
  <c r="A405" i="10" s="1"/>
  <c r="A410" i="10" s="1"/>
  <c r="A415" i="10" s="1"/>
  <c r="A420" i="10" s="1"/>
  <c r="A425" i="10" s="1"/>
  <c r="A430" i="10" s="1"/>
  <c r="A435" i="10" s="1"/>
  <c r="A440" i="10" s="1"/>
  <c r="A445" i="10" s="1"/>
  <c r="A450" i="10" s="1"/>
  <c r="A455" i="10" s="1"/>
  <c r="A460" i="10" s="1"/>
  <c r="A465" i="10" s="1"/>
  <c r="A470" i="10" s="1"/>
  <c r="A475" i="10" s="1"/>
  <c r="A480" i="10" s="1"/>
  <c r="A485" i="10" s="1"/>
  <c r="A490" i="10" s="1"/>
  <c r="A495" i="10" s="1"/>
  <c r="A500" i="10" s="1"/>
  <c r="A505" i="10" s="1"/>
  <c r="A510" i="10" s="1"/>
  <c r="A515" i="10" s="1"/>
  <c r="A520" i="10" s="1"/>
  <c r="A525" i="10" s="1"/>
  <c r="A530" i="10" s="1"/>
  <c r="A535" i="10" s="1"/>
  <c r="A540" i="10" s="1"/>
  <c r="A545" i="10" s="1"/>
  <c r="A550" i="10" s="1"/>
  <c r="A555" i="10" s="1"/>
  <c r="A560" i="10" s="1"/>
  <c r="A565" i="10" s="1"/>
  <c r="A570" i="10" s="1"/>
  <c r="A575" i="10" s="1"/>
  <c r="A580" i="10" s="1"/>
  <c r="A585" i="10" s="1"/>
  <c r="A590" i="10" s="1"/>
  <c r="A595" i="10" s="1"/>
  <c r="A600" i="10" s="1"/>
  <c r="A605" i="10" s="1"/>
  <c r="A610" i="10" s="1"/>
  <c r="A615" i="10" s="1"/>
  <c r="A620" i="10" s="1"/>
  <c r="A625" i="10" s="1"/>
  <c r="A630" i="10" s="1"/>
  <c r="A635" i="10" s="1"/>
  <c r="A640" i="10" s="1"/>
  <c r="A645" i="10" s="1"/>
  <c r="A650" i="10" s="1"/>
  <c r="A655" i="10" s="1"/>
  <c r="A660" i="10" s="1"/>
  <c r="A665" i="10" s="1"/>
  <c r="A670" i="10" s="1"/>
  <c r="A675" i="10" s="1"/>
  <c r="A680" i="10" s="1"/>
  <c r="A685" i="10" s="1"/>
  <c r="A690" i="10" s="1"/>
  <c r="A695" i="10" s="1"/>
  <c r="A700" i="10" s="1"/>
  <c r="A705" i="10" s="1"/>
  <c r="A710" i="10" s="1"/>
  <c r="A715" i="10" s="1"/>
  <c r="A720" i="10" s="1"/>
  <c r="A725" i="10" s="1"/>
  <c r="A730" i="10" s="1"/>
  <c r="A735" i="10" s="1"/>
  <c r="A740" i="10" s="1"/>
  <c r="A745" i="10" s="1"/>
  <c r="A750" i="10" s="1"/>
  <c r="A755" i="10" s="1"/>
  <c r="A760" i="10" s="1"/>
  <c r="A765" i="10" s="1"/>
  <c r="A770" i="10" s="1"/>
  <c r="A775" i="10" s="1"/>
  <c r="A780" i="10" s="1"/>
  <c r="A785" i="10" s="1"/>
  <c r="A790" i="10" s="1"/>
  <c r="A795" i="10" s="1"/>
  <c r="A800" i="10" s="1"/>
  <c r="A805" i="10" s="1"/>
  <c r="A810" i="10" s="1"/>
  <c r="A815" i="10" s="1"/>
  <c r="A820" i="10" s="1"/>
  <c r="A825" i="10" s="1"/>
  <c r="A830" i="10" s="1"/>
  <c r="A835" i="10" s="1"/>
  <c r="A840" i="10" s="1"/>
  <c r="A845" i="10" s="1"/>
  <c r="A850" i="10" s="1"/>
  <c r="A11" i="10"/>
  <c r="A16" i="10" s="1"/>
  <c r="A21" i="10" s="1"/>
  <c r="A26" i="10" s="1"/>
  <c r="A31" i="10" s="1"/>
  <c r="A36" i="10" s="1"/>
  <c r="A41" i="10" s="1"/>
  <c r="A46" i="10" s="1"/>
  <c r="A51" i="10" s="1"/>
  <c r="A56" i="10" s="1"/>
  <c r="A61" i="10" s="1"/>
  <c r="A66" i="10" s="1"/>
  <c r="A71" i="10" s="1"/>
  <c r="A76" i="10" s="1"/>
  <c r="A81" i="10" s="1"/>
  <c r="A86" i="10" s="1"/>
  <c r="A91" i="10" s="1"/>
  <c r="A96" i="10" s="1"/>
  <c r="A101" i="10" s="1"/>
  <c r="A106" i="10" s="1"/>
  <c r="A111" i="10" s="1"/>
  <c r="A116" i="10" s="1"/>
  <c r="A121" i="10" s="1"/>
  <c r="A126" i="10" s="1"/>
  <c r="A131" i="10" s="1"/>
  <c r="A136" i="10" s="1"/>
  <c r="A141" i="10" s="1"/>
  <c r="A146" i="10" s="1"/>
  <c r="A151" i="10" s="1"/>
  <c r="A156" i="10" s="1"/>
  <c r="A161" i="10" s="1"/>
  <c r="A166" i="10" s="1"/>
  <c r="A171" i="10" s="1"/>
  <c r="A176" i="10" s="1"/>
  <c r="A181" i="10" s="1"/>
  <c r="A186" i="10" s="1"/>
  <c r="A191" i="10" s="1"/>
  <c r="A196" i="10" s="1"/>
  <c r="A201" i="10" s="1"/>
  <c r="A206" i="10" s="1"/>
  <c r="A211" i="10" s="1"/>
  <c r="A216" i="10" s="1"/>
  <c r="A221" i="10" s="1"/>
  <c r="A226" i="10" s="1"/>
  <c r="A231" i="10" s="1"/>
  <c r="A236" i="10" s="1"/>
  <c r="A241" i="10" s="1"/>
  <c r="A246" i="10" s="1"/>
  <c r="A251" i="10" s="1"/>
  <c r="A256" i="10" s="1"/>
  <c r="A261" i="10" s="1"/>
  <c r="A266" i="10" s="1"/>
  <c r="A271" i="10" s="1"/>
  <c r="A276" i="10" s="1"/>
  <c r="A281" i="10" s="1"/>
  <c r="A286" i="10" s="1"/>
  <c r="A291" i="10" s="1"/>
  <c r="A296" i="10" s="1"/>
  <c r="A301" i="10" s="1"/>
  <c r="A306" i="10" s="1"/>
  <c r="A311" i="10" s="1"/>
  <c r="A316" i="10" s="1"/>
  <c r="A321" i="10" s="1"/>
  <c r="A326" i="10" s="1"/>
  <c r="A331" i="10" s="1"/>
  <c r="A336" i="10" s="1"/>
  <c r="A341" i="10" s="1"/>
  <c r="A346" i="10" s="1"/>
  <c r="A351" i="10" s="1"/>
  <c r="A356" i="10" s="1"/>
  <c r="A361" i="10" s="1"/>
  <c r="A366" i="10" s="1"/>
  <c r="A371" i="10" s="1"/>
  <c r="A376" i="10" s="1"/>
  <c r="A381" i="10" s="1"/>
  <c r="A386" i="10" s="1"/>
  <c r="A391" i="10" s="1"/>
  <c r="A396" i="10" s="1"/>
  <c r="A401" i="10" s="1"/>
  <c r="A406" i="10" s="1"/>
  <c r="A411" i="10" s="1"/>
  <c r="A416" i="10" s="1"/>
  <c r="A421" i="10" s="1"/>
  <c r="A426" i="10" s="1"/>
  <c r="A431" i="10" s="1"/>
  <c r="A436" i="10" s="1"/>
  <c r="A441" i="10" s="1"/>
  <c r="A446" i="10" s="1"/>
  <c r="A451" i="10" s="1"/>
  <c r="A456" i="10" s="1"/>
  <c r="A461" i="10" s="1"/>
  <c r="A466" i="10" s="1"/>
  <c r="A471" i="10" s="1"/>
  <c r="A476" i="10" s="1"/>
  <c r="A481" i="10" s="1"/>
  <c r="A486" i="10" s="1"/>
  <c r="A491" i="10" s="1"/>
  <c r="A496" i="10" s="1"/>
  <c r="A501" i="10" s="1"/>
  <c r="A506" i="10" s="1"/>
  <c r="A511" i="10" s="1"/>
  <c r="A516" i="10" s="1"/>
  <c r="A521" i="10" s="1"/>
  <c r="A526" i="10" s="1"/>
  <c r="A531" i="10" s="1"/>
  <c r="A536" i="10" s="1"/>
  <c r="A541" i="10" s="1"/>
  <c r="A546" i="10" s="1"/>
  <c r="A551" i="10" s="1"/>
  <c r="A556" i="10" s="1"/>
  <c r="A561" i="10" s="1"/>
  <c r="A566" i="10" s="1"/>
  <c r="A571" i="10" s="1"/>
  <c r="A576" i="10" s="1"/>
  <c r="A581" i="10" s="1"/>
  <c r="A586" i="10" s="1"/>
  <c r="A591" i="10" s="1"/>
  <c r="A596" i="10" s="1"/>
  <c r="A601" i="10" s="1"/>
  <c r="A606" i="10" s="1"/>
  <c r="A611" i="10" s="1"/>
  <c r="A616" i="10" s="1"/>
  <c r="A621" i="10" s="1"/>
  <c r="A626" i="10" s="1"/>
  <c r="A631" i="10" s="1"/>
  <c r="A636" i="10" s="1"/>
  <c r="A641" i="10" s="1"/>
  <c r="A646" i="10" s="1"/>
  <c r="A651" i="10" s="1"/>
  <c r="A656" i="10" s="1"/>
  <c r="A661" i="10" s="1"/>
  <c r="A666" i="10" s="1"/>
  <c r="A671" i="10" s="1"/>
  <c r="A676" i="10" s="1"/>
  <c r="A681" i="10" s="1"/>
  <c r="A686" i="10" s="1"/>
  <c r="A691" i="10" s="1"/>
  <c r="A696" i="10" s="1"/>
  <c r="A701" i="10" s="1"/>
  <c r="A706" i="10" s="1"/>
  <c r="A711" i="10" s="1"/>
  <c r="A716" i="10" s="1"/>
  <c r="A721" i="10" s="1"/>
  <c r="A726" i="10" s="1"/>
  <c r="A731" i="10" s="1"/>
  <c r="A736" i="10" s="1"/>
  <c r="A741" i="10" s="1"/>
  <c r="A746" i="10" s="1"/>
  <c r="A751" i="10" s="1"/>
  <c r="A756" i="10" s="1"/>
  <c r="A761" i="10" s="1"/>
  <c r="A766" i="10" s="1"/>
  <c r="A771" i="10" s="1"/>
  <c r="A776" i="10" s="1"/>
  <c r="A781" i="10" s="1"/>
  <c r="A786" i="10" s="1"/>
  <c r="A791" i="10" s="1"/>
  <c r="A796" i="10" s="1"/>
  <c r="A801" i="10" s="1"/>
  <c r="A806" i="10" s="1"/>
  <c r="A811" i="10" s="1"/>
  <c r="A816" i="10" s="1"/>
  <c r="A821" i="10" s="1"/>
  <c r="A826" i="10" s="1"/>
  <c r="A831" i="10" s="1"/>
  <c r="A836" i="10" s="1"/>
  <c r="A841" i="10" s="1"/>
  <c r="A846" i="10" s="1"/>
  <c r="A851" i="10" s="1"/>
  <c r="A12" i="10"/>
  <c r="A17" i="10" s="1"/>
  <c r="A22" i="10" s="1"/>
  <c r="A27" i="10" s="1"/>
  <c r="A32" i="10" s="1"/>
  <c r="A37" i="10" s="1"/>
  <c r="A42" i="10" s="1"/>
  <c r="A47" i="10" s="1"/>
  <c r="A52" i="10" s="1"/>
  <c r="A57" i="10" s="1"/>
  <c r="A62" i="10" s="1"/>
  <c r="A67" i="10" s="1"/>
  <c r="A72" i="10" s="1"/>
  <c r="A77" i="10" s="1"/>
  <c r="A82" i="10" s="1"/>
  <c r="A87" i="10" s="1"/>
  <c r="A92" i="10" s="1"/>
  <c r="A97" i="10" s="1"/>
  <c r="A102" i="10" s="1"/>
  <c r="A107" i="10" s="1"/>
  <c r="A112" i="10" s="1"/>
  <c r="A117" i="10" s="1"/>
  <c r="A122" i="10" s="1"/>
  <c r="A127" i="10" s="1"/>
  <c r="A132" i="10" s="1"/>
  <c r="A137" i="10" s="1"/>
  <c r="A142" i="10" s="1"/>
  <c r="A147" i="10" s="1"/>
  <c r="A152" i="10" s="1"/>
  <c r="A157" i="10" s="1"/>
  <c r="A162" i="10" s="1"/>
  <c r="A167" i="10" s="1"/>
  <c r="A172" i="10" s="1"/>
  <c r="A177" i="10" s="1"/>
  <c r="A182" i="10" s="1"/>
  <c r="A187" i="10" s="1"/>
  <c r="A192" i="10" s="1"/>
  <c r="A197" i="10" s="1"/>
  <c r="A202" i="10" s="1"/>
  <c r="A207" i="10" s="1"/>
  <c r="A212" i="10" s="1"/>
  <c r="A217" i="10" s="1"/>
  <c r="A222" i="10" s="1"/>
  <c r="A227" i="10" s="1"/>
  <c r="A232" i="10" s="1"/>
  <c r="A237" i="10" s="1"/>
  <c r="A242" i="10" s="1"/>
  <c r="A247" i="10" s="1"/>
  <c r="A252" i="10" s="1"/>
  <c r="A257" i="10" s="1"/>
  <c r="A262" i="10" s="1"/>
  <c r="A267" i="10" s="1"/>
  <c r="A272" i="10" s="1"/>
  <c r="A277" i="10" s="1"/>
  <c r="A282" i="10" s="1"/>
  <c r="A287" i="10" s="1"/>
  <c r="A292" i="10" s="1"/>
  <c r="A297" i="10" s="1"/>
  <c r="A302" i="10" s="1"/>
  <c r="A307" i="10" s="1"/>
  <c r="A312" i="10" s="1"/>
  <c r="A317" i="10" s="1"/>
  <c r="A322" i="10" s="1"/>
  <c r="A327" i="10" s="1"/>
  <c r="A332" i="10" s="1"/>
  <c r="A337" i="10" s="1"/>
  <c r="A342" i="10" s="1"/>
  <c r="A347" i="10" s="1"/>
  <c r="A352" i="10" s="1"/>
  <c r="A357" i="10" s="1"/>
  <c r="A362" i="10" s="1"/>
  <c r="A367" i="10" s="1"/>
  <c r="A372" i="10" s="1"/>
  <c r="A377" i="10" s="1"/>
  <c r="A382" i="10" s="1"/>
  <c r="A387" i="10" s="1"/>
  <c r="A392" i="10" s="1"/>
  <c r="A397" i="10" s="1"/>
  <c r="A402" i="10" s="1"/>
  <c r="A407" i="10" s="1"/>
  <c r="A412" i="10" s="1"/>
  <c r="A417" i="10" s="1"/>
  <c r="A422" i="10" s="1"/>
  <c r="A427" i="10" s="1"/>
  <c r="A432" i="10" s="1"/>
  <c r="A437" i="10" s="1"/>
  <c r="A442" i="10" s="1"/>
  <c r="A447" i="10" s="1"/>
  <c r="A452" i="10" s="1"/>
  <c r="A457" i="10" s="1"/>
  <c r="A462" i="10" s="1"/>
  <c r="A467" i="10" s="1"/>
  <c r="A472" i="10" s="1"/>
  <c r="A477" i="10" s="1"/>
  <c r="A482" i="10" s="1"/>
  <c r="A487" i="10" s="1"/>
  <c r="A492" i="10" s="1"/>
  <c r="A497" i="10" s="1"/>
  <c r="A502" i="10" s="1"/>
  <c r="A507" i="10" s="1"/>
  <c r="A512" i="10" s="1"/>
  <c r="A517" i="10" s="1"/>
  <c r="A522" i="10" s="1"/>
  <c r="A527" i="10" s="1"/>
  <c r="A532" i="10" s="1"/>
  <c r="A537" i="10" s="1"/>
  <c r="A542" i="10" s="1"/>
  <c r="A547" i="10" s="1"/>
  <c r="A552" i="10" s="1"/>
  <c r="A557" i="10" s="1"/>
  <c r="A562" i="10" s="1"/>
  <c r="A567" i="10" s="1"/>
  <c r="A572" i="10" s="1"/>
  <c r="A577" i="10" s="1"/>
  <c r="A582" i="10" s="1"/>
  <c r="A587" i="10" s="1"/>
  <c r="A592" i="10" s="1"/>
  <c r="A597" i="10" s="1"/>
  <c r="A602" i="10" s="1"/>
  <c r="A607" i="10" s="1"/>
  <c r="A612" i="10" s="1"/>
  <c r="A617" i="10" s="1"/>
  <c r="A622" i="10" s="1"/>
  <c r="A627" i="10" s="1"/>
  <c r="A632" i="10" s="1"/>
  <c r="A637" i="10" s="1"/>
  <c r="A642" i="10" s="1"/>
  <c r="A647" i="10" s="1"/>
  <c r="A652" i="10" s="1"/>
  <c r="A657" i="10" s="1"/>
  <c r="A662" i="10" s="1"/>
  <c r="A667" i="10" s="1"/>
  <c r="A672" i="10" s="1"/>
  <c r="A677" i="10" s="1"/>
  <c r="A682" i="10" s="1"/>
  <c r="A687" i="10" s="1"/>
  <c r="A692" i="10" s="1"/>
  <c r="A697" i="10" s="1"/>
  <c r="A702" i="10" s="1"/>
  <c r="A707" i="10" s="1"/>
  <c r="A712" i="10" s="1"/>
  <c r="A717" i="10" s="1"/>
  <c r="A722" i="10" s="1"/>
  <c r="A727" i="10" s="1"/>
  <c r="A732" i="10" s="1"/>
  <c r="A737" i="10" s="1"/>
  <c r="A742" i="10" s="1"/>
  <c r="A747" i="10" s="1"/>
  <c r="A752" i="10" s="1"/>
  <c r="A757" i="10" s="1"/>
  <c r="A762" i="10" s="1"/>
  <c r="A767" i="10" s="1"/>
  <c r="A772" i="10" s="1"/>
  <c r="A777" i="10" s="1"/>
  <c r="A782" i="10" s="1"/>
  <c r="A787" i="10" s="1"/>
  <c r="A792" i="10" s="1"/>
  <c r="A797" i="10" s="1"/>
  <c r="A802" i="10" s="1"/>
  <c r="A807" i="10" s="1"/>
  <c r="A812" i="10" s="1"/>
  <c r="A817" i="10" s="1"/>
  <c r="A822" i="10" s="1"/>
  <c r="A827" i="10" s="1"/>
  <c r="A832" i="10" s="1"/>
  <c r="A837" i="10" s="1"/>
  <c r="A842" i="10" s="1"/>
  <c r="A847" i="10" s="1"/>
  <c r="A852" i="10" s="1"/>
  <c r="A13" i="10"/>
  <c r="A18" i="10" s="1"/>
  <c r="A23" i="10" s="1"/>
  <c r="A28" i="10" s="1"/>
  <c r="A33" i="10" s="1"/>
  <c r="A38" i="10" s="1"/>
  <c r="A43" i="10" s="1"/>
  <c r="A48" i="10" s="1"/>
  <c r="A53" i="10" s="1"/>
  <c r="A58" i="10" s="1"/>
  <c r="A63" i="10" s="1"/>
  <c r="A68" i="10" s="1"/>
  <c r="A73" i="10" s="1"/>
  <c r="A78" i="10" s="1"/>
  <c r="A83" i="10" s="1"/>
  <c r="A88" i="10" s="1"/>
  <c r="A93" i="10" s="1"/>
  <c r="A98" i="10" s="1"/>
  <c r="A103" i="10" s="1"/>
  <c r="A108" i="10" s="1"/>
  <c r="A113" i="10" s="1"/>
  <c r="A118" i="10" s="1"/>
  <c r="A123" i="10" s="1"/>
  <c r="A128" i="10" s="1"/>
  <c r="A133" i="10" s="1"/>
  <c r="A138" i="10" s="1"/>
  <c r="A143" i="10" s="1"/>
  <c r="A148" i="10" s="1"/>
  <c r="A153" i="10" s="1"/>
  <c r="A158" i="10" s="1"/>
  <c r="A163" i="10" s="1"/>
  <c r="A168" i="10" s="1"/>
  <c r="A173" i="10" s="1"/>
  <c r="A178" i="10" s="1"/>
  <c r="A183" i="10" s="1"/>
  <c r="A188" i="10" s="1"/>
  <c r="A193" i="10" s="1"/>
  <c r="A198" i="10" s="1"/>
  <c r="A203" i="10" s="1"/>
  <c r="A208" i="10" s="1"/>
  <c r="A213" i="10" s="1"/>
  <c r="A218" i="10" s="1"/>
  <c r="A223" i="10" s="1"/>
  <c r="A228" i="10" s="1"/>
  <c r="A233" i="10" s="1"/>
  <c r="A238" i="10" s="1"/>
  <c r="A243" i="10" s="1"/>
  <c r="A248" i="10" s="1"/>
  <c r="A253" i="10" s="1"/>
  <c r="A258" i="10" s="1"/>
  <c r="A263" i="10" s="1"/>
  <c r="A268" i="10" s="1"/>
  <c r="A273" i="10" s="1"/>
  <c r="A278" i="10" s="1"/>
  <c r="A283" i="10" s="1"/>
  <c r="A288" i="10" s="1"/>
  <c r="A293" i="10" s="1"/>
  <c r="A298" i="10" s="1"/>
  <c r="A303" i="10" s="1"/>
  <c r="A308" i="10" s="1"/>
  <c r="A313" i="10" s="1"/>
  <c r="A318" i="10" s="1"/>
  <c r="A323" i="10" s="1"/>
  <c r="A328" i="10" s="1"/>
  <c r="A333" i="10" s="1"/>
  <c r="A338" i="10" s="1"/>
  <c r="A343" i="10" s="1"/>
  <c r="A348" i="10" s="1"/>
  <c r="A353" i="10" s="1"/>
  <c r="A358" i="10" s="1"/>
  <c r="A363" i="10" s="1"/>
  <c r="A368" i="10" s="1"/>
  <c r="A373" i="10" s="1"/>
  <c r="A378" i="10" s="1"/>
  <c r="A383" i="10" s="1"/>
  <c r="A388" i="10" s="1"/>
  <c r="A393" i="10" s="1"/>
  <c r="A398" i="10" s="1"/>
  <c r="A403" i="10" s="1"/>
  <c r="A408" i="10" s="1"/>
  <c r="A413" i="10" s="1"/>
  <c r="A418" i="10" s="1"/>
  <c r="A423" i="10" s="1"/>
  <c r="A428" i="10" s="1"/>
  <c r="A433" i="10" s="1"/>
  <c r="A438" i="10" s="1"/>
  <c r="A443" i="10" s="1"/>
  <c r="A448" i="10" s="1"/>
  <c r="A453" i="10" s="1"/>
  <c r="A458" i="10" s="1"/>
  <c r="A463" i="10" s="1"/>
  <c r="A468" i="10" s="1"/>
  <c r="A473" i="10" s="1"/>
  <c r="A478" i="10" s="1"/>
  <c r="A483" i="10" s="1"/>
  <c r="A488" i="10" s="1"/>
  <c r="A493" i="10" s="1"/>
  <c r="A498" i="10" s="1"/>
  <c r="A503" i="10" s="1"/>
  <c r="A508" i="10" s="1"/>
  <c r="A513" i="10" s="1"/>
  <c r="A518" i="10" s="1"/>
  <c r="A523" i="10" s="1"/>
  <c r="A528" i="10" s="1"/>
  <c r="A533" i="10" s="1"/>
  <c r="A538" i="10" s="1"/>
  <c r="A543" i="10" s="1"/>
  <c r="A548" i="10" s="1"/>
  <c r="A553" i="10" s="1"/>
  <c r="A558" i="10" s="1"/>
  <c r="A563" i="10" s="1"/>
  <c r="A568" i="10" s="1"/>
  <c r="A573" i="10" s="1"/>
  <c r="A578" i="10" s="1"/>
  <c r="A583" i="10" s="1"/>
  <c r="A588" i="10" s="1"/>
  <c r="A593" i="10" s="1"/>
  <c r="A598" i="10" s="1"/>
  <c r="A603" i="10" s="1"/>
  <c r="A608" i="10" s="1"/>
  <c r="A613" i="10" s="1"/>
  <c r="A618" i="10" s="1"/>
  <c r="A623" i="10" s="1"/>
  <c r="A628" i="10" s="1"/>
  <c r="A633" i="10" s="1"/>
  <c r="A638" i="10" s="1"/>
  <c r="A643" i="10" s="1"/>
  <c r="A648" i="10" s="1"/>
  <c r="A653" i="10" s="1"/>
  <c r="A658" i="10" s="1"/>
  <c r="A663" i="10" s="1"/>
  <c r="A668" i="10" s="1"/>
  <c r="A673" i="10" s="1"/>
  <c r="A678" i="10" s="1"/>
  <c r="A683" i="10" s="1"/>
  <c r="A688" i="10" s="1"/>
  <c r="A693" i="10" s="1"/>
  <c r="A698" i="10" s="1"/>
  <c r="A703" i="10" s="1"/>
  <c r="A708" i="10" s="1"/>
  <c r="A713" i="10" s="1"/>
  <c r="A718" i="10" s="1"/>
  <c r="A723" i="10" s="1"/>
  <c r="A728" i="10" s="1"/>
  <c r="A733" i="10" s="1"/>
  <c r="A738" i="10" s="1"/>
  <c r="A743" i="10" s="1"/>
  <c r="A748" i="10" s="1"/>
  <c r="A753" i="10" s="1"/>
  <c r="A758" i="10" s="1"/>
  <c r="A763" i="10" s="1"/>
  <c r="A768" i="10" s="1"/>
  <c r="A773" i="10" s="1"/>
  <c r="A778" i="10" s="1"/>
  <c r="A783" i="10" s="1"/>
  <c r="A788" i="10" s="1"/>
  <c r="A793" i="10" s="1"/>
  <c r="A798" i="10" s="1"/>
  <c r="A803" i="10" s="1"/>
  <c r="A808" i="10" s="1"/>
  <c r="A813" i="10" s="1"/>
  <c r="A818" i="10" s="1"/>
  <c r="A823" i="10" s="1"/>
  <c r="A828" i="10" s="1"/>
  <c r="A833" i="10" s="1"/>
  <c r="A838" i="10" s="1"/>
  <c r="A843" i="10" s="1"/>
  <c r="A848" i="10" s="1"/>
  <c r="A853" i="10" s="1"/>
  <c r="A14" i="10"/>
  <c r="A19" i="10" s="1"/>
  <c r="A24" i="10" s="1"/>
  <c r="A29" i="10" s="1"/>
  <c r="A34" i="10" s="1"/>
  <c r="A39" i="10" s="1"/>
  <c r="A44" i="10" s="1"/>
  <c r="A49" i="10" s="1"/>
  <c r="A54" i="10" s="1"/>
  <c r="A59" i="10" s="1"/>
  <c r="A64" i="10" s="1"/>
  <c r="A69" i="10" s="1"/>
  <c r="A74" i="10" s="1"/>
  <c r="A79" i="10" s="1"/>
  <c r="A84" i="10" s="1"/>
  <c r="A89" i="10" s="1"/>
  <c r="A94" i="10" s="1"/>
  <c r="A99" i="10" s="1"/>
  <c r="A104" i="10" s="1"/>
  <c r="A109" i="10" s="1"/>
  <c r="A114" i="10" s="1"/>
  <c r="A119" i="10" s="1"/>
  <c r="A124" i="10" s="1"/>
  <c r="A129" i="10" s="1"/>
  <c r="A134" i="10" s="1"/>
  <c r="A139" i="10" s="1"/>
  <c r="A144" i="10" s="1"/>
  <c r="A149" i="10" s="1"/>
  <c r="A154" i="10" s="1"/>
  <c r="A159" i="10" s="1"/>
  <c r="A164" i="10" s="1"/>
  <c r="A169" i="10" s="1"/>
  <c r="A174" i="10" s="1"/>
  <c r="A179" i="10" s="1"/>
  <c r="A184" i="10" s="1"/>
  <c r="A189" i="10" s="1"/>
  <c r="A194" i="10" s="1"/>
  <c r="A199" i="10" s="1"/>
  <c r="A204" i="10" s="1"/>
  <c r="A209" i="10" s="1"/>
  <c r="A214" i="10" s="1"/>
  <c r="A219" i="10" s="1"/>
  <c r="A224" i="10" s="1"/>
  <c r="A229" i="10" s="1"/>
  <c r="A234" i="10" s="1"/>
  <c r="A239" i="10" s="1"/>
  <c r="A244" i="10" s="1"/>
  <c r="A249" i="10" s="1"/>
  <c r="A254" i="10" s="1"/>
  <c r="A259" i="10" s="1"/>
  <c r="A264" i="10" s="1"/>
  <c r="A269" i="10" s="1"/>
  <c r="A274" i="10" s="1"/>
  <c r="A279" i="10" s="1"/>
  <c r="A284" i="10" s="1"/>
  <c r="A289" i="10" s="1"/>
  <c r="A294" i="10" s="1"/>
  <c r="A299" i="10" s="1"/>
  <c r="A304" i="10" s="1"/>
  <c r="A309" i="10" s="1"/>
  <c r="A314" i="10" s="1"/>
  <c r="A319" i="10" s="1"/>
  <c r="A324" i="10" s="1"/>
  <c r="A329" i="10" s="1"/>
  <c r="A334" i="10" s="1"/>
  <c r="A339" i="10" s="1"/>
  <c r="A344" i="10" s="1"/>
  <c r="A349" i="10" s="1"/>
  <c r="A354" i="10" s="1"/>
  <c r="A359" i="10" s="1"/>
  <c r="A364" i="10" s="1"/>
  <c r="A369" i="10" s="1"/>
  <c r="A374" i="10" s="1"/>
  <c r="A379" i="10" s="1"/>
  <c r="A384" i="10" s="1"/>
  <c r="A389" i="10" s="1"/>
  <c r="A394" i="10" s="1"/>
  <c r="A399" i="10" s="1"/>
  <c r="A404" i="10" s="1"/>
  <c r="A409" i="10" s="1"/>
  <c r="A414" i="10" s="1"/>
  <c r="A419" i="10" s="1"/>
  <c r="A424" i="10" s="1"/>
  <c r="A429" i="10" s="1"/>
  <c r="A434" i="10" s="1"/>
  <c r="A439" i="10" s="1"/>
  <c r="A444" i="10" s="1"/>
  <c r="A449" i="10" s="1"/>
  <c r="A454" i="10" s="1"/>
  <c r="A459" i="10" s="1"/>
  <c r="A464" i="10" s="1"/>
  <c r="A469" i="10" s="1"/>
  <c r="A474" i="10" s="1"/>
  <c r="A479" i="10" s="1"/>
  <c r="A484" i="10" s="1"/>
  <c r="A489" i="10" s="1"/>
  <c r="A494" i="10" s="1"/>
  <c r="A499" i="10" s="1"/>
  <c r="A504" i="10" s="1"/>
  <c r="A509" i="10" s="1"/>
  <c r="A514" i="10" s="1"/>
  <c r="A519" i="10" s="1"/>
  <c r="A524" i="10" s="1"/>
  <c r="A529" i="10" s="1"/>
  <c r="A534" i="10" s="1"/>
  <c r="A539" i="10" s="1"/>
  <c r="A544" i="10" s="1"/>
  <c r="A549" i="10" s="1"/>
  <c r="A554" i="10" s="1"/>
  <c r="A559" i="10" s="1"/>
  <c r="A564" i="10" s="1"/>
  <c r="A569" i="10" s="1"/>
  <c r="A574" i="10" s="1"/>
  <c r="A579" i="10" s="1"/>
  <c r="A584" i="10" s="1"/>
  <c r="A589" i="10" s="1"/>
  <c r="A594" i="10" s="1"/>
  <c r="A599" i="10" s="1"/>
  <c r="A604" i="10" s="1"/>
  <c r="A609" i="10" s="1"/>
  <c r="A614" i="10" s="1"/>
  <c r="A619" i="10" s="1"/>
  <c r="A624" i="10" s="1"/>
  <c r="A629" i="10" s="1"/>
  <c r="A634" i="10" s="1"/>
  <c r="A639" i="10" s="1"/>
  <c r="A644" i="10" s="1"/>
  <c r="A649" i="10" s="1"/>
  <c r="A654" i="10" s="1"/>
  <c r="A659" i="10" s="1"/>
  <c r="A664" i="10" s="1"/>
  <c r="A669" i="10" s="1"/>
  <c r="A674" i="10" s="1"/>
  <c r="A679" i="10" s="1"/>
  <c r="A684" i="10" s="1"/>
  <c r="A689" i="10" s="1"/>
  <c r="A694" i="10" s="1"/>
  <c r="A699" i="10" s="1"/>
  <c r="A704" i="10" s="1"/>
  <c r="A709" i="10" s="1"/>
  <c r="A714" i="10" s="1"/>
  <c r="A719" i="10" s="1"/>
  <c r="A724" i="10" s="1"/>
  <c r="A729" i="10" s="1"/>
  <c r="A734" i="10" s="1"/>
  <c r="A739" i="10" s="1"/>
  <c r="A744" i="10" s="1"/>
  <c r="A749" i="10" s="1"/>
  <c r="A754" i="10" s="1"/>
  <c r="A759" i="10" s="1"/>
  <c r="A764" i="10" s="1"/>
  <c r="A769" i="10" s="1"/>
  <c r="A774" i="10" s="1"/>
  <c r="A779" i="10" s="1"/>
  <c r="A784" i="10" s="1"/>
  <c r="A789" i="10" s="1"/>
  <c r="A794" i="10" s="1"/>
  <c r="A799" i="10" s="1"/>
  <c r="A804" i="10" s="1"/>
  <c r="A809" i="10" s="1"/>
  <c r="A814" i="10" s="1"/>
  <c r="A819" i="10" s="1"/>
  <c r="A824" i="10" s="1"/>
  <c r="A829" i="10" s="1"/>
  <c r="A834" i="10" s="1"/>
  <c r="A839" i="10" s="1"/>
  <c r="A844" i="10" s="1"/>
  <c r="A849" i="10" s="1"/>
  <c r="A854" i="10" s="1"/>
  <c r="M4" i="2" a="1"/>
  <c r="N4" i="2" a="1"/>
  <c r="H4" i="2" a="1"/>
  <c r="I4" i="2" a="1"/>
  <c r="L30" i="2"/>
  <c r="G30" i="2"/>
  <c r="L29" i="2"/>
  <c r="G29" i="2"/>
  <c r="G28" i="2"/>
  <c r="L28" i="2"/>
  <c r="L27" i="2"/>
  <c r="G27" i="2"/>
  <c r="G26" i="2"/>
  <c r="L26" i="2"/>
  <c r="G25" i="2"/>
  <c r="L25" i="2"/>
  <c r="G24" i="2"/>
  <c r="L24" i="2"/>
  <c r="G23" i="2"/>
  <c r="L23" i="2"/>
  <c r="G22" i="2"/>
  <c r="L22" i="2"/>
  <c r="G21" i="2"/>
  <c r="L21" i="2"/>
  <c r="G20" i="2"/>
  <c r="L20" i="2"/>
  <c r="G19" i="2"/>
  <c r="L19" i="2"/>
  <c r="G18" i="2"/>
  <c r="L18" i="2"/>
  <c r="G17" i="2"/>
  <c r="L17" i="2"/>
  <c r="G16" i="2"/>
  <c r="L16" i="2"/>
  <c r="G15" i="2"/>
  <c r="L15" i="2"/>
  <c r="G14" i="2"/>
  <c r="L14" i="2"/>
  <c r="G13" i="2"/>
  <c r="L13" i="2"/>
  <c r="G12" i="2"/>
  <c r="L12" i="2"/>
  <c r="G11" i="2"/>
  <c r="L11" i="2"/>
  <c r="G10" i="2"/>
  <c r="L10" i="2"/>
  <c r="G9" i="2"/>
  <c r="L9" i="2"/>
  <c r="G8" i="2"/>
  <c r="L8" i="2"/>
  <c r="G7" i="2"/>
  <c r="L7" i="2"/>
  <c r="G6" i="2"/>
  <c r="L6" i="2"/>
  <c r="G5" i="2"/>
  <c r="L5" i="2"/>
  <c r="G4" i="2"/>
  <c r="L4" i="2"/>
  <c r="G6" i="7" a="1"/>
  <c r="F6" i="7" a="1"/>
  <c r="C6" i="12" l="1"/>
  <c r="A3" i="11"/>
  <c r="E33" i="11"/>
  <c r="D33" i="11"/>
  <c r="C33" i="11"/>
  <c r="B33" i="11"/>
  <c r="A33" i="11"/>
  <c r="E32" i="11"/>
  <c r="D32" i="11"/>
  <c r="C32" i="11"/>
  <c r="B32" i="11"/>
  <c r="A32" i="11"/>
  <c r="E31" i="11"/>
  <c r="D31" i="11"/>
  <c r="C31" i="11"/>
  <c r="B31" i="11"/>
  <c r="A31" i="11"/>
  <c r="E30" i="11"/>
  <c r="D30" i="11"/>
  <c r="C30" i="11"/>
  <c r="B30" i="11"/>
  <c r="A30" i="11"/>
  <c r="E29" i="11"/>
  <c r="D29" i="11"/>
  <c r="C29" i="11"/>
  <c r="B29" i="11"/>
  <c r="A29" i="11"/>
  <c r="E28" i="11"/>
  <c r="D28" i="11"/>
  <c r="C28" i="11"/>
  <c r="B28" i="11"/>
  <c r="A28" i="11"/>
  <c r="E27" i="11"/>
  <c r="D27" i="11"/>
  <c r="C27" i="11"/>
  <c r="B27" i="11"/>
  <c r="A27" i="11"/>
  <c r="E26" i="11"/>
  <c r="D26" i="11"/>
  <c r="C26" i="11"/>
  <c r="A26" i="11"/>
  <c r="E25" i="11"/>
  <c r="D25" i="11"/>
  <c r="C25" i="11"/>
  <c r="B25" i="11"/>
  <c r="A25" i="11"/>
  <c r="E24" i="11"/>
  <c r="D24" i="11"/>
  <c r="C24" i="11"/>
  <c r="B24" i="11"/>
  <c r="A24" i="11"/>
  <c r="E23" i="11"/>
  <c r="D23" i="11"/>
  <c r="C23" i="11"/>
  <c r="B23" i="11"/>
  <c r="A23" i="11"/>
  <c r="E22" i="11"/>
  <c r="D22" i="11"/>
  <c r="C22" i="11"/>
  <c r="B22" i="11"/>
  <c r="A22" i="11"/>
  <c r="E21" i="11"/>
  <c r="D21" i="11"/>
  <c r="C21" i="11"/>
  <c r="B21" i="11"/>
  <c r="A21" i="11"/>
  <c r="E20" i="11"/>
  <c r="D20" i="11"/>
  <c r="C20" i="11"/>
  <c r="B20" i="11"/>
  <c r="A20" i="11"/>
  <c r="E19" i="11"/>
  <c r="D19" i="11"/>
  <c r="C19" i="11"/>
  <c r="B19" i="11"/>
  <c r="A19" i="11"/>
  <c r="E18" i="11"/>
  <c r="D18" i="11"/>
  <c r="C18" i="11"/>
  <c r="B18" i="11"/>
  <c r="A18" i="11"/>
  <c r="E17" i="11"/>
  <c r="D17" i="11"/>
  <c r="C17" i="11"/>
  <c r="B17" i="11"/>
  <c r="A17" i="11"/>
  <c r="E16" i="11"/>
  <c r="B26" i="11"/>
  <c r="D16" i="11"/>
  <c r="C16" i="11"/>
  <c r="B16" i="11"/>
  <c r="A16" i="11"/>
  <c r="E15" i="11"/>
  <c r="D15" i="11"/>
  <c r="C15" i="11"/>
  <c r="B15" i="11"/>
  <c r="A15" i="11"/>
  <c r="E14" i="11"/>
  <c r="D14" i="11"/>
  <c r="C14" i="11"/>
  <c r="B14" i="11"/>
  <c r="A14" i="11"/>
  <c r="E13" i="11"/>
  <c r="D13" i="11"/>
  <c r="C13" i="11"/>
  <c r="B13" i="11"/>
  <c r="A13" i="11"/>
  <c r="E12" i="11"/>
  <c r="D12" i="11"/>
  <c r="C12" i="11"/>
  <c r="B12" i="11"/>
  <c r="A12" i="11"/>
  <c r="E11" i="11"/>
  <c r="D11" i="11"/>
  <c r="C11" i="11"/>
  <c r="B11" i="11"/>
  <c r="A11" i="11"/>
  <c r="E10" i="11"/>
  <c r="D10" i="11"/>
  <c r="C10" i="11"/>
  <c r="B10" i="11"/>
  <c r="A10" i="11"/>
  <c r="E9" i="11"/>
  <c r="D9" i="11"/>
  <c r="C9" i="11"/>
  <c r="B9" i="11"/>
  <c r="A9" i="11"/>
  <c r="E8" i="11"/>
  <c r="D8" i="11"/>
  <c r="C8" i="11"/>
  <c r="B8" i="11"/>
  <c r="A8" i="11"/>
  <c r="E7" i="11"/>
  <c r="D7" i="11"/>
  <c r="C7" i="11"/>
  <c r="B7" i="11"/>
  <c r="A7" i="11"/>
  <c r="E6" i="11"/>
  <c r="D6" i="11"/>
  <c r="C6" i="11"/>
  <c r="B6" i="11"/>
  <c r="A6" i="11"/>
  <c r="E5" i="11"/>
  <c r="D5" i="11"/>
  <c r="C5" i="11"/>
  <c r="B5" i="11"/>
  <c r="A5" i="11"/>
  <c r="E4" i="11"/>
  <c r="D4" i="11"/>
  <c r="C4" i="11"/>
  <c r="B4" i="11"/>
  <c r="A4" i="11"/>
  <c r="E3" i="11"/>
  <c r="D3" i="11"/>
  <c r="C3" i="11"/>
  <c r="B3" i="11"/>
  <c r="L8" i="1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" i="2"/>
  <c r="H5" i="2"/>
  <c r="H7" i="2"/>
  <c r="H9" i="2"/>
  <c r="H10" i="2"/>
  <c r="H12" i="2"/>
  <c r="H14" i="2"/>
  <c r="H15" i="2"/>
  <c r="H18" i="2"/>
  <c r="H19" i="2"/>
  <c r="H21" i="2"/>
  <c r="H24" i="2"/>
  <c r="H25" i="2"/>
  <c r="H28" i="2"/>
  <c r="H29" i="2"/>
  <c r="H32" i="2"/>
  <c r="H34" i="2"/>
  <c r="H36" i="2"/>
  <c r="H37" i="2"/>
  <c r="H41" i="2"/>
  <c r="H42" i="2"/>
  <c r="H43" i="2"/>
  <c r="H4" i="2"/>
  <c r="H6" i="2"/>
  <c r="H8" i="2"/>
  <c r="H11" i="2"/>
  <c r="H13" i="2"/>
  <c r="H16" i="2"/>
  <c r="H17" i="2"/>
  <c r="H20" i="2"/>
  <c r="H22" i="2"/>
  <c r="H23" i="2"/>
  <c r="H26" i="2"/>
  <c r="H27" i="2"/>
  <c r="H30" i="2"/>
  <c r="H31" i="2"/>
  <c r="H33" i="2"/>
  <c r="H35" i="2"/>
  <c r="H38" i="2"/>
  <c r="H39" i="2"/>
  <c r="H40" i="2"/>
  <c r="H4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" i="2"/>
  <c r="G142" i="7"/>
  <c r="G140" i="7"/>
  <c r="G139" i="7"/>
  <c r="G137" i="7"/>
  <c r="G136" i="7"/>
  <c r="G133" i="7"/>
  <c r="G132" i="7"/>
  <c r="G131" i="7"/>
  <c r="G130" i="7"/>
  <c r="G128" i="7"/>
  <c r="G127" i="7"/>
  <c r="G126" i="7"/>
  <c r="G125" i="7"/>
  <c r="G124" i="7"/>
  <c r="G123" i="7"/>
  <c r="G119" i="7"/>
  <c r="G118" i="7"/>
  <c r="G117" i="7"/>
  <c r="G113" i="7"/>
  <c r="G109" i="7"/>
  <c r="G108" i="7"/>
  <c r="G107" i="7"/>
  <c r="G102" i="7"/>
  <c r="G101" i="7"/>
  <c r="G100" i="7"/>
  <c r="G98" i="7"/>
  <c r="G94" i="7"/>
  <c r="G92" i="7"/>
  <c r="G91" i="7"/>
  <c r="G90" i="7"/>
  <c r="G89" i="7"/>
  <c r="G87" i="7"/>
  <c r="G85" i="7"/>
  <c r="G84" i="7"/>
  <c r="G83" i="7"/>
  <c r="G80" i="7"/>
  <c r="G78" i="7"/>
  <c r="G76" i="7"/>
  <c r="G75" i="7"/>
  <c r="G74" i="7"/>
  <c r="G73" i="7"/>
  <c r="G67" i="7"/>
  <c r="G66" i="7"/>
  <c r="G65" i="7"/>
  <c r="G63" i="7"/>
  <c r="G62" i="7"/>
  <c r="G60" i="7"/>
  <c r="G59" i="7"/>
  <c r="G58" i="7"/>
  <c r="G57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6" i="7"/>
  <c r="G141" i="7"/>
  <c r="G138" i="7"/>
  <c r="G135" i="7"/>
  <c r="G134" i="7"/>
  <c r="G129" i="7"/>
  <c r="G122" i="7"/>
  <c r="G121" i="7"/>
  <c r="G120" i="7"/>
  <c r="G116" i="7"/>
  <c r="G115" i="7"/>
  <c r="G114" i="7"/>
  <c r="G112" i="7"/>
  <c r="G111" i="7"/>
  <c r="G110" i="7"/>
  <c r="G106" i="7"/>
  <c r="G105" i="7"/>
  <c r="G104" i="7"/>
  <c r="G103" i="7"/>
  <c r="G99" i="7"/>
  <c r="G97" i="7"/>
  <c r="G96" i="7"/>
  <c r="G95" i="7"/>
  <c r="G93" i="7"/>
  <c r="G88" i="7"/>
  <c r="G86" i="7"/>
  <c r="G82" i="7"/>
  <c r="G81" i="7"/>
  <c r="G79" i="7"/>
  <c r="G77" i="7"/>
  <c r="G72" i="7"/>
  <c r="G71" i="7"/>
  <c r="G70" i="7"/>
  <c r="G69" i="7"/>
  <c r="G68" i="7"/>
  <c r="G64" i="7"/>
  <c r="G61" i="7"/>
  <c r="G56" i="7"/>
  <c r="G55" i="7"/>
  <c r="G14" i="7"/>
  <c r="G13" i="7"/>
  <c r="G12" i="7"/>
  <c r="G11" i="7"/>
  <c r="G10" i="7"/>
  <c r="G9" i="7"/>
  <c r="G8" i="7"/>
  <c r="G7" i="7"/>
  <c r="F6" i="7"/>
  <c r="F142" i="7"/>
  <c r="F141" i="7"/>
  <c r="F140" i="7"/>
  <c r="H140" i="7" s="1"/>
  <c r="I140" i="7" s="1"/>
  <c r="F139" i="7"/>
  <c r="H139" i="7" s="1"/>
  <c r="I139" i="7" s="1"/>
  <c r="F138" i="7"/>
  <c r="F137" i="7"/>
  <c r="H137" i="7" s="1"/>
  <c r="I137" i="7" s="1"/>
  <c r="F136" i="7"/>
  <c r="H136" i="7" s="1"/>
  <c r="I136" i="7" s="1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K17" i="12"/>
  <c r="L17" i="12" s="1"/>
  <c r="K26" i="12"/>
  <c r="L26" i="12" s="1"/>
  <c r="K15" i="12"/>
  <c r="L15" i="12" s="1"/>
  <c r="K14" i="12"/>
  <c r="L14" i="12" s="1"/>
  <c r="K13" i="12"/>
  <c r="L13" i="12" s="1"/>
  <c r="K12" i="12"/>
  <c r="L12" i="12" s="1"/>
  <c r="K38" i="12"/>
  <c r="L38" i="12" s="1"/>
  <c r="K37" i="12"/>
  <c r="L37" i="12" s="1"/>
  <c r="K35" i="12"/>
  <c r="L35" i="12" s="1"/>
  <c r="K34" i="12"/>
  <c r="L34" i="12" s="1"/>
  <c r="K32" i="12"/>
  <c r="L32" i="12" s="1"/>
  <c r="K21" i="12"/>
  <c r="L21" i="12" s="1"/>
  <c r="K20" i="12"/>
  <c r="L20" i="12" s="1"/>
  <c r="K19" i="12"/>
  <c r="L19" i="12" s="1"/>
  <c r="K18" i="12"/>
  <c r="L18" i="12" s="1"/>
  <c r="K16" i="12"/>
  <c r="L16" i="12" s="1"/>
  <c r="K11" i="12"/>
  <c r="L11" i="12" s="1"/>
  <c r="K10" i="12"/>
  <c r="L10" i="12" s="1"/>
  <c r="K25" i="12"/>
  <c r="L25" i="12" s="1"/>
  <c r="K33" i="12"/>
  <c r="L33" i="12" s="1"/>
  <c r="K31" i="12"/>
  <c r="L31" i="12" s="1"/>
  <c r="K30" i="12"/>
  <c r="L30" i="12" s="1"/>
  <c r="K29" i="12"/>
  <c r="L29" i="12" s="1"/>
  <c r="K9" i="12"/>
  <c r="D6" i="12"/>
  <c r="E6" i="12"/>
  <c r="F6" i="12"/>
  <c r="G6" i="12"/>
  <c r="H6" i="12"/>
  <c r="I6" i="12"/>
  <c r="J6" i="12"/>
  <c r="K28" i="12"/>
  <c r="L28" i="12" s="1"/>
  <c r="K27" i="12"/>
  <c r="L27" i="12" s="1"/>
  <c r="K36" i="12"/>
  <c r="L36" i="12" s="1"/>
  <c r="K24" i="12"/>
  <c r="L24" i="12" s="1"/>
  <c r="K23" i="12"/>
  <c r="L23" i="12" s="1"/>
  <c r="K22" i="12"/>
  <c r="L22" i="12" s="1"/>
  <c r="E2" i="11" l="1"/>
  <c r="H67" i="7"/>
  <c r="I67" i="7" s="1"/>
  <c r="H66" i="7"/>
  <c r="I66" i="7" s="1"/>
  <c r="H65" i="7"/>
  <c r="I65" i="7" s="1"/>
  <c r="H63" i="7"/>
  <c r="I63" i="7" s="1"/>
  <c r="H60" i="7"/>
  <c r="I60" i="7" s="1"/>
  <c r="I59" i="7" s="1"/>
  <c r="H58" i="7"/>
  <c r="H6" i="7"/>
  <c r="I6" i="7" s="1"/>
  <c r="H141" i="7"/>
  <c r="I141" i="7" s="1"/>
  <c r="H138" i="7"/>
  <c r="I138" i="7" s="1"/>
  <c r="H135" i="7"/>
  <c r="I135" i="7" s="1"/>
  <c r="H134" i="7"/>
  <c r="I134" i="7" s="1"/>
  <c r="H54" i="7"/>
  <c r="I54" i="7" s="1"/>
  <c r="H53" i="7"/>
  <c r="I53" i="7" s="1"/>
  <c r="H52" i="7"/>
  <c r="I52" i="7" s="1"/>
  <c r="H51" i="7"/>
  <c r="I51" i="7" s="1"/>
  <c r="H48" i="7"/>
  <c r="I48" i="7" s="1"/>
  <c r="H47" i="7"/>
  <c r="I47" i="7" s="1"/>
  <c r="I46" i="7" s="1"/>
  <c r="H45" i="7"/>
  <c r="I45" i="7" s="1"/>
  <c r="H44" i="7"/>
  <c r="I44" i="7" s="1"/>
  <c r="H43" i="7"/>
  <c r="I43" i="7" s="1"/>
  <c r="H42" i="7"/>
  <c r="I42" i="7" s="1"/>
  <c r="H41" i="7"/>
  <c r="I41" i="7" s="1"/>
  <c r="H133" i="7"/>
  <c r="I133" i="7" s="1"/>
  <c r="H128" i="7"/>
  <c r="I128" i="7" s="1"/>
  <c r="H127" i="7"/>
  <c r="I127" i="7" s="1"/>
  <c r="H126" i="7"/>
  <c r="I126" i="7" s="1"/>
  <c r="H125" i="7"/>
  <c r="I125" i="7" s="1"/>
  <c r="H124" i="7"/>
  <c r="I124" i="7" s="1"/>
  <c r="H123" i="7"/>
  <c r="I123" i="7" s="1"/>
  <c r="I122" i="7" s="1"/>
  <c r="H121" i="7"/>
  <c r="I121" i="7" s="1"/>
  <c r="H120" i="7"/>
  <c r="I120" i="7" s="1"/>
  <c r="H119" i="7"/>
  <c r="I119" i="7" s="1"/>
  <c r="H118" i="7"/>
  <c r="I118" i="7" s="1"/>
  <c r="H117" i="7"/>
  <c r="I117" i="7" s="1"/>
  <c r="H116" i="7"/>
  <c r="I116" i="7" s="1"/>
  <c r="I115" i="7" s="1"/>
  <c r="H64" i="7"/>
  <c r="I64" i="7" s="1"/>
  <c r="H61" i="7"/>
  <c r="H56" i="7"/>
  <c r="I56" i="7" s="1"/>
  <c r="H55" i="7"/>
  <c r="I55" i="7" s="1"/>
  <c r="I49" i="7" s="1"/>
  <c r="H40" i="7"/>
  <c r="I40" i="7" s="1"/>
  <c r="H39" i="7"/>
  <c r="I39" i="7" s="1"/>
  <c r="H38" i="7"/>
  <c r="I38" i="7" s="1"/>
  <c r="H37" i="7"/>
  <c r="I37" i="7" s="1"/>
  <c r="H35" i="7"/>
  <c r="H34" i="7"/>
  <c r="I34" i="7" s="1"/>
  <c r="H33" i="7"/>
  <c r="I33" i="7" s="1"/>
  <c r="H32" i="7"/>
  <c r="I32" i="7" s="1"/>
  <c r="H31" i="7"/>
  <c r="I31" i="7" s="1"/>
  <c r="H30" i="7"/>
  <c r="I30" i="7" s="1"/>
  <c r="H29" i="7"/>
  <c r="I29" i="7" s="1"/>
  <c r="H28" i="7"/>
  <c r="I28" i="7" s="1"/>
  <c r="H27" i="7"/>
  <c r="I27" i="7" s="1"/>
  <c r="H26" i="7"/>
  <c r="I26" i="7" s="1"/>
  <c r="H25" i="7"/>
  <c r="I25" i="7" s="1"/>
  <c r="H24" i="7"/>
  <c r="I24" i="7" s="1"/>
  <c r="H23" i="7"/>
  <c r="I23" i="7" s="1"/>
  <c r="H22" i="7"/>
  <c r="I22" i="7" s="1"/>
  <c r="H21" i="7"/>
  <c r="I21" i="7" s="1"/>
  <c r="H20" i="7"/>
  <c r="I20" i="7" s="1"/>
  <c r="H19" i="7"/>
  <c r="I19" i="7" s="1"/>
  <c r="H17" i="7"/>
  <c r="I17" i="7" s="1"/>
  <c r="H16" i="7"/>
  <c r="I16" i="7" s="1"/>
  <c r="H15" i="7"/>
  <c r="I15" i="7" s="1"/>
  <c r="H14" i="7"/>
  <c r="I14" i="7" s="1"/>
  <c r="H13" i="7"/>
  <c r="I13" i="7" s="1"/>
  <c r="H12" i="7"/>
  <c r="I12" i="7" s="1"/>
  <c r="H11" i="7"/>
  <c r="I11" i="7" s="1"/>
  <c r="H10" i="7"/>
  <c r="I10" i="7" s="1"/>
  <c r="H9" i="7"/>
  <c r="I9" i="7" s="1"/>
  <c r="H8" i="7"/>
  <c r="I8" i="7" s="1"/>
  <c r="H7" i="7"/>
  <c r="I7" i="7" s="1"/>
  <c r="H142" i="7"/>
  <c r="I142" i="7" s="1"/>
  <c r="O5" i="2"/>
  <c r="J5" i="2"/>
  <c r="O7" i="2"/>
  <c r="J7" i="2"/>
  <c r="O9" i="2"/>
  <c r="J9" i="2"/>
  <c r="O10" i="2"/>
  <c r="J10" i="2"/>
  <c r="O12" i="2"/>
  <c r="J12" i="2"/>
  <c r="O14" i="2"/>
  <c r="J14" i="2"/>
  <c r="O15" i="2"/>
  <c r="J15" i="2"/>
  <c r="O18" i="2"/>
  <c r="J18" i="2"/>
  <c r="O19" i="2"/>
  <c r="J19" i="2"/>
  <c r="O21" i="2"/>
  <c r="J21" i="2"/>
  <c r="O24" i="2"/>
  <c r="J24" i="2"/>
  <c r="O25" i="2"/>
  <c r="J25" i="2"/>
  <c r="O28" i="2"/>
  <c r="J28" i="2"/>
  <c r="J29" i="2"/>
  <c r="O29" i="2"/>
  <c r="J32" i="2"/>
  <c r="O32" i="2"/>
  <c r="J34" i="2"/>
  <c r="O34" i="2"/>
  <c r="J36" i="2"/>
  <c r="O36" i="2"/>
  <c r="J37" i="2"/>
  <c r="O37" i="2"/>
  <c r="J41" i="2"/>
  <c r="O41" i="2"/>
  <c r="J42" i="2"/>
  <c r="O42" i="2"/>
  <c r="J43" i="2"/>
  <c r="O43" i="2"/>
  <c r="O4" i="2"/>
  <c r="J4" i="2"/>
  <c r="O6" i="2"/>
  <c r="J6" i="2"/>
  <c r="O8" i="2"/>
  <c r="J8" i="2"/>
  <c r="O11" i="2"/>
  <c r="J11" i="2"/>
  <c r="O13" i="2"/>
  <c r="J13" i="2"/>
  <c r="O16" i="2"/>
  <c r="J16" i="2"/>
  <c r="O17" i="2"/>
  <c r="J17" i="2"/>
  <c r="O20" i="2"/>
  <c r="J20" i="2"/>
  <c r="O22" i="2"/>
  <c r="J22" i="2"/>
  <c r="O23" i="2"/>
  <c r="J23" i="2"/>
  <c r="O26" i="2"/>
  <c r="J26" i="2"/>
  <c r="J27" i="2"/>
  <c r="O27" i="2"/>
  <c r="J30" i="2"/>
  <c r="O30" i="2"/>
  <c r="J31" i="2"/>
  <c r="O31" i="2"/>
  <c r="J33" i="2"/>
  <c r="O33" i="2"/>
  <c r="J35" i="2"/>
  <c r="O35" i="2"/>
  <c r="J38" i="2"/>
  <c r="O38" i="2"/>
  <c r="J39" i="2"/>
  <c r="O39" i="2"/>
  <c r="J40" i="2"/>
  <c r="O40" i="2"/>
  <c r="J44" i="2"/>
  <c r="O44" i="2"/>
  <c r="H114" i="7"/>
  <c r="I114" i="7" s="1"/>
  <c r="H113" i="7"/>
  <c r="I113" i="7" s="1"/>
  <c r="H112" i="7"/>
  <c r="I112" i="7" s="1"/>
  <c r="H111" i="7"/>
  <c r="I111" i="7" s="1"/>
  <c r="H110" i="7"/>
  <c r="I110" i="7" s="1"/>
  <c r="H109" i="7"/>
  <c r="I109" i="7" s="1"/>
  <c r="H108" i="7"/>
  <c r="I108" i="7" s="1"/>
  <c r="H107" i="7"/>
  <c r="I107" i="7" s="1"/>
  <c r="H106" i="7"/>
  <c r="I106" i="7" s="1"/>
  <c r="H105" i="7"/>
  <c r="I105" i="7" s="1"/>
  <c r="H104" i="7"/>
  <c r="I104" i="7" s="1"/>
  <c r="H103" i="7"/>
  <c r="I103" i="7" s="1"/>
  <c r="H102" i="7"/>
  <c r="I102" i="7" s="1"/>
  <c r="H101" i="7"/>
  <c r="I101" i="7" s="1"/>
  <c r="H100" i="7"/>
  <c r="I100" i="7" s="1"/>
  <c r="H99" i="7"/>
  <c r="I99" i="7" s="1"/>
  <c r="H98" i="7"/>
  <c r="I98" i="7" s="1"/>
  <c r="H97" i="7"/>
  <c r="I97" i="7" s="1"/>
  <c r="H96" i="7"/>
  <c r="I96" i="7" s="1"/>
  <c r="H95" i="7"/>
  <c r="I95" i="7" s="1"/>
  <c r="H94" i="7"/>
  <c r="I94" i="7" s="1"/>
  <c r="H93" i="7"/>
  <c r="I93" i="7" s="1"/>
  <c r="H92" i="7"/>
  <c r="I92" i="7" s="1"/>
  <c r="H91" i="7"/>
  <c r="I91" i="7" s="1"/>
  <c r="H90" i="7"/>
  <c r="I90" i="7" s="1"/>
  <c r="H89" i="7"/>
  <c r="I89" i="7" s="1"/>
  <c r="H88" i="7"/>
  <c r="I88" i="7" s="1"/>
  <c r="H87" i="7"/>
  <c r="I87" i="7" s="1"/>
  <c r="H86" i="7"/>
  <c r="I86" i="7" s="1"/>
  <c r="H85" i="7"/>
  <c r="I85" i="7" s="1"/>
  <c r="H84" i="7"/>
  <c r="I84" i="7" s="1"/>
  <c r="H83" i="7"/>
  <c r="I83" i="7" s="1"/>
  <c r="H82" i="7"/>
  <c r="I82" i="7" s="1"/>
  <c r="H81" i="7"/>
  <c r="I81" i="7" s="1"/>
  <c r="H80" i="7"/>
  <c r="I80" i="7" s="1"/>
  <c r="H79" i="7"/>
  <c r="I79" i="7" s="1"/>
  <c r="H78" i="7"/>
  <c r="I78" i="7" s="1"/>
  <c r="H77" i="7"/>
  <c r="I77" i="7" s="1"/>
  <c r="H76" i="7"/>
  <c r="I76" i="7" s="1"/>
  <c r="H75" i="7"/>
  <c r="I75" i="7" s="1"/>
  <c r="H74" i="7"/>
  <c r="I74" i="7" s="1"/>
  <c r="H73" i="7"/>
  <c r="I73" i="7" s="1"/>
  <c r="H72" i="7"/>
  <c r="I72" i="7" s="1"/>
  <c r="H71" i="7"/>
  <c r="I71" i="7" s="1"/>
  <c r="H70" i="7"/>
  <c r="I70" i="7" s="1"/>
  <c r="H69" i="7"/>
  <c r="I69" i="7" s="1"/>
  <c r="H68" i="7"/>
  <c r="I68" i="7" s="1"/>
  <c r="H49" i="7"/>
  <c r="L9" i="12"/>
  <c r="L6" i="12" s="1"/>
  <c r="L4" i="12" s="1"/>
  <c r="K6" i="12"/>
  <c r="I35" i="7" l="1"/>
  <c r="I132" i="7"/>
  <c r="I4" i="7"/>
  <c r="I18" i="7"/>
  <c r="I61" i="7"/>
</calcChain>
</file>

<file path=xl/sharedStrings.xml><?xml version="1.0" encoding="utf-8"?>
<sst xmlns="http://schemas.openxmlformats.org/spreadsheetml/2006/main" count="9029" uniqueCount="787">
  <si>
    <t>S/L</t>
  </si>
  <si>
    <t>Company</t>
  </si>
  <si>
    <t>Group</t>
  </si>
  <si>
    <t>Category</t>
  </si>
  <si>
    <t>SubCategory</t>
  </si>
  <si>
    <t>Item Code</t>
  </si>
  <si>
    <t>FG</t>
  </si>
  <si>
    <t>Item Name</t>
  </si>
  <si>
    <t>Unit</t>
  </si>
  <si>
    <t>Store Qty</t>
  </si>
  <si>
    <t>Section Qty</t>
  </si>
  <si>
    <t>FAN</t>
  </si>
  <si>
    <t>Fan Scrap</t>
  </si>
  <si>
    <t>Aluminium Bar Scrap</t>
  </si>
  <si>
    <t>KG</t>
  </si>
  <si>
    <t>Silicon Sheet 25 Gage Scrap</t>
  </si>
  <si>
    <t>Ceiling Raw</t>
  </si>
  <si>
    <t>Aluminum Ingot</t>
  </si>
  <si>
    <t>Aluminium Bar</t>
  </si>
  <si>
    <t>Aluminum Blade Sheet-1.22mm(18G)</t>
  </si>
  <si>
    <t>Silicon Sheet-0.51mm(25G) (Hard)</t>
  </si>
  <si>
    <t>Silicon Sheet 0.51mm (25G) Hard 7`` (179.9mm)</t>
  </si>
  <si>
    <t>Silicon Sheet 0.51mm (25G) Hard 6`` (155.9mm)</t>
  </si>
  <si>
    <t>Silicon Sheet 0.51mm (25G) Hard 5.5`` (142.8mm)</t>
  </si>
  <si>
    <t>MS Shank Sheet 2.03mm(14G) (M Hard)</t>
  </si>
  <si>
    <t>MS Shank/Clamp Sheet 1.83mm(15G)</t>
  </si>
  <si>
    <t>MS Blade Sheet 0.61mm(23G) (Hard)</t>
  </si>
  <si>
    <t>MS Blade Sheet 0.61mm(23G) (M Hard)</t>
  </si>
  <si>
    <t>MS Pipe - OD=22mm, ID=18mm, T=2mm, L=20feet</t>
  </si>
  <si>
    <t>Feet</t>
  </si>
  <si>
    <t>Super Wire (SWG 33) / 0.253mm</t>
  </si>
  <si>
    <t>Super Wire (SWG 34) / 0.233mm</t>
  </si>
  <si>
    <t>Super Wire (SWG 35) / 0.213mm</t>
  </si>
  <si>
    <t>Insulation Fiber 20 mm x 0.35mm</t>
  </si>
  <si>
    <t>Insulation Fiber 27 mm x 0.190mm</t>
  </si>
  <si>
    <t>Lather Fiber 10 mm</t>
  </si>
  <si>
    <t>FAN Ampere Tube-03 no</t>
  </si>
  <si>
    <t>Mtr</t>
  </si>
  <si>
    <t>FAN Ampere Tube-04 no</t>
  </si>
  <si>
    <t>FAN Ampere Tube-08 no</t>
  </si>
  <si>
    <t>Cable Tie -3x100mm</t>
  </si>
  <si>
    <t>Pcs</t>
  </si>
  <si>
    <t>Solven</t>
  </si>
  <si>
    <t>Ltr</t>
  </si>
  <si>
    <t>Vernish-1132</t>
  </si>
  <si>
    <t>Armature Rope</t>
  </si>
  <si>
    <t>XL/Shaft (Big)-144mm</t>
  </si>
  <si>
    <t>XL/Shaft (small)-137mm</t>
  </si>
  <si>
    <t>pcs</t>
  </si>
  <si>
    <t>Ball Bearing 6202 (HCH-V2+)</t>
  </si>
  <si>
    <t>Ball Bearing 6203 (HCH-V2+)</t>
  </si>
  <si>
    <t>Capacitor 2.5 uF (BM)</t>
  </si>
  <si>
    <t>Capacitor 2.2 uF</t>
  </si>
  <si>
    <t>Deko Paint Oxford Blue</t>
  </si>
  <si>
    <t>Deko Paint Green Lim</t>
  </si>
  <si>
    <t>Golden Powder</t>
  </si>
  <si>
    <t>Powder Coating - cresent White</t>
  </si>
  <si>
    <t>Gardo Clean - 619 (FAN)</t>
  </si>
  <si>
    <t>Gardo Acid -E219</t>
  </si>
  <si>
    <t>Gardo bond -E711</t>
  </si>
  <si>
    <t>Gardo Acid -201AA</t>
  </si>
  <si>
    <t>Gardo Acid -206M</t>
  </si>
  <si>
    <t>Gardo len-26M</t>
  </si>
  <si>
    <t>Kg</t>
  </si>
  <si>
    <t>Gardo bond-C.e</t>
  </si>
  <si>
    <t>Gardo len-86</t>
  </si>
  <si>
    <t>Ltr.</t>
  </si>
  <si>
    <t>Gardo Acid -10A</t>
  </si>
  <si>
    <t>Gardo bond -Acc14</t>
  </si>
  <si>
    <t>Paint Clear</t>
  </si>
  <si>
    <t>Show Cap-Plastic</t>
  </si>
  <si>
    <t>Show Cap-Steel (Big)-50mm</t>
  </si>
  <si>
    <t>Show Cap-Steel(small)-42mm</t>
  </si>
  <si>
    <t>Premium Gold Blade Showcap</t>
  </si>
  <si>
    <t>Safety Wire</t>
  </si>
  <si>
    <t>Silika Gel</t>
  </si>
  <si>
    <t>Armature Coton Tap</t>
  </si>
  <si>
    <t>MS/Alu Rivet (1020/kg)</t>
  </si>
  <si>
    <t>Rubber Bend (5000/kg)</t>
  </si>
  <si>
    <t>Down Pipe Nut 8mm (190/kg)</t>
  </si>
  <si>
    <t>Safety Lock Nut 3/16 (1200/kg)</t>
  </si>
  <si>
    <t>Spiring Washer 6mm 1400/kg)</t>
  </si>
  <si>
    <t>Spiring Washer 8mm (880/kg)</t>
  </si>
  <si>
    <t>Ms Washer 3/16 (1910/kg)</t>
  </si>
  <si>
    <t>Down Pipe Bolt 8mm x 1.5```` (50/kg)</t>
  </si>
  <si>
    <t>Down Pipe Bolt 8mm x 2```` (45/kg)</t>
  </si>
  <si>
    <t>Down Pipe Sira Pin(Fan)</t>
  </si>
  <si>
    <t>Shaft/XL /Safity lock Screw 3/16x3/8```` (400/kg)</t>
  </si>
  <si>
    <t>Body Screw 18x6mm,H=10mm (200/kg)</t>
  </si>
  <si>
    <t>Body Screw 15x6mm,H=10mm (230/kg)</t>
  </si>
  <si>
    <t>Blade/Body Screw 12.7x6mm,H=10mm (220/kg)</t>
  </si>
  <si>
    <t>Canopy Big</t>
  </si>
  <si>
    <t>Canopy Small</t>
  </si>
  <si>
    <t>Capacitor Cover</t>
  </si>
  <si>
    <t>Rubber Gasket (56`` 48``)</t>
  </si>
  <si>
    <t>Rubber Gasket (2401,3601)</t>
  </si>
  <si>
    <t>Plastic XL Cap</t>
  </si>
  <si>
    <t>Insulation Rubber</t>
  </si>
  <si>
    <t>Canopy Rubber Ring</t>
  </si>
  <si>
    <t>Alu Flask (FAN)</t>
  </si>
  <si>
    <t>Flaxible Cable 14x0.0076 - Red</t>
  </si>
  <si>
    <t>FAN Ampere Tube-01 no</t>
  </si>
  <si>
    <t>Powder Coating - Classic White</t>
  </si>
  <si>
    <t>Soldering Wire</t>
  </si>
  <si>
    <t>Nice Regulator Small White(FAN)</t>
  </si>
  <si>
    <t>NC / ABC Thinner</t>
  </si>
  <si>
    <t>Body Show Cap - 5603</t>
  </si>
  <si>
    <t>Rubber Gasket (5602)</t>
  </si>
  <si>
    <t>Flaxible Cable 14x0.0076 - Yellow</t>
  </si>
  <si>
    <t>Flaxible Cable 14x0.0076 - Black</t>
  </si>
  <si>
    <t>Ball Bearing 6202 (BMT)</t>
  </si>
  <si>
    <t>Ball Bearing 6203-BMT</t>
  </si>
  <si>
    <t>Capacitor 2.5 uF (Thailand)</t>
  </si>
  <si>
    <t>Canopy White</t>
  </si>
  <si>
    <t>FAN Copper Rod 8mm</t>
  </si>
  <si>
    <t>Promotional Gang Regulator White (P512)</t>
  </si>
  <si>
    <t>XL/Shaft -178mm</t>
  </si>
  <si>
    <t>Down Pipe - 5607</t>
  </si>
  <si>
    <t>Neck - 5607</t>
  </si>
  <si>
    <t>Canopy with Ring - 5607</t>
  </si>
  <si>
    <t>Body Show Cap - 5607</t>
  </si>
  <si>
    <t>Blade Show Cap - 5607</t>
  </si>
  <si>
    <t>Capacitor Support- 5607</t>
  </si>
  <si>
    <t>Down Pipe Sira Pin (Big)</t>
  </si>
  <si>
    <t>Down Pipe Jam Nut - 5607</t>
  </si>
  <si>
    <t>Decorative Nut Bolt - 5607</t>
  </si>
  <si>
    <t>Set</t>
  </si>
  <si>
    <t>Body screw- 3/16`` x 35mm</t>
  </si>
  <si>
    <t>ADC12 Aluminium Ingot</t>
  </si>
  <si>
    <t>Aluminium Bar Scrap Local - FAN</t>
  </si>
  <si>
    <t>Super Enamel Copper Scrap Local - FAN</t>
  </si>
  <si>
    <t>MS Sheet 2.03mm(14G)-L/C</t>
  </si>
  <si>
    <t>Ball Bearing 6202 -(CnU)</t>
  </si>
  <si>
    <t>Ball Bearing 6203 (CnU)</t>
  </si>
  <si>
    <t>MEP Cable Tie -2.5 x100mm</t>
  </si>
  <si>
    <t>MEP Capacitor 2.5 µF (450VAC)</t>
  </si>
  <si>
    <t>MEP Capacitor 3.5 µF (450VAC)</t>
  </si>
  <si>
    <t>Ball Bearing 6202 (KBK)</t>
  </si>
  <si>
    <t>Ball Bearing 6203 (KBK)</t>
  </si>
  <si>
    <t>Exhaust Raw</t>
  </si>
  <si>
    <t>Exhaust Fan Base (8``)</t>
  </si>
  <si>
    <t>Exhaust Fan Cover (8``)</t>
  </si>
  <si>
    <t>Exhaust Fan Shutter (8``)</t>
  </si>
  <si>
    <t>Exhaust Fan Blade (8``)</t>
  </si>
  <si>
    <t>Exhaust Fan Side Stand (8``)</t>
  </si>
  <si>
    <t>Exhaust Fan Show Cap With Pitol Bush</t>
  </si>
  <si>
    <t>Exhaust Fan Capacitor Box</t>
  </si>
  <si>
    <t>Exhaust Fan Stick (8``)</t>
  </si>
  <si>
    <t>Exhaust Fan Clam</t>
  </si>
  <si>
    <t>Exhaust Fan Spring (FAN)</t>
  </si>
  <si>
    <t>Exhaust Fan Spring Lock</t>
  </si>
  <si>
    <t>Cable 2x23/0.0076</t>
  </si>
  <si>
    <t>5/32 Inch, 9mm Screw</t>
  </si>
  <si>
    <t>Cable Tie -4x150mm</t>
  </si>
  <si>
    <t>Exhaust Fan Capacitor 1.0 (8``)</t>
  </si>
  <si>
    <t>Exhaust Fan Motor 8``</t>
  </si>
  <si>
    <t>MEP Cable Tie -3.5x150mm</t>
  </si>
  <si>
    <t>Exhaust Fan Motor (8``)-Alu</t>
  </si>
  <si>
    <t>Exhaust Fan Motor (10``)-Alu</t>
  </si>
  <si>
    <t>Exhaust Fan Spring - FAN</t>
  </si>
  <si>
    <t>Exhaust Fan Capacitor 1.2 (10``)</t>
  </si>
  <si>
    <t>Exhaust Fan Motor (10``)</t>
  </si>
  <si>
    <t>Rechargeable Raw</t>
  </si>
  <si>
    <t>Motor-6V</t>
  </si>
  <si>
    <t>Lead-acid battery, 6V, 4.5AH</t>
  </si>
  <si>
    <t>Control board</t>
  </si>
  <si>
    <t>Driver</t>
  </si>
  <si>
    <t>Base With Stand - (Rec-12 Inch)</t>
  </si>
  <si>
    <t>Battery Base-(Rec-12 Inch)</t>
  </si>
  <si>
    <t>Battery Base Cover-(Rec-12 Inch)</t>
  </si>
  <si>
    <t>Key Panel-(Rec-12 Inch)</t>
  </si>
  <si>
    <t>LED Cover-(Rec-12 Inch)</t>
  </si>
  <si>
    <t>Key Holder</t>
  </si>
  <si>
    <t>Motor Back Cover</t>
  </si>
  <si>
    <t>Motor Front Cover</t>
  </si>
  <si>
    <t>Motor Holder</t>
  </si>
  <si>
    <t>Connector (Neck)</t>
  </si>
  <si>
    <t>Connector (Neck) Surface Cover</t>
  </si>
  <si>
    <t>Connector (Neck) Cover</t>
  </si>
  <si>
    <t>Grill Show Cap (Name plate)</t>
  </si>
  <si>
    <t>Blade Lock</t>
  </si>
  <si>
    <t>Grill Lock</t>
  </si>
  <si>
    <t>Steering Pull Pin</t>
  </si>
  <si>
    <t>Gear Box - FAN</t>
  </si>
  <si>
    <t>Blade Connecting Rod</t>
  </si>
  <si>
    <t>Gear Box Connecting Rod</t>
  </si>
  <si>
    <t>Grill Front (Rec-12 Inch)</t>
  </si>
  <si>
    <t>Grill Belt</t>
  </si>
  <si>
    <t>Blade-(Rec-12 Inch)</t>
  </si>
  <si>
    <t>Oscillation Arm</t>
  </si>
  <si>
    <t>Connector (Neck) Holder</t>
  </si>
  <si>
    <t>Connector (Neck) Spring</t>
  </si>
  <si>
    <t>Spring-(Rec-Fan)</t>
  </si>
  <si>
    <t>Outlet</t>
  </si>
  <si>
    <t>Switch</t>
  </si>
  <si>
    <t>Grill Back (Rec-12 Inch)</t>
  </si>
  <si>
    <t>PCB-LED</t>
  </si>
  <si>
    <t>Pad Cotton</t>
  </si>
  <si>
    <t>Motor Cotton</t>
  </si>
  <si>
    <t>AC Power Cable</t>
  </si>
  <si>
    <t>Marble</t>
  </si>
  <si>
    <t>Butyronitrile Washer</t>
  </si>
  <si>
    <t>Washer (FAN)</t>
  </si>
  <si>
    <t>Bolt-M6*20mm</t>
  </si>
  <si>
    <t>Bolt-M4*20mm</t>
  </si>
  <si>
    <t>Nut-M6*6mm</t>
  </si>
  <si>
    <t>Nut-M4*3mm</t>
  </si>
  <si>
    <t>Screw-M3.5*10mm</t>
  </si>
  <si>
    <t>Screw-M3*5mm</t>
  </si>
  <si>
    <t>Screw-M4*15mm</t>
  </si>
  <si>
    <t>Screw-M4*12mm</t>
  </si>
  <si>
    <t>Screw-M4*6mm</t>
  </si>
  <si>
    <t>Screw-M3*12mm</t>
  </si>
  <si>
    <t>Screw-M3*8mm</t>
  </si>
  <si>
    <t>Screw-M2.6*6mm</t>
  </si>
  <si>
    <t>Screw-M3*6mm</t>
  </si>
  <si>
    <t>Battery Cable (+) Red</t>
  </si>
  <si>
    <t>Battery Cable (-) Black</t>
  </si>
  <si>
    <t>Switch Cable-Red</t>
  </si>
  <si>
    <t>Power Output Line Cable (2)</t>
  </si>
  <si>
    <t>LED Line Cable (2)</t>
  </si>
  <si>
    <t>Motor Cable (2)</t>
  </si>
  <si>
    <t>Base (Rec-16 Inch)</t>
  </si>
  <si>
    <t>Base column (Rec-16 Inch)</t>
  </si>
  <si>
    <t>key panel (Rec-16 Inch)</t>
  </si>
  <si>
    <t>Lamp cover (Rec-16 Inch)</t>
  </si>
  <si>
    <t>Battery base (Rec-16 Inch)</t>
  </si>
  <si>
    <t>Battery cover (Rec-16 Inch)</t>
  </si>
  <si>
    <t>Lithium-ion Battery 12V, 4.5AH</t>
  </si>
  <si>
    <t>Blade (Rec-16 Inch)</t>
  </si>
  <si>
    <t>Grill Belt (Rec-16 Inch)</t>
  </si>
  <si>
    <t>Grill Back (Rec-16 Inch)</t>
  </si>
  <si>
    <t>Grill Front (Rec-16 Inch)</t>
  </si>
  <si>
    <t>Power socket (Rec-16 Inch)</t>
  </si>
  <si>
    <t>DC Motor 12V</t>
  </si>
  <si>
    <t>Control board (Rec-16 Inch)</t>
  </si>
  <si>
    <t>Driver (Rec-16 Inch)</t>
  </si>
  <si>
    <t>Motor Cable- 450MM</t>
  </si>
  <si>
    <t>Motor Cable- 350MM</t>
  </si>
  <si>
    <t>Battery Cable</t>
  </si>
  <si>
    <t>Printing Process</t>
  </si>
  <si>
    <t>Barcode Printer</t>
  </si>
  <si>
    <t>Crane</t>
  </si>
  <si>
    <t>Packing Materials - FAN</t>
  </si>
  <si>
    <t>FAN Shank Paper</t>
  </si>
  <si>
    <t>Tissue Paper</t>
  </si>
  <si>
    <t>Body Sticker-5601</t>
  </si>
  <si>
    <t>Body Sticker-Premium Plus(5606)</t>
  </si>
  <si>
    <t>Body Sticker Speed King</t>
  </si>
  <si>
    <t>Body Sticker-4801</t>
  </si>
  <si>
    <t>Body Sticker-3601</t>
  </si>
  <si>
    <t>Body Sticker-2401</t>
  </si>
  <si>
    <t>Fan Canopy Sticker</t>
  </si>
  <si>
    <t>Canopy Sticker Speed King</t>
  </si>
  <si>
    <t>Fan Down Pipe Sticker</t>
  </si>
  <si>
    <t>Fan QC Sticker</t>
  </si>
  <si>
    <t>Guarantee Card -5601</t>
  </si>
  <si>
    <t>Guarantee Card -4801</t>
  </si>
  <si>
    <t>Guarantee Card Speed King</t>
  </si>
  <si>
    <t>Guarantee Card -2401,3601</t>
  </si>
  <si>
    <t>Cork Sheet -5601````/4801````</t>
  </si>
  <si>
    <t>Cork Sheet -5602````</t>
  </si>
  <si>
    <t>Cork Sheet -2401/3601</t>
  </si>
  <si>
    <t>Body Carton -Premium (5601)-263x264x213mm</t>
  </si>
  <si>
    <t>Body Carton Premium Gold (5603)</t>
  </si>
  <si>
    <t>Body Carton Premium Plus (5606)</t>
  </si>
  <si>
    <t>Body Carton -Speed king (5602) -220x220x208mm</t>
  </si>
  <si>
    <t>Body Carton -Popular (4801)-264x262x200mm</t>
  </si>
  <si>
    <t>Body Carton -Hero (3601)-195x195x230mm</t>
  </si>
  <si>
    <t>Body Carton -Super (2401)-185x185x267mm</t>
  </si>
  <si>
    <t>Blade Carton-Premium (5601)-622x153x34mm</t>
  </si>
  <si>
    <t>Blade Carton-Premium Gold (5603)</t>
  </si>
  <si>
    <t>Blade Carton-Premium Plus (5606)</t>
  </si>
  <si>
    <t>Blade Carton -Speed king (5602)-622x127x30mm</t>
  </si>
  <si>
    <t>Blade Carton -Popular (4801)-528x144x32mm</t>
  </si>
  <si>
    <t>Blade Carton -Hero (3601)-400x120x29mm</t>
  </si>
  <si>
    <t>HDPE Poly (L=15``, W=15``, T=0.035mm)</t>
  </si>
  <si>
    <t>HDPE Poly (L=14``, W=12``,T=0.035mm)</t>
  </si>
  <si>
    <t>HDPE Poly (L=27``, W=8``, T=0.035mm)</t>
  </si>
  <si>
    <t>HDPE Poly (L=18``, W=7``, T=0.035mm)</t>
  </si>
  <si>
    <t>HDPE Poly (L=9``, W=9``, T=0.025mm)</t>
  </si>
  <si>
    <t>HDPE Poly (L=13``, W=4``, T=0.035mm)</t>
  </si>
  <si>
    <t>PP Poly (L=5``, W=5``, T=0.045mm) With Logo Print</t>
  </si>
  <si>
    <t>Carton Tape - (W=60mm,L=200m, MEP Print)</t>
  </si>
  <si>
    <t>Body Sticker - 5603</t>
  </si>
  <si>
    <t>Speed King Hologram Sticker</t>
  </si>
  <si>
    <t>Roll Poly - 4``</t>
  </si>
  <si>
    <t>Fan Without Regulator Sticker</t>
  </si>
  <si>
    <t>Error - FAN - 1</t>
  </si>
  <si>
    <t>Body Carton - Crown (5607)</t>
  </si>
  <si>
    <t>Blade Carton - Crown (5607)</t>
  </si>
  <si>
    <t>Body Sticker (5607)</t>
  </si>
  <si>
    <t>Guarantee Card - Crown (5607)</t>
  </si>
  <si>
    <t>Cork Sheet - 5607</t>
  </si>
  <si>
    <t>MEP Hologram Sticker</t>
  </si>
  <si>
    <t>Body Carton - (Rec-12 inch)</t>
  </si>
  <si>
    <t>Guarantee Card -5603</t>
  </si>
  <si>
    <t>Warrienty Card (Rec-12 Inch)</t>
  </si>
  <si>
    <t>Operation Manual (Rec-12 Inch)</t>
  </si>
  <si>
    <t>HDPE Poly (L=24``, W=14``, T=0.035mm)</t>
  </si>
  <si>
    <t>HDPE Poly (L=20``, W=18``, T=0.025mm)</t>
  </si>
  <si>
    <t>Body Carton - (Rec-16 inch)</t>
  </si>
  <si>
    <t>Operation Manual (Rec-16 Inch)</t>
  </si>
  <si>
    <t>Warrienty Card (RTF)</t>
  </si>
  <si>
    <t>Capacitor Master Carton-Fan</t>
  </si>
  <si>
    <t>Capacitor Inner box 2.5 µF -Fan</t>
  </si>
  <si>
    <t>Capacitor Inner box 3.5 µF -Fan</t>
  </si>
  <si>
    <t>Capacitor Warranty Card 2.5 µF -Fan</t>
  </si>
  <si>
    <t>Capacitor Warranty Card 3.5 µF -Fan</t>
  </si>
  <si>
    <t>LD Poly (L=4``, W=3``,T=0.035mm) -Zipper</t>
  </si>
  <si>
    <t>8 Inch Exhaust Fan Body Carton (Alu)</t>
  </si>
  <si>
    <t>10 Inch Exhaust Fan Body Carton (Alu)</t>
  </si>
  <si>
    <t>Aero Flow Sticker</t>
  </si>
  <si>
    <t>Warranty Card (Aero Flow)</t>
  </si>
  <si>
    <t>HDPE Poly (L=22``, W=18``, T=0.025mm)</t>
  </si>
  <si>
    <t>8 Inch Exhasust Fan Body Carton</t>
  </si>
  <si>
    <t>PP Band Fita</t>
  </si>
  <si>
    <t>HDPE Poly (L=24``, W=20``, T=0.025mm)</t>
  </si>
  <si>
    <t>10 Inch Exhasust Fan Body Carton</t>
  </si>
  <si>
    <t>Exhaust Fan Base (10``)</t>
  </si>
  <si>
    <t>Exhaust Fan Cover (10``)</t>
  </si>
  <si>
    <t>Exhaust Fan Side Stand (10``)</t>
  </si>
  <si>
    <t>Exhaust Fan Shutter (10``)</t>
  </si>
  <si>
    <t>Exhaust Fan Stick (10``)</t>
  </si>
  <si>
    <t>Guarantee Card (Exhaust Fan)</t>
  </si>
  <si>
    <t>Air Fresher Sticker</t>
  </si>
  <si>
    <t>Exhaust Fan Blade (10``)</t>
  </si>
  <si>
    <t>Mechanical Parts</t>
  </si>
  <si>
    <t>Production Consumables - FAN</t>
  </si>
  <si>
    <t>Solvent - Drucker</t>
  </si>
  <si>
    <t>Printing INK Black</t>
  </si>
  <si>
    <t>Hands Gloves - Cotton</t>
  </si>
  <si>
    <t>Hands Gloves - Rubber</t>
  </si>
  <si>
    <t>Bengin</t>
  </si>
  <si>
    <t>Reduccer</t>
  </si>
  <si>
    <t>Wash (3500)</t>
  </si>
  <si>
    <t>Makeup (8535)</t>
  </si>
  <si>
    <t>Printing Ink Black(8530)</t>
  </si>
  <si>
    <t>Sanding Paper 80 No</t>
  </si>
  <si>
    <t>Sanding Paper 120 No</t>
  </si>
  <si>
    <t>Sanding Pad 5``</t>
  </si>
  <si>
    <t>Emary Paper 2 No</t>
  </si>
  <si>
    <t>Emary Paper 3 No</t>
  </si>
  <si>
    <t>Kerosene</t>
  </si>
  <si>
    <t>LP Gas</t>
  </si>
  <si>
    <t>Under Coat</t>
  </si>
  <si>
    <t>Chalk Powder</t>
  </si>
  <si>
    <t>Telcom Powder</t>
  </si>
  <si>
    <t>Thinner(Fan)</t>
  </si>
  <si>
    <t>Silicone Emulsion (Polish)</t>
  </si>
  <si>
    <t>Shot Beads</t>
  </si>
  <si>
    <t>Die Coat</t>
  </si>
  <si>
    <t>MS Rivet Armature (FAN)</t>
  </si>
  <si>
    <t>Without Down Pipe Sticker - FAN</t>
  </si>
  <si>
    <t>Ammonium Chloride Bar</t>
  </si>
  <si>
    <t>Aluminum Flask (FAN)</t>
  </si>
  <si>
    <t>Technical Specification Sticker (FAN)</t>
  </si>
  <si>
    <t>Ladle Coating</t>
  </si>
  <si>
    <t>Thermal QR Code sticker Roll 38 mm x 25 mm</t>
  </si>
  <si>
    <t>LD Poly (L=6.5``, W=4.5``, T=0.025mm)</t>
  </si>
  <si>
    <t>Soldering Wire-0.2</t>
  </si>
  <si>
    <t>QC Pass Sticker (Fan)- Blue Color</t>
  </si>
  <si>
    <t>Instruction Sticker</t>
  </si>
  <si>
    <t>GI Insulation wire</t>
  </si>
  <si>
    <t>Replace Card-Fan</t>
  </si>
  <si>
    <t>Carton Tape Transparent- (W=57mm,L=200m, Non Print)</t>
  </si>
  <si>
    <t>Erro-2</t>
  </si>
  <si>
    <t>Not Use-2</t>
  </si>
  <si>
    <t>Error-1</t>
  </si>
  <si>
    <t>NOT Use</t>
  </si>
  <si>
    <t>FAN SFG</t>
  </si>
  <si>
    <t>SFG1010005</t>
  </si>
  <si>
    <t>Painting Top Cover-2401 (184mm)- Ivory</t>
  </si>
  <si>
    <t>SFG1010006</t>
  </si>
  <si>
    <t>Painting Top Cover-3601 (184mm) - Ivory</t>
  </si>
  <si>
    <t>SFG1010007</t>
  </si>
  <si>
    <t>Painting Top Cover-4801 (220mm) - Ivory</t>
  </si>
  <si>
    <t>SFG1010008</t>
  </si>
  <si>
    <t>Painting Top Cover-5601 (232mm) - Ivory</t>
  </si>
  <si>
    <t>SFG1010009</t>
  </si>
  <si>
    <t>Painting Top Cover-5602 (217mm) - Ivory</t>
  </si>
  <si>
    <t>SFG1010014</t>
  </si>
  <si>
    <t>Painting Bottom Cover-2401 (184mm) - Ivory</t>
  </si>
  <si>
    <t>SFG1010015</t>
  </si>
  <si>
    <t>Painting Bottom Cover-3601 (184mm) - Ivory</t>
  </si>
  <si>
    <t>SFG1010016</t>
  </si>
  <si>
    <t>Painting Bottom Cover-4801 (220mm) - Ivory</t>
  </si>
  <si>
    <t>SFG1010017</t>
  </si>
  <si>
    <t>Painting Bottom Cover-5601 (232mm) - Ivory</t>
  </si>
  <si>
    <t>SFG1010018</t>
  </si>
  <si>
    <t>Painting Bottom Cover-5602 (217mm) - Ivory</t>
  </si>
  <si>
    <t>SFG1010020</t>
  </si>
  <si>
    <t>Armature 6 Circle 16 mm</t>
  </si>
  <si>
    <t>SFG1010026</t>
  </si>
  <si>
    <t>Winding Armature 7 Circle 15mm</t>
  </si>
  <si>
    <t>SFG1010027</t>
  </si>
  <si>
    <t>Complete Armature 5.5 Circle 16mm</t>
  </si>
  <si>
    <t>SFG1010028</t>
  </si>
  <si>
    <t>Complete Armature 6 Circle 16mm</t>
  </si>
  <si>
    <t>SFG1010029</t>
  </si>
  <si>
    <t>Complete Armature 6 Circle 15mm Black Sheet</t>
  </si>
  <si>
    <t>SFG1010030</t>
  </si>
  <si>
    <t>Complete Armature 7 Circle 15mm</t>
  </si>
  <si>
    <t>SFG1010039</t>
  </si>
  <si>
    <t>Complete Rotor 5.5 Circle 15.5mm</t>
  </si>
  <si>
    <t>SFG1010040</t>
  </si>
  <si>
    <t>Complete Rotor 6 Circle 15.5mm</t>
  </si>
  <si>
    <t>SFG1010041</t>
  </si>
  <si>
    <t>Complete Rotor 6 Circle 14.5mm Black Sheet</t>
  </si>
  <si>
    <t>SFG1010042</t>
  </si>
  <si>
    <t>Complete Rotor 7 Circle 14.5mm</t>
  </si>
  <si>
    <t>SFG1010056</t>
  </si>
  <si>
    <t>Painting Blade 3601-Ivory</t>
  </si>
  <si>
    <t>SFG1010058</t>
  </si>
  <si>
    <t>Painting Blade 5601-Ivory</t>
  </si>
  <si>
    <t>SFG1010059</t>
  </si>
  <si>
    <t>Painting Blade 5602-Ivory</t>
  </si>
  <si>
    <t>SFG1010064</t>
  </si>
  <si>
    <t>Complete Down Pipe 10 Inch- 4801, 5601, 5603 - Ivory</t>
  </si>
  <si>
    <t>SFG1010065</t>
  </si>
  <si>
    <t>Complete Down Pipe 10 Inch -(5602,3601,2401)- Ivory</t>
  </si>
  <si>
    <t>SFG1010068</t>
  </si>
  <si>
    <t>Complete Canopy Small-3601,2401</t>
  </si>
  <si>
    <t>SFG1010069</t>
  </si>
  <si>
    <t>Complete Canopy Small-5602</t>
  </si>
  <si>
    <t>SFG1010070</t>
  </si>
  <si>
    <t>Complete Canopy Big - 4801, 5601, 5603</t>
  </si>
  <si>
    <t>SFG1010071</t>
  </si>
  <si>
    <t>2401 Super Ceiling Fan Blade - Ivory</t>
  </si>
  <si>
    <t>SFG1010072</t>
  </si>
  <si>
    <t>3601 Hero Ceiling Fan Blade - Ivory</t>
  </si>
  <si>
    <t>SFG1010073</t>
  </si>
  <si>
    <t>4801 Popular Ceiling Fan Blade - Ivory</t>
  </si>
  <si>
    <t>SFG1010074</t>
  </si>
  <si>
    <t>5601 Premium Ceiling Fan Blade - Ivory</t>
  </si>
  <si>
    <t>SFG1010075</t>
  </si>
  <si>
    <t>5602 Speed King Ceiling Fan Blade - Ivory</t>
  </si>
  <si>
    <t>SFG1010076</t>
  </si>
  <si>
    <t>2401 Super Ceiling Fan Complete Body - Ivory</t>
  </si>
  <si>
    <t>SFG1010077</t>
  </si>
  <si>
    <t>3601 Hero Ceiling Fan Complete Body - Ivory</t>
  </si>
  <si>
    <t>SFG1010078</t>
  </si>
  <si>
    <t>4801 Popular Ceiling Fan Complete Body - Ivory</t>
  </si>
  <si>
    <t>SFG1010079</t>
  </si>
  <si>
    <t>5601 Premium Ceiling Fan Complete Body - Ivory</t>
  </si>
  <si>
    <t>SFG1010080</t>
  </si>
  <si>
    <t>5602 Speed King Ceiling Fan Complete Body - Ivory</t>
  </si>
  <si>
    <t>SFG1010081</t>
  </si>
  <si>
    <t>MEP Fan Regulator - 3601, 4801, 5601, 5603</t>
  </si>
  <si>
    <t>SFG1010082</t>
  </si>
  <si>
    <t>Completed Clamp with Accessories - 4801, 5601, 5603</t>
  </si>
  <si>
    <t>SFG1010090</t>
  </si>
  <si>
    <t>Painting Top Cover-5603 (232mm) - Ivory</t>
  </si>
  <si>
    <t>SFG1010092</t>
  </si>
  <si>
    <t>Painting Bottom Cover-5603 (232mm) - Ivory</t>
  </si>
  <si>
    <t>SFG1010095</t>
  </si>
  <si>
    <t>Painting Blade 5603-Ivory</t>
  </si>
  <si>
    <t>SFG1010096</t>
  </si>
  <si>
    <t>5603 Premium Gold Ceiling Fan Blade - Ivory</t>
  </si>
  <si>
    <t>SFG1010097</t>
  </si>
  <si>
    <t>5603 Premium Gold Complete Body - Ivory</t>
  </si>
  <si>
    <t>SFG1010116</t>
  </si>
  <si>
    <t>5601 Premium Ceiling Fan Complete Body - Ivory (W.R.)</t>
  </si>
  <si>
    <t>SFG1010119</t>
  </si>
  <si>
    <t>Fan Promotional Gang Regulator White (P512)</t>
  </si>
  <si>
    <t>SFG1010123</t>
  </si>
  <si>
    <t>Complete Armature 7 Circle 16mm -5607</t>
  </si>
  <si>
    <t>SFG1010126</t>
  </si>
  <si>
    <t>Complete Rotor 7 Circle 15.5mm</t>
  </si>
  <si>
    <t>SFG1010130</t>
  </si>
  <si>
    <t>Painting Blade 5607 - Ivory</t>
  </si>
  <si>
    <t>SFG1010133</t>
  </si>
  <si>
    <t>Painting Top Cover 5607 - Ivory</t>
  </si>
  <si>
    <t>SFG1010134</t>
  </si>
  <si>
    <t>Painting Bottom Cover 5607 - Ivory</t>
  </si>
  <si>
    <t>SFG1010135</t>
  </si>
  <si>
    <t>5607 Crown Ceiling Fan Complete Body - Ivory</t>
  </si>
  <si>
    <t>SFG1010136</t>
  </si>
  <si>
    <t>5607 Crown Ceiling Fan Blade - Ivory</t>
  </si>
  <si>
    <t>SFG1010142</t>
  </si>
  <si>
    <t>Completed Clamp with Accessories - 5607</t>
  </si>
  <si>
    <t>CEILING FAN</t>
  </si>
  <si>
    <t>Finished Goods</t>
  </si>
  <si>
    <t>CF5601/CF5601IV</t>
  </si>
  <si>
    <t>56 Inch Premium Ceiling Fan - Ivory</t>
  </si>
  <si>
    <t>CF5602/CF5602IV</t>
  </si>
  <si>
    <t>56 Inch Speed King Ceiling Fan - Ivory</t>
  </si>
  <si>
    <t>CF5603/CF5603IV</t>
  </si>
  <si>
    <t>56 Inch Premium Gold Ceiling Fan - Ivory</t>
  </si>
  <si>
    <t>CF5607/CF5607IV</t>
  </si>
  <si>
    <t>56 Inch Crown Ceiling Fan - Ivory</t>
  </si>
  <si>
    <t>CR5601IV</t>
  </si>
  <si>
    <t>56 Inch Premium Ceiling Fan- Ivory (Without Regulator)</t>
  </si>
  <si>
    <t>CF4801/CF4801IV</t>
  </si>
  <si>
    <t>48 Inch Popular Ceiling Fan - Ivory</t>
  </si>
  <si>
    <t>CF3601/CF3601IV</t>
  </si>
  <si>
    <t>36 Inch Hero Ceiling Fan - Ivory</t>
  </si>
  <si>
    <t>CF2401/CF2401IV</t>
  </si>
  <si>
    <t>24 Inch Super Ceiling Fan - Ivory</t>
  </si>
  <si>
    <t>EXHAUST FAN</t>
  </si>
  <si>
    <t>EF0801OW/EF0801OW</t>
  </si>
  <si>
    <t>08 Inch Fresh Air Exhaust Fan Off White</t>
  </si>
  <si>
    <t>EF1001OW/EF1001OW</t>
  </si>
  <si>
    <t>10 Inch Fresh Air Exhaust Fan Off White</t>
  </si>
  <si>
    <t>TABLE FAN</t>
  </si>
  <si>
    <t>MRTF1201</t>
  </si>
  <si>
    <t>12 Inch Swasti Rechargeable Table Fan</t>
  </si>
  <si>
    <t>MRTF1601</t>
  </si>
  <si>
    <t>16 Inch Swasti Rechargeable Table Fan</t>
  </si>
  <si>
    <t>TF16316/GTF00100</t>
  </si>
  <si>
    <t>16 Inch Table Fan AC Type-01</t>
  </si>
  <si>
    <t>TF16320/GTF00200</t>
  </si>
  <si>
    <t>16 Inch Table Fan AC Type-02</t>
  </si>
  <si>
    <t>FAN ACCESSORIES</t>
  </si>
  <si>
    <t>CFB3601/FB3601IV</t>
  </si>
  <si>
    <t>36 Inch Hero Celling Fan Blade - Ivory</t>
  </si>
  <si>
    <t>PKT</t>
  </si>
  <si>
    <t>CFB4801/FB4801IV</t>
  </si>
  <si>
    <t>48 Inch Popular Celling Fan Blade- Ivory</t>
  </si>
  <si>
    <t>CFB5601/FB5601IV</t>
  </si>
  <si>
    <t>56 Inch Premium Ceiling Fan Blade - Ivory</t>
  </si>
  <si>
    <t>CFB5602/FB5602IV</t>
  </si>
  <si>
    <t>56 Inch Speed King Ceiling Fan Blade - Ivory</t>
  </si>
  <si>
    <t>60477/FOA00500</t>
  </si>
  <si>
    <t>MS Iron</t>
  </si>
  <si>
    <t>Sticker</t>
  </si>
  <si>
    <t>With Gang Regulator Sticker</t>
  </si>
  <si>
    <t>Total</t>
  </si>
  <si>
    <t>SL</t>
  </si>
  <si>
    <t>Category (FG)</t>
  </si>
  <si>
    <t>Item Description</t>
  </si>
  <si>
    <t>Production Plan</t>
  </si>
  <si>
    <t>ERP Production Done</t>
  </si>
  <si>
    <t>Physical Production Done</t>
  </si>
  <si>
    <t>ERP Pending</t>
  </si>
  <si>
    <t>Production Due</t>
  </si>
  <si>
    <t>Daily Target</t>
  </si>
  <si>
    <t>Exhaust Fan</t>
  </si>
  <si>
    <t>Ex-08 Copper</t>
  </si>
  <si>
    <t>Ex-10 Copper</t>
  </si>
  <si>
    <t>EF1001AF</t>
  </si>
  <si>
    <t>Ex-10 Aluminium</t>
  </si>
  <si>
    <t>Aero Flow 10`` Exhaust Fan</t>
  </si>
  <si>
    <t>EF0801AF</t>
  </si>
  <si>
    <t>Ex-08 Aluminium</t>
  </si>
  <si>
    <t>Aero Flow 8`` Exhaust Fan</t>
  </si>
  <si>
    <t>Capacitor</t>
  </si>
  <si>
    <t>CFCP001</t>
  </si>
  <si>
    <t>Capacitor 2.5</t>
  </si>
  <si>
    <t>Ceiling Fan Capacitor 2.5 uf</t>
  </si>
  <si>
    <t>CFCP002</t>
  </si>
  <si>
    <t>Capacitor 3.5</t>
  </si>
  <si>
    <t>Ceiling Fan Capacitor 3.5 uf</t>
  </si>
  <si>
    <t>Ceiling Fan</t>
  </si>
  <si>
    <t>CF 5601</t>
  </si>
  <si>
    <t>CF 5602</t>
  </si>
  <si>
    <t>CF 5603</t>
  </si>
  <si>
    <t>CF5606/CF5606IV</t>
  </si>
  <si>
    <t>CF 5606</t>
  </si>
  <si>
    <t>56 Inch Premium Plus Ceiling Fan - Ivory</t>
  </si>
  <si>
    <t>CF 5607</t>
  </si>
  <si>
    <t>CF 4801</t>
  </si>
  <si>
    <t>Inch Premium Gold Ceiling Fan - Ivory</t>
  </si>
  <si>
    <t>CF 3601</t>
  </si>
  <si>
    <t>CF 2401</t>
  </si>
  <si>
    <t>CFB2401/FB2401IV</t>
  </si>
  <si>
    <t>CR3601IV</t>
  </si>
  <si>
    <t>CF5601WH/CF5601WH</t>
  </si>
  <si>
    <t>CR5601WH</t>
  </si>
  <si>
    <t>CG5606/CG5606IV</t>
  </si>
  <si>
    <t>CR5606IV</t>
  </si>
  <si>
    <t>MEP FAN LTD</t>
  </si>
  <si>
    <t>Pending</t>
  </si>
  <si>
    <t>Daily Production</t>
  </si>
  <si>
    <t>BOM</t>
  </si>
  <si>
    <t>Total RM Consumption</t>
  </si>
  <si>
    <t>Store Stock</t>
  </si>
  <si>
    <t>Floor Stock</t>
  </si>
  <si>
    <t>Total RM Requirement</t>
  </si>
  <si>
    <t>Daily RM Consumption</t>
  </si>
  <si>
    <t>Daily RM Requirement</t>
  </si>
  <si>
    <t>ERP CODE</t>
  </si>
  <si>
    <t>Code</t>
  </si>
  <si>
    <t>Opening</t>
  </si>
  <si>
    <t>Opening Adjust</t>
  </si>
  <si>
    <t>Store Receive</t>
  </si>
  <si>
    <t>Section Receive</t>
  </si>
  <si>
    <t>Production Receive</t>
  </si>
  <si>
    <t>Damage Receive</t>
  </si>
  <si>
    <t>Others Receive</t>
  </si>
  <si>
    <t>Total Receive</t>
  </si>
  <si>
    <t>Consumption</t>
  </si>
  <si>
    <t>WIP Issue</t>
  </si>
  <si>
    <t>Issue To Reapir</t>
  </si>
  <si>
    <t>Issue To Damage</t>
  </si>
  <si>
    <t>In Transit</t>
  </si>
  <si>
    <t>Total Issue</t>
  </si>
  <si>
    <t>Closing</t>
  </si>
  <si>
    <t>Bin Closing</t>
  </si>
  <si>
    <t>Diff</t>
  </si>
  <si>
    <t>Remarks</t>
  </si>
  <si>
    <t>24 Inch Super Ceiling Fan Blade - Ivory</t>
  </si>
  <si>
    <t>36 Inch Hero Ceiling Fan- Ivory (Without Regulator)</t>
  </si>
  <si>
    <t>56 Inch Premium Ceiling Fan - White</t>
  </si>
  <si>
    <t>CG5601/CG5601IV</t>
  </si>
  <si>
    <t>56 Inch Premium Ceiling Fan With Gang Regulator - Ivory</t>
  </si>
  <si>
    <t>56 Inch Premium Ceiling Fan- White (Without Regulator)</t>
  </si>
  <si>
    <t>56 Inch Premium Plus Ceiling Fan With Gang Regulator - Ivory</t>
  </si>
  <si>
    <t>56 Inch Premium Plus Ceiling Fan- Ivory (Without Regulator)</t>
  </si>
  <si>
    <t>CFDP01/FDP001IV</t>
  </si>
  <si>
    <t>Celling Fan Down Pipe 1 Inch -Ivory</t>
  </si>
  <si>
    <t>Inch</t>
  </si>
  <si>
    <t>CFDP14/FDP014IV</t>
  </si>
  <si>
    <t>Celling Fan Down Pipe 14 Inch - Ivory</t>
  </si>
  <si>
    <t>CFDP60/FDP060IV</t>
  </si>
  <si>
    <t>Celling Fan Down Pipe 60 Inch Ivory</t>
  </si>
  <si>
    <t>Req No</t>
  </si>
  <si>
    <t>Req Date</t>
  </si>
  <si>
    <t>Issue NO</t>
  </si>
  <si>
    <t>Company (Purchase)</t>
  </si>
  <si>
    <t>Company (Sales)</t>
  </si>
  <si>
    <t>Unit Name</t>
  </si>
  <si>
    <t>Req Qty</t>
  </si>
  <si>
    <t>Req Value</t>
  </si>
  <si>
    <t>Issue Qty</t>
  </si>
  <si>
    <t>Issue Value</t>
  </si>
  <si>
    <t>Pending Qty</t>
  </si>
  <si>
    <t>Pending Value</t>
  </si>
  <si>
    <t>Status</t>
  </si>
  <si>
    <t>Entry By</t>
  </si>
  <si>
    <t>Entry At</t>
  </si>
  <si>
    <t>20-06-2026</t>
  </si>
  <si>
    <t>Printing and Packaging</t>
  </si>
  <si>
    <t>PENDING</t>
  </si>
  <si>
    <t>21-06-2026</t>
  </si>
  <si>
    <t>26-07-2026</t>
  </si>
  <si>
    <t>20-08-2026</t>
  </si>
  <si>
    <t>CHECKED</t>
  </si>
  <si>
    <t>22-07-2026</t>
  </si>
  <si>
    <t>Total Quantity</t>
  </si>
  <si>
    <t>MEP</t>
  </si>
  <si>
    <t>22-08-2026</t>
  </si>
  <si>
    <t>23-07-2026</t>
  </si>
  <si>
    <t>MEP FAN LTD.</t>
  </si>
  <si>
    <t>FG Code</t>
  </si>
  <si>
    <t>Demand</t>
  </si>
  <si>
    <t>Total Received</t>
  </si>
  <si>
    <t>Pending (%)</t>
  </si>
  <si>
    <t>Month</t>
  </si>
  <si>
    <t>Year</t>
  </si>
  <si>
    <t>August</t>
  </si>
  <si>
    <t>MEP Plastic</t>
  </si>
  <si>
    <t>Raw Materials</t>
  </si>
  <si>
    <t>January</t>
  </si>
  <si>
    <t>February</t>
  </si>
  <si>
    <t>March</t>
  </si>
  <si>
    <t>April</t>
  </si>
  <si>
    <t>May</t>
  </si>
  <si>
    <t>June</t>
  </si>
  <si>
    <t>July</t>
  </si>
  <si>
    <t>September</t>
  </si>
  <si>
    <t>October</t>
  </si>
  <si>
    <t>November</t>
  </si>
  <si>
    <t>December</t>
  </si>
  <si>
    <t>MEP National Screw</t>
  </si>
  <si>
    <t>MEP Cables</t>
  </si>
  <si>
    <t>Rechargeable Fan</t>
  </si>
  <si>
    <t>MEP BSIC (Packing Materials)</t>
  </si>
  <si>
    <t>Packing Materials</t>
  </si>
  <si>
    <t>Body Poly 56``/48``-445x380mm (105/kg)-(Std.W.-0.004987 kg)</t>
  </si>
  <si>
    <t>Body Poly 36``/24``-390x340mm (140/kg)-(Std.W.-0.003733 kg)</t>
  </si>
  <si>
    <t>Blade Poly 56``/48``-730x206mm (112/kg)-(Std.W.- 0.004129 kg)</t>
  </si>
  <si>
    <t>Blade Poly 36``/24``-260x177mm (160/kg)-(Std.W.-0.002381 kg)</t>
  </si>
  <si>
    <t>Canopy Poly (320/kg)-(Std.W.- 0.001310 kg)</t>
  </si>
  <si>
    <t>Down pipe Poly (350/kg)-(Std.W.- 0.001158 kg)</t>
  </si>
  <si>
    <t>Down Pipe Clamp Poly (600/kg)</t>
  </si>
  <si>
    <t>Guarantee Card -5606</t>
  </si>
  <si>
    <t>Zipper poly (3 x 4) inch -Fan</t>
  </si>
  <si>
    <t>HDPE Poly 18x22``-(Std.W.- 0.006206 kg)</t>
  </si>
  <si>
    <t>HDPE Poly 20x24``-(Std.W.-0.015016 kg)</t>
  </si>
  <si>
    <t>Body Poly - 0.050 mm (24 Inch x 14 Inch) Std Wt. 0.0179</t>
  </si>
  <si>
    <t>Grill Poly- 0.020 mm (20 Inch x 18 Inch)</t>
  </si>
  <si>
    <t>Production Consumables</t>
  </si>
  <si>
    <t>July To August</t>
  </si>
  <si>
    <t>August to September</t>
  </si>
  <si>
    <t>Quantity</t>
  </si>
  <si>
    <t>Name</t>
  </si>
  <si>
    <t>Exhaust Fan Capacitor 1.5  µF</t>
  </si>
  <si>
    <t>HDPE Poly 18x22``</t>
  </si>
  <si>
    <t>SFG1010141</t>
  </si>
  <si>
    <t>Complete Armature 7 Circle 16mm -5606</t>
  </si>
  <si>
    <t>SFG1010139</t>
  </si>
  <si>
    <t>5606 Premium Plus Ceiling Fan Blade - Ivory</t>
  </si>
  <si>
    <t>Daily Fan Accessories SFG Report</t>
  </si>
  <si>
    <t>Date</t>
  </si>
  <si>
    <t>Day</t>
  </si>
  <si>
    <t>Daily
Production</t>
  </si>
  <si>
    <t>Consumption
 (Assemble Floor)</t>
  </si>
  <si>
    <t>Product Item Name</t>
  </si>
  <si>
    <t>Production Acheivement (Pcs)</t>
  </si>
  <si>
    <t>Failure Causes</t>
  </si>
  <si>
    <t>Type</t>
  </si>
  <si>
    <t>Model</t>
  </si>
  <si>
    <t>Total:</t>
  </si>
  <si>
    <t>Body</t>
  </si>
  <si>
    <t>AugustCeiling Fan2026body</t>
  </si>
  <si>
    <t>Blade</t>
  </si>
  <si>
    <t>Day and Model Wise Production Report</t>
  </si>
  <si>
    <t>Day Wise Target</t>
  </si>
  <si>
    <t>Ceiling Fan Blade</t>
  </si>
  <si>
    <t>Target</t>
  </si>
  <si>
    <t>Production</t>
  </si>
  <si>
    <t>Ceiling Fan Body</t>
  </si>
  <si>
    <t>Loss</t>
  </si>
  <si>
    <t>Profit</t>
  </si>
  <si>
    <t>5601 BL</t>
  </si>
  <si>
    <t>5602 BL</t>
  </si>
  <si>
    <t>5603 BL</t>
  </si>
  <si>
    <t>3601 BL</t>
  </si>
  <si>
    <t>2401 BL</t>
  </si>
  <si>
    <t>5606 BL</t>
  </si>
  <si>
    <t>5607 BL</t>
  </si>
  <si>
    <t>4801 BL</t>
  </si>
  <si>
    <t>Production Item Name</t>
  </si>
  <si>
    <t>Types</t>
  </si>
  <si>
    <t>24 Inch Super Ceiling Fan - Ivory {Body}</t>
  </si>
  <si>
    <t>36 Inch Hero Ceiling Fan - Ivory {Body}</t>
  </si>
  <si>
    <t>CF2401/CF2401IV (BL)</t>
  </si>
  <si>
    <t>48 Inch Popular Ceiling Fan - Ivory {Body}</t>
  </si>
  <si>
    <t>56 Inch Crown Ceiling Fan - Ivory {Body}</t>
  </si>
  <si>
    <t>56 Inch Premium Ceiling Fan - Ivory {Body}</t>
  </si>
  <si>
    <t>56 Inch Premium Ceiling Fan- Ivory (Without Regulator) {Body}</t>
  </si>
  <si>
    <t>56 Inch Premium Gold Ceiling Fan - Ivory {Body}</t>
  </si>
  <si>
    <t>56 Inch Premium Plus Ceiling Fan - Ivory {Body}</t>
  </si>
  <si>
    <t>56 Inch Speed King Ceiling Fan - Ivory {Body}</t>
  </si>
  <si>
    <t>CF5601/CF5601IV (BL)</t>
  </si>
  <si>
    <t>CF3601M</t>
  </si>
  <si>
    <t>5.5 Inchs Circle Electric Motor (Hero) {Body}</t>
  </si>
  <si>
    <t>56 Inch Premium Ceiling Fan - White {Body}</t>
  </si>
  <si>
    <t>EF10010W/EF10010W</t>
  </si>
  <si>
    <t>EF10008W/EF10008W</t>
  </si>
  <si>
    <t>16 Inch Swasti Rechargeable Table Fan</t>
  </si>
  <si>
    <t>12 Inch Swasti Rechargeable Table Fan</t>
  </si>
  <si>
    <t>CF5606/CF5606IV (BL)</t>
  </si>
  <si>
    <t>CF3601/CF3601IV (BL)</t>
  </si>
  <si>
    <t>CF5607/CF5607IV (BL)</t>
  </si>
  <si>
    <t>CF4801/CF4801IV  (BL)</t>
  </si>
  <si>
    <t>24 Inch Super Ceiling Fan - Ivory {Blade}</t>
  </si>
  <si>
    <t>36 Inch Hero Ceiling Fan - Ivory {Blade}</t>
  </si>
  <si>
    <t>48 Inch Popular Ceiling Fan - Ivory {Blade}</t>
  </si>
  <si>
    <t>56 Inch Crown Ceiling Fan - Ivory {Blade}</t>
  </si>
  <si>
    <t>56 Inch Premium Ceiling Fan - Ivory {Blade}</t>
  </si>
  <si>
    <t>CR5601IV (BL)</t>
  </si>
  <si>
    <t>56 Inch Premium Ceiling Fan- Ivory (Without Regulator) {Blade}</t>
  </si>
  <si>
    <t>CF5603/CF5603IV (BL)</t>
  </si>
  <si>
    <t>56 Inch Premium Gold Ceiling Fan - Ivory {Blade}</t>
  </si>
  <si>
    <t>56 Inch Premium Plus Ceiling Fan - Ivory {Blade}</t>
  </si>
  <si>
    <t>CF5602/CF5602IV (BL)</t>
  </si>
  <si>
    <t>56 Inch Speed King Ceiling Fan - Ivory {Blade}</t>
  </si>
  <si>
    <t>CF3601M (BL)</t>
  </si>
  <si>
    <t>5.5 Inchs Circle Electric Motor (Hero) {Blade}</t>
  </si>
  <si>
    <t>CF5601WH/CF5601WH (BL)</t>
  </si>
  <si>
    <t>56 Inch Premium Ceiling Fan - White {Blade}</t>
  </si>
  <si>
    <t>Daily Armature Report</t>
  </si>
  <si>
    <t>Winding Armature 6 Circle 16mm</t>
  </si>
  <si>
    <t>Winding Armature 5.5 Circle 16mm</t>
  </si>
  <si>
    <t>Winding Armature 7 Circle 16mm (5606)</t>
  </si>
  <si>
    <t>Winding Armature 7 Circle 16mm (5607)</t>
  </si>
  <si>
    <t>60(Replace)</t>
  </si>
  <si>
    <t>Salary Issue</t>
  </si>
  <si>
    <t>ID</t>
  </si>
  <si>
    <t>Amount (BDT)</t>
  </si>
  <si>
    <t>Issue (Comments)</t>
  </si>
  <si>
    <t>Arif Ahmed Anik</t>
  </si>
  <si>
    <t>OT payment missing</t>
  </si>
  <si>
    <t>Bithi Rani</t>
  </si>
  <si>
    <t xml:space="preserve"> payment missing</t>
  </si>
  <si>
    <t>Rahamat</t>
  </si>
  <si>
    <t>Takbir</t>
  </si>
  <si>
    <t>Warehouse Stock Position Report Detail(Closing)</t>
  </si>
  <si>
    <t>Super Enamel Copper Scrap (Fan)</t>
  </si>
  <si>
    <t>Exhaust Fan Capacitor 0.8  µF</t>
  </si>
  <si>
    <t>MEP FAN LIMITED.</t>
  </si>
  <si>
    <t>Inter Sales Requisition Details Report</t>
  </si>
  <si>
    <t>Closing Stock of Date-2026-08-29</t>
  </si>
  <si>
    <t>Reporting Time: 02:43 PM 29-08-2026</t>
  </si>
  <si>
    <t>20-06-2026 To 29-08-2026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</si>
</sst>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;;"/>
    <numFmt numFmtId="165" formatCode="ddd"/>
    <numFmt numFmtId="166" formatCode="[$-409]d\-mmm;@"/>
    <numFmt numFmtId="167" formatCode="0.0%"/>
    <numFmt numFmtId="168" formatCode="[$-F800]dddd\,\ mmmm\ dd\,\ yyyy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6"/>
      <color theme="1"/>
      <name val="Tahoma"/>
      <family val="2"/>
    </font>
    <font>
      <b/>
      <sz val="6"/>
      <color theme="1"/>
      <name val="Tahoma"/>
      <family val="2"/>
    </font>
    <font>
      <b/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10"/>
      <color theme="0"/>
      <name val="Times New Roman"/>
      <family val="1"/>
    </font>
    <font>
      <b/>
      <sz val="11"/>
      <color theme="0"/>
      <name val="Times New Roman"/>
      <family val="1"/>
    </font>
    <font>
      <sz val="9"/>
      <color theme="1"/>
      <name val="Times New Roman"/>
      <family val="1"/>
    </font>
    <font>
      <sz val="11"/>
      <color theme="0"/>
      <name val="Aptos Narrow"/>
      <family val="2"/>
      <scheme val="minor"/>
    </font>
    <font>
      <sz val="11"/>
      <name val="Times New Roman"/>
      <family val="1"/>
    </font>
    <font>
      <b/>
      <sz val="9"/>
      <color theme="1"/>
      <name val="Times New Roman"/>
      <family val="1"/>
    </font>
    <font>
      <b/>
      <sz val="14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rgb="FFFFFF00"/>
      <name val="Times New Roman"/>
      <family val="1"/>
    </font>
    <font>
      <b/>
      <sz val="22"/>
      <color theme="0"/>
      <name val="Times New Roman"/>
      <family val="1"/>
    </font>
    <font>
      <b/>
      <sz val="24"/>
      <color theme="0"/>
      <name val="Times New Roman"/>
      <family val="1"/>
    </font>
    <font>
      <b/>
      <sz val="12"/>
      <color theme="0"/>
      <name val="Times New Roman"/>
      <family val="1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28"/>
      <color theme="0"/>
      <name val="Times New Roman"/>
      <family val="1"/>
    </font>
    <font>
      <b/>
      <sz val="11"/>
      <color theme="1" tint="4.9989318521683403E-2"/>
      <name val="Times New Roman"/>
      <family val="1"/>
    </font>
    <font>
      <b/>
      <sz val="10"/>
      <color rgb="FF3366FF"/>
      <name val="Times New Roman"/>
      <family val="1"/>
    </font>
    <font>
      <b/>
      <sz val="10"/>
      <color theme="1"/>
      <name val="Times New Roman"/>
      <family val="1"/>
    </font>
    <font>
      <sz val="24"/>
      <color theme="1"/>
      <name val="Times New Roman"/>
      <family val="1"/>
    </font>
  </fonts>
  <fills count="6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99CC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D9FF"/>
        <bgColor indexed="64"/>
      </patternFill>
    </fill>
    <fill>
      <patternFill patternType="solid">
        <fgColor rgb="FFDFFDEA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8D1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CFBC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CFBC1"/>
        <bgColor auto="1"/>
      </patternFill>
    </fill>
    <fill>
      <patternFill patternType="solid">
        <fgColor theme="0" tint="-0.14999847407452621"/>
        <bgColor indexed="64"/>
      </patternFill>
    </fill>
    <fill>
      <gradientFill degree="90">
        <stop position="0">
          <color rgb="FF0070C0"/>
        </stop>
        <stop position="1">
          <color rgb="FF00B0F0"/>
        </stop>
      </gradientFill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gradientFill degree="45">
        <stop position="0">
          <color rgb="FF00B0F0"/>
        </stop>
        <stop position="1">
          <color rgb="FF0070C0"/>
        </stop>
      </gradientFill>
    </fill>
    <fill>
      <gradientFill degree="225">
        <stop position="0">
          <color rgb="FF0070C0"/>
        </stop>
        <stop position="1">
          <color rgb="FF00B0F0"/>
        </stop>
      </gradientFill>
    </fill>
    <fill>
      <gradientFill type="path" left="0.5" right="0.5" top="0.5" bottom="0.5">
        <stop position="0">
          <color rgb="FF92D050"/>
        </stop>
        <stop position="1">
          <color rgb="FF00B050"/>
        </stop>
      </gradientFill>
    </fill>
    <fill>
      <gradientFill degree="90">
        <stop position="0">
          <color theme="8" tint="-0.25095370342112489"/>
        </stop>
        <stop position="1">
          <color rgb="FFC153A9"/>
        </stop>
      </gradientFill>
    </fill>
    <fill>
      <patternFill patternType="solid">
        <fgColor rgb="FFC153A9"/>
        <bgColor indexed="64"/>
      </patternFill>
    </fill>
    <fill>
      <patternFill patternType="solid">
        <fgColor theme="8" tint="0.59999389629810485"/>
        <bgColor indexed="64"/>
      </patternFill>
    </fill>
    <fill>
      <gradientFill degree="90">
        <stop position="0">
          <color rgb="FF0070C0"/>
        </stop>
        <stop position="1">
          <color theme="3" tint="0.49803155613879818"/>
        </stop>
      </gradientFill>
    </fill>
    <fill>
      <patternFill patternType="solid">
        <fgColor theme="3" tint="0.499984740745262"/>
        <bgColor indexed="64"/>
      </patternFill>
    </fill>
    <fill>
      <gradientFill degree="270">
        <stop position="0">
          <color rgb="FF3366FF"/>
        </stop>
        <stop position="1">
          <color rgb="FF0033CC"/>
        </stop>
      </gradientFill>
    </fill>
    <fill>
      <gradientFill degree="90">
        <stop position="0">
          <color rgb="FF0033CC"/>
        </stop>
        <stop position="0.5">
          <color theme="3" tint="0.49803155613879818"/>
        </stop>
        <stop position="1">
          <color rgb="FF0033CC"/>
        </stop>
      </gradientFill>
    </fill>
    <fill>
      <gradientFill degree="90">
        <stop position="0">
          <color theme="6" tint="0.59999389629810485"/>
        </stop>
        <stop position="0.5">
          <color rgb="FF00B050"/>
        </stop>
        <stop position="1">
          <color theme="6" tint="0.59999389629810485"/>
        </stop>
      </gradientFill>
    </fill>
    <fill>
      <gradientFill degree="90">
        <stop position="0">
          <color rgb="FF00B050"/>
        </stop>
        <stop position="0.5">
          <color theme="9" tint="0.40000610370189521"/>
        </stop>
        <stop position="1">
          <color rgb="FF00B050"/>
        </stop>
      </gradientFill>
    </fill>
    <fill>
      <gradientFill degree="90">
        <stop position="0">
          <color rgb="FFFF0000"/>
        </stop>
        <stop position="0.5">
          <color rgb="FFC00000"/>
        </stop>
        <stop position="1">
          <color rgb="FFFF0000"/>
        </stop>
      </gradient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6" fillId="0" borderId="0"/>
  </cellStyleXfs>
  <cellXfs count="45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/>
    <xf numFmtId="0" fontId="2" fillId="7" borderId="1" xfId="0" applyFont="1" applyFill="1" applyBorder="1"/>
    <xf numFmtId="0" fontId="1" fillId="8" borderId="1" xfId="0" applyFont="1" applyFill="1" applyBorder="1"/>
    <xf numFmtId="0" fontId="2" fillId="9" borderId="1" xfId="0" applyFont="1" applyFill="1" applyBorder="1"/>
    <xf numFmtId="0" fontId="1" fillId="10" borderId="1" xfId="0" applyFont="1" applyFill="1" applyBorder="1"/>
    <xf numFmtId="0" fontId="2" fillId="11" borderId="1" xfId="0" applyFont="1" applyFill="1" applyBorder="1"/>
    <xf numFmtId="0" fontId="1" fillId="13" borderId="1" xfId="0" applyFont="1" applyFill="1" applyBorder="1"/>
    <xf numFmtId="0" fontId="1" fillId="12" borderId="1" xfId="0" applyFont="1" applyFill="1" applyBorder="1"/>
    <xf numFmtId="0" fontId="1" fillId="14" borderId="1" xfId="0" applyFont="1" applyFill="1" applyBorder="1"/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5" fillId="15" borderId="2" xfId="0" applyFont="1" applyFill="1" applyBorder="1" applyAlignment="1">
      <alignment vertical="center" wrapText="1"/>
    </xf>
    <xf numFmtId="0" fontId="6" fillId="15" borderId="2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/>
    <xf numFmtId="0" fontId="1" fillId="0" borderId="7" xfId="0" applyFont="1" applyBorder="1"/>
    <xf numFmtId="0" fontId="1" fillId="0" borderId="0" xfId="0" applyFont="1" applyAlignment="1">
      <alignment horizontal="center"/>
    </xf>
    <xf numFmtId="4" fontId="4" fillId="0" borderId="2" xfId="0" applyNumberFormat="1" applyFont="1" applyBorder="1" applyAlignment="1">
      <alignment vertical="center" wrapText="1"/>
    </xf>
    <xf numFmtId="0" fontId="4" fillId="15" borderId="2" xfId="0" applyFont="1" applyFill="1" applyBorder="1" applyAlignment="1">
      <alignment vertical="center" wrapText="1"/>
    </xf>
    <xf numFmtId="0" fontId="3" fillId="15" borderId="2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top"/>
    </xf>
    <xf numFmtId="0" fontId="1" fillId="20" borderId="10" xfId="0" applyFont="1" applyFill="1" applyBorder="1" applyAlignment="1">
      <alignment horizontal="center"/>
    </xf>
    <xf numFmtId="0" fontId="1" fillId="20" borderId="8" xfId="0" applyFont="1" applyFill="1" applyBorder="1" applyAlignment="1">
      <alignment horizontal="center"/>
    </xf>
    <xf numFmtId="0" fontId="1" fillId="20" borderId="11" xfId="0" applyFont="1" applyFill="1" applyBorder="1" applyAlignment="1">
      <alignment horizontal="center"/>
    </xf>
    <xf numFmtId="0" fontId="1" fillId="20" borderId="12" xfId="0" applyFont="1" applyFill="1" applyBorder="1" applyAlignment="1">
      <alignment horizontal="center"/>
    </xf>
    <xf numFmtId="0" fontId="1" fillId="20" borderId="13" xfId="0" applyFont="1" applyFill="1" applyBorder="1" applyAlignment="1">
      <alignment horizontal="center"/>
    </xf>
    <xf numFmtId="0" fontId="1" fillId="22" borderId="1" xfId="0" applyFont="1" applyFill="1" applyBorder="1"/>
    <xf numFmtId="0" fontId="2" fillId="23" borderId="1" xfId="0" applyFont="1" applyFill="1" applyBorder="1"/>
    <xf numFmtId="0" fontId="2" fillId="24" borderId="1" xfId="0" applyFont="1" applyFill="1" applyBorder="1"/>
    <xf numFmtId="0" fontId="1" fillId="21" borderId="9" xfId="0" applyFont="1" applyFill="1" applyBorder="1" applyAlignment="1">
      <alignment horizontal="center"/>
    </xf>
    <xf numFmtId="0" fontId="1" fillId="21" borderId="6" xfId="0" applyFont="1" applyFill="1" applyBorder="1" applyAlignment="1">
      <alignment horizontal="center"/>
    </xf>
    <xf numFmtId="0" fontId="2" fillId="25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/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7" xfId="0" applyFont="1" applyFill="1" applyBorder="1"/>
    <xf numFmtId="0" fontId="1" fillId="4" borderId="12" xfId="0" applyFont="1" applyFill="1" applyBorder="1" applyAlignment="1">
      <alignment horizontal="center"/>
    </xf>
    <xf numFmtId="0" fontId="1" fillId="0" borderId="20" xfId="0" applyFont="1" applyBorder="1"/>
    <xf numFmtId="0" fontId="2" fillId="25" borderId="20" xfId="0" applyFont="1" applyFill="1" applyBorder="1"/>
    <xf numFmtId="0" fontId="1" fillId="0" borderId="19" xfId="0" applyFont="1" applyBorder="1"/>
    <xf numFmtId="0" fontId="2" fillId="26" borderId="5" xfId="0" applyFont="1" applyFill="1" applyBorder="1"/>
    <xf numFmtId="0" fontId="1" fillId="0" borderId="9" xfId="0" applyFont="1" applyBorder="1"/>
    <xf numFmtId="0" fontId="2" fillId="26" borderId="10" xfId="0" applyFont="1" applyFill="1" applyBorder="1"/>
    <xf numFmtId="0" fontId="1" fillId="0" borderId="6" xfId="0" applyFont="1" applyBorder="1"/>
    <xf numFmtId="0" fontId="2" fillId="26" borderId="8" xfId="0" applyFont="1" applyFill="1" applyBorder="1"/>
    <xf numFmtId="0" fontId="1" fillId="4" borderId="18" xfId="0" applyFont="1" applyFill="1" applyBorder="1" applyAlignment="1">
      <alignment horizontal="center"/>
    </xf>
    <xf numFmtId="164" fontId="1" fillId="0" borderId="0" xfId="0" applyNumberFormat="1" applyFont="1"/>
    <xf numFmtId="0" fontId="7" fillId="27" borderId="3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49" fontId="1" fillId="5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6" borderId="8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13" borderId="19" xfId="0" applyFont="1" applyFill="1" applyBorder="1" applyAlignment="1">
      <alignment horizontal="center"/>
    </xf>
    <xf numFmtId="0" fontId="1" fillId="13" borderId="4" xfId="0" applyFont="1" applyFill="1" applyBorder="1"/>
    <xf numFmtId="0" fontId="1" fillId="13" borderId="5" xfId="0" applyFont="1" applyFill="1" applyBorder="1" applyAlignment="1">
      <alignment horizontal="center"/>
    </xf>
    <xf numFmtId="0" fontId="1" fillId="13" borderId="11" xfId="0" applyFont="1" applyFill="1" applyBorder="1" applyAlignment="1">
      <alignment horizontal="center"/>
    </xf>
    <xf numFmtId="0" fontId="1" fillId="13" borderId="9" xfId="0" applyFont="1" applyFill="1" applyBorder="1" applyAlignment="1">
      <alignment horizontal="center"/>
    </xf>
    <xf numFmtId="0" fontId="1" fillId="13" borderId="10" xfId="0" applyFont="1" applyFill="1" applyBorder="1" applyAlignment="1">
      <alignment horizontal="center"/>
    </xf>
    <xf numFmtId="0" fontId="1" fillId="13" borderId="12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13" borderId="7" xfId="0" applyFont="1" applyFill="1" applyBorder="1"/>
    <xf numFmtId="0" fontId="1" fillId="13" borderId="13" xfId="0" applyFont="1" applyFill="1" applyBorder="1" applyAlignment="1">
      <alignment horizontal="center"/>
    </xf>
    <xf numFmtId="0" fontId="1" fillId="13" borderId="8" xfId="0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7" fillId="27" borderId="26" xfId="0" applyFont="1" applyFill="1" applyBorder="1" applyAlignment="1">
      <alignment horizontal="center" vertical="center" wrapText="1"/>
    </xf>
    <xf numFmtId="0" fontId="1" fillId="29" borderId="14" xfId="0" applyFont="1" applyFill="1" applyBorder="1" applyAlignment="1">
      <alignment horizontal="center"/>
    </xf>
    <xf numFmtId="0" fontId="1" fillId="29" borderId="15" xfId="0" applyFont="1" applyFill="1" applyBorder="1" applyAlignment="1">
      <alignment horizontal="center"/>
    </xf>
    <xf numFmtId="0" fontId="1" fillId="29" borderId="4" xfId="0" applyFont="1" applyFill="1" applyBorder="1" applyAlignment="1">
      <alignment horizontal="center"/>
    </xf>
    <xf numFmtId="0" fontId="1" fillId="29" borderId="1" xfId="0" applyFont="1" applyFill="1" applyBorder="1" applyAlignment="1">
      <alignment horizontal="center"/>
    </xf>
    <xf numFmtId="0" fontId="1" fillId="29" borderId="7" xfId="0" applyFont="1" applyFill="1" applyBorder="1" applyAlignment="1">
      <alignment horizontal="center"/>
    </xf>
    <xf numFmtId="0" fontId="1" fillId="30" borderId="4" xfId="0" applyFont="1" applyFill="1" applyBorder="1" applyAlignment="1">
      <alignment horizontal="center"/>
    </xf>
    <xf numFmtId="0" fontId="1" fillId="30" borderId="1" xfId="0" applyFont="1" applyFill="1" applyBorder="1" applyAlignment="1">
      <alignment horizontal="center"/>
    </xf>
    <xf numFmtId="0" fontId="1" fillId="30" borderId="7" xfId="0" applyFont="1" applyFill="1" applyBorder="1" applyAlignment="1">
      <alignment horizontal="center"/>
    </xf>
    <xf numFmtId="0" fontId="1" fillId="31" borderId="21" xfId="0" applyFont="1" applyFill="1" applyBorder="1" applyAlignment="1">
      <alignment horizontal="center"/>
    </xf>
    <xf numFmtId="0" fontId="1" fillId="31" borderId="18" xfId="0" applyFont="1" applyFill="1" applyBorder="1" applyAlignment="1">
      <alignment horizontal="center"/>
    </xf>
    <xf numFmtId="0" fontId="1" fillId="31" borderId="22" xfId="0" applyFont="1" applyFill="1" applyBorder="1" applyAlignment="1">
      <alignment horizontal="center"/>
    </xf>
    <xf numFmtId="0" fontId="1" fillId="32" borderId="14" xfId="0" applyFont="1" applyFill="1" applyBorder="1" applyAlignment="1">
      <alignment horizontal="center"/>
    </xf>
    <xf numFmtId="0" fontId="1" fillId="32" borderId="15" xfId="0" applyFont="1" applyFill="1" applyBorder="1" applyAlignment="1">
      <alignment horizontal="center"/>
    </xf>
    <xf numFmtId="0" fontId="1" fillId="32" borderId="4" xfId="0" applyFont="1" applyFill="1" applyBorder="1" applyAlignment="1">
      <alignment horizontal="center"/>
    </xf>
    <xf numFmtId="0" fontId="1" fillId="32" borderId="1" xfId="0" applyFont="1" applyFill="1" applyBorder="1" applyAlignment="1">
      <alignment horizontal="center"/>
    </xf>
    <xf numFmtId="0" fontId="1" fillId="32" borderId="7" xfId="0" applyFont="1" applyFill="1" applyBorder="1" applyAlignment="1">
      <alignment horizontal="center"/>
    </xf>
    <xf numFmtId="0" fontId="1" fillId="17" borderId="1" xfId="0" applyFont="1" applyFill="1" applyBorder="1"/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/>
    </xf>
    <xf numFmtId="0" fontId="7" fillId="17" borderId="1" xfId="0" applyFont="1" applyFill="1" applyBorder="1"/>
    <xf numFmtId="0" fontId="1" fillId="17" borderId="1" xfId="0" applyFont="1" applyFill="1" applyBorder="1" applyAlignment="1">
      <alignment horizontal="center" vertical="center"/>
    </xf>
    <xf numFmtId="164" fontId="1" fillId="34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top"/>
    </xf>
    <xf numFmtId="164" fontId="1" fillId="20" borderId="1" xfId="0" applyNumberFormat="1" applyFont="1" applyFill="1" applyBorder="1" applyAlignment="1">
      <alignment horizontal="center"/>
    </xf>
    <xf numFmtId="164" fontId="1" fillId="20" borderId="1" xfId="0" applyNumberFormat="1" applyFont="1" applyFill="1" applyBorder="1" applyAlignment="1">
      <alignment horizontal="center" vertical="center"/>
    </xf>
    <xf numFmtId="164" fontId="1" fillId="20" borderId="1" xfId="0" applyNumberFormat="1" applyFont="1" applyFill="1" applyBorder="1"/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33" borderId="1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28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center"/>
    </xf>
    <xf numFmtId="0" fontId="1" fillId="28" borderId="1" xfId="0" applyFont="1" applyFill="1" applyBorder="1" applyAlignment="1">
      <alignment vertical="center" wrapText="1"/>
    </xf>
    <xf numFmtId="0" fontId="1" fillId="28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/>
    </xf>
    <xf numFmtId="0" fontId="2" fillId="35" borderId="0" xfId="0" applyFont="1" applyFill="1" applyAlignment="1">
      <alignment horizontal="center"/>
    </xf>
    <xf numFmtId="0" fontId="2" fillId="35" borderId="0" xfId="0" applyFont="1" applyFill="1"/>
    <xf numFmtId="0" fontId="10" fillId="35" borderId="0" xfId="0" applyFont="1" applyFill="1"/>
    <xf numFmtId="0" fontId="10" fillId="35" borderId="0" xfId="0" applyFont="1" applyFill="1" applyAlignment="1">
      <alignment horizontal="center"/>
    </xf>
    <xf numFmtId="0" fontId="1" fillId="36" borderId="9" xfId="0" applyFont="1" applyFill="1" applyBorder="1" applyAlignment="1">
      <alignment horizontal="center"/>
    </xf>
    <xf numFmtId="0" fontId="1" fillId="36" borderId="10" xfId="0" applyFont="1" applyFill="1" applyBorder="1"/>
    <xf numFmtId="0" fontId="1" fillId="36" borderId="16" xfId="0" applyFont="1" applyFill="1" applyBorder="1"/>
    <xf numFmtId="0" fontId="1" fillId="36" borderId="12" xfId="0" applyFont="1" applyFill="1" applyBorder="1"/>
    <xf numFmtId="0" fontId="1" fillId="20" borderId="0" xfId="0" applyFont="1" applyFill="1" applyAlignment="1">
      <alignment horizontal="center"/>
    </xf>
    <xf numFmtId="0" fontId="10" fillId="11" borderId="27" xfId="0" applyFont="1" applyFill="1" applyBorder="1" applyAlignment="1">
      <alignment horizontal="left"/>
    </xf>
    <xf numFmtId="0" fontId="11" fillId="11" borderId="23" xfId="0" applyFont="1" applyFill="1" applyBorder="1"/>
    <xf numFmtId="0" fontId="1" fillId="11" borderId="23" xfId="0" applyFont="1" applyFill="1" applyBorder="1"/>
    <xf numFmtId="0" fontId="1" fillId="11" borderId="23" xfId="0" applyFont="1" applyFill="1" applyBorder="1" applyAlignment="1">
      <alignment horizontal="center"/>
    </xf>
    <xf numFmtId="0" fontId="1" fillId="11" borderId="25" xfId="0" applyFont="1" applyFill="1" applyBorder="1" applyAlignment="1">
      <alignment horizontal="center"/>
    </xf>
    <xf numFmtId="0" fontId="1" fillId="36" borderId="6" xfId="0" applyFont="1" applyFill="1" applyBorder="1" applyAlignment="1">
      <alignment horizontal="center"/>
    </xf>
    <xf numFmtId="0" fontId="1" fillId="36" borderId="8" xfId="0" applyFont="1" applyFill="1" applyBorder="1"/>
    <xf numFmtId="0" fontId="1" fillId="36" borderId="17" xfId="0" applyFont="1" applyFill="1" applyBorder="1"/>
    <xf numFmtId="0" fontId="1" fillId="36" borderId="13" xfId="0" applyFont="1" applyFill="1" applyBorder="1"/>
    <xf numFmtId="0" fontId="1" fillId="30" borderId="28" xfId="0" applyFont="1" applyFill="1" applyBorder="1" applyAlignment="1">
      <alignment horizontal="center"/>
    </xf>
    <xf numFmtId="0" fontId="7" fillId="17" borderId="26" xfId="0" applyFont="1" applyFill="1" applyBorder="1" applyAlignment="1">
      <alignment horizontal="center" vertical="center"/>
    </xf>
    <xf numFmtId="0" fontId="1" fillId="21" borderId="1" xfId="0" applyFont="1" applyFill="1" applyBorder="1"/>
    <xf numFmtId="0" fontId="1" fillId="31" borderId="1" xfId="0" applyFont="1" applyFill="1" applyBorder="1" applyAlignment="1">
      <alignment horizontal="center"/>
    </xf>
    <xf numFmtId="0" fontId="10" fillId="11" borderId="19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1" fillId="21" borderId="7" xfId="0" applyFont="1" applyFill="1" applyBorder="1"/>
    <xf numFmtId="0" fontId="1" fillId="31" borderId="7" xfId="0" applyFont="1" applyFill="1" applyBorder="1" applyAlignment="1">
      <alignment horizontal="center"/>
    </xf>
    <xf numFmtId="165" fontId="13" fillId="37" borderId="1" xfId="0" applyNumberFormat="1" applyFont="1" applyFill="1" applyBorder="1" applyAlignment="1">
      <alignment horizontal="center" vertical="center"/>
    </xf>
    <xf numFmtId="166" fontId="13" fillId="37" borderId="1" xfId="0" applyNumberFormat="1" applyFont="1" applyFill="1" applyBorder="1" applyAlignment="1">
      <alignment horizontal="center" vertical="center"/>
    </xf>
    <xf numFmtId="164" fontId="13" fillId="37" borderId="1" xfId="0" applyNumberFormat="1" applyFont="1" applyFill="1" applyBorder="1" applyAlignment="1">
      <alignment horizontal="left"/>
    </xf>
    <xf numFmtId="164" fontId="13" fillId="37" borderId="1" xfId="0" applyNumberFormat="1" applyFont="1" applyFill="1" applyBorder="1" applyAlignment="1">
      <alignment horizontal="center"/>
    </xf>
    <xf numFmtId="0" fontId="13" fillId="38" borderId="1" xfId="0" applyFont="1" applyFill="1" applyBorder="1" applyAlignment="1">
      <alignment horizontal="center"/>
    </xf>
    <xf numFmtId="0" fontId="13" fillId="38" borderId="1" xfId="0" applyFont="1" applyFill="1" applyBorder="1" applyAlignment="1">
      <alignment horizontal="center" vertical="center"/>
    </xf>
    <xf numFmtId="0" fontId="13" fillId="39" borderId="0" xfId="0" applyFont="1" applyFill="1"/>
    <xf numFmtId="0" fontId="13" fillId="0" borderId="0" xfId="0" applyFont="1"/>
    <xf numFmtId="0" fontId="2" fillId="40" borderId="1" xfId="0" applyFont="1" applyFill="1" applyBorder="1" applyAlignment="1">
      <alignment horizontal="center" vertical="center" wrapText="1"/>
    </xf>
    <xf numFmtId="164" fontId="2" fillId="40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/>
    <xf numFmtId="0" fontId="1" fillId="0" borderId="0" xfId="0" applyFont="1" applyAlignment="1">
      <alignment wrapText="1"/>
    </xf>
    <xf numFmtId="0" fontId="7" fillId="4" borderId="3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164" fontId="7" fillId="43" borderId="3" xfId="0" applyNumberFormat="1" applyFont="1" applyFill="1" applyBorder="1" applyAlignment="1">
      <alignment horizontal="center" vertical="center" wrapText="1"/>
    </xf>
    <xf numFmtId="165" fontId="14" fillId="44" borderId="19" xfId="0" applyNumberFormat="1" applyFont="1" applyFill="1" applyBorder="1" applyAlignment="1">
      <alignment horizontal="center" vertical="center"/>
    </xf>
    <xf numFmtId="166" fontId="16" fillId="44" borderId="4" xfId="0" applyNumberFormat="1" applyFont="1" applyFill="1" applyBorder="1" applyAlignment="1">
      <alignment horizontal="center" vertical="center"/>
    </xf>
    <xf numFmtId="164" fontId="17" fillId="39" borderId="4" xfId="0" applyNumberFormat="1" applyFont="1" applyFill="1" applyBorder="1" applyAlignment="1">
      <alignment horizontal="left" vertical="center"/>
    </xf>
    <xf numFmtId="164" fontId="16" fillId="39" borderId="4" xfId="0" applyNumberFormat="1" applyFont="1" applyFill="1" applyBorder="1" applyAlignment="1">
      <alignment horizontal="center" vertical="center"/>
    </xf>
    <xf numFmtId="164" fontId="18" fillId="39" borderId="5" xfId="0" applyNumberFormat="1" applyFont="1" applyFill="1" applyBorder="1" applyAlignment="1">
      <alignment horizontal="left" vertical="center" wrapText="1"/>
    </xf>
    <xf numFmtId="165" fontId="14" fillId="44" borderId="33" xfId="0" applyNumberFormat="1" applyFont="1" applyFill="1" applyBorder="1" applyAlignment="1">
      <alignment horizontal="center" vertical="center"/>
    </xf>
    <xf numFmtId="166" fontId="16" fillId="44" borderId="34" xfId="0" applyNumberFormat="1" applyFont="1" applyFill="1" applyBorder="1" applyAlignment="1">
      <alignment horizontal="center" vertical="center"/>
    </xf>
    <xf numFmtId="164" fontId="17" fillId="39" borderId="1" xfId="0" applyNumberFormat="1" applyFont="1" applyFill="1" applyBorder="1" applyAlignment="1">
      <alignment horizontal="left" vertical="center"/>
    </xf>
    <xf numFmtId="164" fontId="16" fillId="39" borderId="34" xfId="0" applyNumberFormat="1" applyFont="1" applyFill="1" applyBorder="1" applyAlignment="1">
      <alignment horizontal="center" vertical="center"/>
    </xf>
    <xf numFmtId="164" fontId="18" fillId="39" borderId="10" xfId="0" applyNumberFormat="1" applyFont="1" applyFill="1" applyBorder="1" applyAlignment="1">
      <alignment horizontal="left" vertical="center" wrapText="1"/>
    </xf>
    <xf numFmtId="0" fontId="19" fillId="0" borderId="1" xfId="0" applyFont="1" applyBorder="1"/>
    <xf numFmtId="0" fontId="0" fillId="0" borderId="1" xfId="0" applyBorder="1"/>
    <xf numFmtId="0" fontId="12" fillId="0" borderId="0" xfId="0" applyFont="1"/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0" fillId="45" borderId="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0" fillId="51" borderId="1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65" fontId="7" fillId="48" borderId="9" xfId="0" applyNumberFormat="1" applyFont="1" applyFill="1" applyBorder="1" applyAlignment="1">
      <alignment horizontal="center" vertical="center"/>
    </xf>
    <xf numFmtId="16" fontId="7" fillId="48" borderId="1" xfId="0" applyNumberFormat="1" applyFont="1" applyFill="1" applyBorder="1" applyAlignment="1">
      <alignment horizontal="center" vertical="center"/>
    </xf>
    <xf numFmtId="165" fontId="7" fillId="48" borderId="6" xfId="0" applyNumberFormat="1" applyFont="1" applyFill="1" applyBorder="1" applyAlignment="1">
      <alignment horizontal="center" vertical="center"/>
    </xf>
    <xf numFmtId="16" fontId="7" fillId="48" borderId="7" xfId="0" applyNumberFormat="1" applyFont="1" applyFill="1" applyBorder="1" applyAlignment="1">
      <alignment horizontal="center" vertical="center"/>
    </xf>
    <xf numFmtId="0" fontId="7" fillId="54" borderId="1" xfId="0" applyFont="1" applyFill="1" applyBorder="1" applyAlignment="1">
      <alignment horizontal="center" vertical="center" wrapText="1"/>
    </xf>
    <xf numFmtId="0" fontId="7" fillId="54" borderId="36" xfId="0" applyFont="1" applyFill="1" applyBorder="1" applyAlignment="1">
      <alignment horizontal="center" vertical="center" wrapText="1"/>
    </xf>
    <xf numFmtId="0" fontId="7" fillId="54" borderId="37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7" fillId="10" borderId="7" xfId="0" applyFont="1" applyFill="1" applyBorder="1" applyAlignment="1">
      <alignment horizontal="left" vertical="center"/>
    </xf>
    <xf numFmtId="16" fontId="7" fillId="10" borderId="1" xfId="0" applyNumberFormat="1" applyFont="1" applyFill="1" applyBorder="1" applyAlignment="1">
      <alignment horizontal="center" vertical="center"/>
    </xf>
    <xf numFmtId="164" fontId="7" fillId="10" borderId="4" xfId="0" applyNumberFormat="1" applyFont="1" applyFill="1" applyBorder="1" applyAlignment="1" applyProtection="1">
      <alignment horizontal="center" vertical="center"/>
      <protection locked="0"/>
    </xf>
    <xf numFmtId="164" fontId="7" fillId="10" borderId="4" xfId="0" applyNumberFormat="1" applyFont="1" applyFill="1" applyBorder="1" applyAlignment="1" applyProtection="1">
      <alignment horizontal="center" vertical="center" wrapText="1"/>
      <protection locked="0"/>
    </xf>
    <xf numFmtId="164" fontId="7" fillId="10" borderId="1" xfId="0" applyNumberFormat="1" applyFont="1" applyFill="1" applyBorder="1" applyAlignment="1" applyProtection="1">
      <alignment horizontal="center" vertical="center"/>
      <protection locked="0"/>
    </xf>
    <xf numFmtId="164" fontId="7" fillId="10" borderId="1" xfId="0" applyNumberFormat="1" applyFont="1" applyFill="1" applyBorder="1" applyAlignment="1" applyProtection="1">
      <alignment horizontal="center" vertical="center" wrapText="1"/>
      <protection locked="0"/>
    </xf>
    <xf numFmtId="164" fontId="7" fillId="10" borderId="7" xfId="0" applyNumberFormat="1" applyFont="1" applyFill="1" applyBorder="1" applyAlignment="1" applyProtection="1">
      <alignment horizontal="center" vertical="center"/>
      <protection locked="0"/>
    </xf>
    <xf numFmtId="164" fontId="7" fillId="10" borderId="7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7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Border="1"/>
    <xf numFmtId="0" fontId="1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0" borderId="42" xfId="0" applyFont="1" applyBorder="1" applyAlignment="1">
      <alignment horizontal="center" vertical="center"/>
    </xf>
    <xf numFmtId="0" fontId="10" fillId="47" borderId="37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0" fillId="47" borderId="38" xfId="0" applyFont="1" applyFill="1" applyBorder="1" applyAlignment="1">
      <alignment horizontal="center" vertical="center"/>
    </xf>
    <xf numFmtId="0" fontId="20" fillId="46" borderId="7" xfId="0" applyFont="1" applyFill="1" applyBorder="1" applyAlignment="1">
      <alignment horizontal="center" vertical="center"/>
    </xf>
    <xf numFmtId="0" fontId="10" fillId="45" borderId="21" xfId="0" applyFont="1" applyFill="1" applyBorder="1" applyAlignment="1">
      <alignment horizontal="center" vertical="center"/>
    </xf>
    <xf numFmtId="0" fontId="20" fillId="46" borderId="22" xfId="0" applyFont="1" applyFill="1" applyBorder="1" applyAlignment="1">
      <alignment horizontal="center" vertical="center"/>
    </xf>
    <xf numFmtId="165" fontId="7" fillId="48" borderId="19" xfId="0" applyNumberFormat="1" applyFont="1" applyFill="1" applyBorder="1" applyAlignment="1">
      <alignment horizontal="center" vertical="center"/>
    </xf>
    <xf numFmtId="16" fontId="7" fillId="48" borderId="4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 wrapText="1"/>
    </xf>
    <xf numFmtId="0" fontId="14" fillId="4" borderId="37" xfId="0" applyFont="1" applyFill="1" applyBorder="1" applyAlignment="1">
      <alignment horizontal="center" vertical="center" wrapText="1"/>
    </xf>
    <xf numFmtId="0" fontId="14" fillId="4" borderId="38" xfId="0" applyFont="1" applyFill="1" applyBorder="1" applyAlignment="1">
      <alignment horizontal="center" vertical="center" wrapText="1"/>
    </xf>
    <xf numFmtId="0" fontId="7" fillId="8" borderId="45" xfId="0" applyFont="1" applyFill="1" applyBorder="1" applyAlignment="1">
      <alignment horizontal="center" vertical="center"/>
    </xf>
    <xf numFmtId="0" fontId="7" fillId="8" borderId="28" xfId="0" applyFont="1" applyFill="1" applyBorder="1" applyAlignment="1">
      <alignment horizontal="center" vertical="center"/>
    </xf>
    <xf numFmtId="0" fontId="7" fillId="8" borderId="46" xfId="0" applyFont="1" applyFill="1" applyBorder="1" applyAlignment="1">
      <alignment horizontal="center" vertical="center"/>
    </xf>
    <xf numFmtId="0" fontId="1" fillId="0" borderId="0" xfId="0" applyFont="1" applyProtection="1">
      <protection locked="0"/>
    </xf>
    <xf numFmtId="14" fontId="1" fillId="0" borderId="0" xfId="0" applyNumberFormat="1" applyFont="1" applyProtection="1">
      <protection locked="0"/>
    </xf>
    <xf numFmtId="0" fontId="7" fillId="29" borderId="41" xfId="0" applyFont="1" applyFill="1" applyBorder="1" applyAlignment="1">
      <alignment horizontal="center" vertical="center"/>
    </xf>
    <xf numFmtId="0" fontId="7" fillId="29" borderId="43" xfId="0" applyFont="1" applyFill="1" applyBorder="1" applyAlignment="1">
      <alignment horizontal="center" vertical="center"/>
    </xf>
    <xf numFmtId="0" fontId="7" fillId="29" borderId="37" xfId="0" applyFont="1" applyFill="1" applyBorder="1" applyAlignment="1">
      <alignment horizontal="center" vertical="center"/>
    </xf>
    <xf numFmtId="14" fontId="1" fillId="0" borderId="0" xfId="0" applyNumberFormat="1" applyFont="1" applyAlignment="1" applyProtection="1">
      <alignment vertical="center"/>
      <protection locked="0"/>
    </xf>
    <xf numFmtId="0" fontId="26" fillId="0" borderId="0" xfId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27" fillId="35" borderId="35" xfId="0" applyFont="1" applyFill="1" applyBorder="1" applyAlignment="1">
      <alignment horizontal="center" vertical="center"/>
    </xf>
    <xf numFmtId="0" fontId="27" fillId="35" borderId="45" xfId="0" applyFont="1" applyFill="1" applyBorder="1" applyAlignment="1">
      <alignment horizontal="center" vertical="center"/>
    </xf>
    <xf numFmtId="0" fontId="23" fillId="35" borderId="28" xfId="0" applyFont="1" applyFill="1" applyBorder="1" applyAlignment="1">
      <alignment vertical="center"/>
    </xf>
    <xf numFmtId="16" fontId="7" fillId="10" borderId="26" xfId="0" applyNumberFormat="1" applyFont="1" applyFill="1" applyBorder="1" applyAlignment="1">
      <alignment horizontal="center" vertical="center"/>
    </xf>
    <xf numFmtId="0" fontId="7" fillId="10" borderId="39" xfId="0" applyFont="1" applyFill="1" applyBorder="1" applyAlignment="1">
      <alignment horizontal="left" vertical="center"/>
    </xf>
    <xf numFmtId="0" fontId="7" fillId="10" borderId="4" xfId="0" applyFont="1" applyFill="1" applyBorder="1" applyAlignment="1" applyProtection="1">
      <alignment horizontal="center" vertical="center"/>
      <protection locked="0"/>
    </xf>
    <xf numFmtId="0" fontId="7" fillId="10" borderId="4" xfId="0" applyFont="1" applyFill="1" applyBorder="1" applyAlignment="1" applyProtection="1">
      <alignment horizontal="center" vertical="center" wrapText="1"/>
      <protection locked="0"/>
    </xf>
    <xf numFmtId="16" fontId="7" fillId="10" borderId="40" xfId="0" applyNumberFormat="1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left" vertical="center"/>
    </xf>
    <xf numFmtId="0" fontId="7" fillId="10" borderId="1" xfId="0" applyFont="1" applyFill="1" applyBorder="1" applyAlignment="1" applyProtection="1">
      <alignment horizontal="center" vertical="center"/>
      <protection locked="0"/>
    </xf>
    <xf numFmtId="0" fontId="7" fillId="10" borderId="1" xfId="0" applyFont="1" applyFill="1" applyBorder="1" applyAlignment="1" applyProtection="1">
      <alignment horizontal="center" vertical="center" wrapText="1"/>
      <protection locked="0"/>
    </xf>
    <xf numFmtId="16" fontId="7" fillId="10" borderId="32" xfId="0" applyNumberFormat="1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left" vertical="center"/>
    </xf>
    <xf numFmtId="0" fontId="7" fillId="10" borderId="7" xfId="0" applyFont="1" applyFill="1" applyBorder="1" applyAlignment="1" applyProtection="1">
      <alignment horizontal="center" vertical="center"/>
      <protection locked="0"/>
    </xf>
    <xf numFmtId="0" fontId="7" fillId="10" borderId="7" xfId="0" applyFont="1" applyFill="1" applyBorder="1" applyAlignment="1" applyProtection="1">
      <alignment horizontal="center" vertical="center" wrapText="1"/>
      <protection locked="0"/>
    </xf>
    <xf numFmtId="16" fontId="28" fillId="39" borderId="26" xfId="0" applyNumberFormat="1" applyFont="1" applyFill="1" applyBorder="1" applyAlignment="1">
      <alignment horizontal="center" vertical="center"/>
    </xf>
    <xf numFmtId="16" fontId="28" fillId="39" borderId="40" xfId="0" applyNumberFormat="1" applyFont="1" applyFill="1" applyBorder="1" applyAlignment="1">
      <alignment horizontal="center" vertical="center"/>
    </xf>
    <xf numFmtId="16" fontId="28" fillId="39" borderId="32" xfId="0" applyNumberFormat="1" applyFont="1" applyFill="1" applyBorder="1" applyAlignment="1">
      <alignment horizontal="center" vertical="center"/>
    </xf>
    <xf numFmtId="0" fontId="7" fillId="10" borderId="47" xfId="0" applyFont="1" applyFill="1" applyBorder="1" applyAlignment="1">
      <alignment horizontal="left" vertical="center"/>
    </xf>
    <xf numFmtId="164" fontId="7" fillId="29" borderId="37" xfId="0" applyNumberFormat="1" applyFont="1" applyFill="1" applyBorder="1" applyAlignment="1" applyProtection="1">
      <alignment horizontal="center" vertical="center"/>
      <protection locked="0"/>
    </xf>
    <xf numFmtId="164" fontId="7" fillId="29" borderId="37" xfId="0" applyNumberFormat="1" applyFont="1" applyFill="1" applyBorder="1" applyAlignment="1" applyProtection="1">
      <alignment horizontal="center" vertical="center" wrapText="1"/>
      <protection locked="0"/>
    </xf>
    <xf numFmtId="164" fontId="7" fillId="29" borderId="38" xfId="0" applyNumberFormat="1" applyFont="1" applyFill="1" applyBorder="1" applyAlignment="1" applyProtection="1">
      <alignment horizontal="center" vertical="center"/>
      <protection locked="0"/>
    </xf>
    <xf numFmtId="164" fontId="23" fillId="35" borderId="28" xfId="0" applyNumberFormat="1" applyFont="1" applyFill="1" applyBorder="1" applyAlignment="1" applyProtection="1">
      <alignment vertical="center"/>
      <protection locked="0"/>
    </xf>
    <xf numFmtId="164" fontId="23" fillId="35" borderId="46" xfId="0" applyNumberFormat="1" applyFont="1" applyFill="1" applyBorder="1" applyAlignment="1" applyProtection="1">
      <alignment vertical="center"/>
      <protection locked="0"/>
    </xf>
    <xf numFmtId="164" fontId="7" fillId="10" borderId="5" xfId="0" applyNumberFormat="1" applyFont="1" applyFill="1" applyBorder="1" applyAlignment="1" applyProtection="1">
      <alignment horizontal="center" vertical="center" wrapText="1"/>
      <protection locked="0"/>
    </xf>
    <xf numFmtId="164" fontId="7" fillId="10" borderId="10" xfId="0" applyNumberFormat="1" applyFont="1" applyFill="1" applyBorder="1" applyAlignment="1" applyProtection="1">
      <alignment horizontal="center" vertical="center" wrapText="1"/>
      <protection locked="0"/>
    </xf>
    <xf numFmtId="164" fontId="7" fillId="10" borderId="8" xfId="0" applyNumberFormat="1" applyFont="1" applyFill="1" applyBorder="1" applyAlignment="1" applyProtection="1">
      <alignment horizontal="center" vertical="center" wrapText="1"/>
      <protection locked="0"/>
    </xf>
    <xf numFmtId="164" fontId="7" fillId="10" borderId="20" xfId="0" applyNumberFormat="1" applyFont="1" applyFill="1" applyBorder="1" applyAlignment="1" applyProtection="1">
      <alignment horizontal="center" vertical="center"/>
      <protection locked="0"/>
    </xf>
    <xf numFmtId="164" fontId="7" fillId="10" borderId="20" xfId="0" applyNumberFormat="1" applyFont="1" applyFill="1" applyBorder="1" applyAlignment="1" applyProtection="1">
      <alignment horizontal="center" vertical="center" wrapText="1"/>
      <protection locked="0"/>
    </xf>
    <xf numFmtId="164" fontId="7" fillId="10" borderId="48" xfId="0" applyNumberFormat="1" applyFont="1" applyFill="1" applyBorder="1" applyAlignment="1" applyProtection="1">
      <alignment horizontal="center" vertical="center" wrapText="1"/>
      <protection locked="0"/>
    </xf>
    <xf numFmtId="164" fontId="1" fillId="0" borderId="0" xfId="0" applyNumberFormat="1" applyFont="1" applyAlignment="1" applyProtection="1">
      <alignment horizontal="center" vertical="center"/>
      <protection locked="0"/>
    </xf>
    <xf numFmtId="0" fontId="7" fillId="54" borderId="37" xfId="0" applyFont="1" applyFill="1" applyBorder="1" applyAlignment="1" applyProtection="1">
      <alignment horizontal="center" vertical="center" wrapText="1"/>
      <protection locked="0"/>
    </xf>
    <xf numFmtId="0" fontId="7" fillId="54" borderId="38" xfId="0" applyFont="1" applyFill="1" applyBorder="1" applyAlignment="1" applyProtection="1">
      <alignment horizontal="center" vertical="center"/>
      <protection locked="0"/>
    </xf>
    <xf numFmtId="0" fontId="7" fillId="48" borderId="5" xfId="0" applyFont="1" applyFill="1" applyBorder="1" applyAlignment="1" applyProtection="1">
      <alignment horizontal="center" vertical="center" wrapText="1"/>
      <protection locked="0"/>
    </xf>
    <xf numFmtId="0" fontId="7" fillId="48" borderId="26" xfId="0" applyFont="1" applyFill="1" applyBorder="1" applyAlignment="1" applyProtection="1">
      <alignment horizontal="center" vertical="center" wrapText="1"/>
      <protection locked="0"/>
    </xf>
    <xf numFmtId="0" fontId="7" fillId="48" borderId="10" xfId="0" applyFont="1" applyFill="1" applyBorder="1" applyAlignment="1" applyProtection="1">
      <alignment horizontal="center" vertical="center" wrapText="1"/>
      <protection locked="0"/>
    </xf>
    <xf numFmtId="0" fontId="7" fillId="48" borderId="40" xfId="0" applyFont="1" applyFill="1" applyBorder="1" applyAlignment="1" applyProtection="1">
      <alignment horizontal="center" vertical="center" wrapText="1"/>
      <protection locked="0"/>
    </xf>
    <xf numFmtId="0" fontId="7" fillId="48" borderId="8" xfId="0" applyFont="1" applyFill="1" applyBorder="1" applyAlignment="1" applyProtection="1">
      <alignment horizontal="center" vertical="center" wrapText="1"/>
      <protection locked="0"/>
    </xf>
    <xf numFmtId="0" fontId="7" fillId="48" borderId="32" xfId="0" applyFont="1" applyFill="1" applyBorder="1" applyAlignment="1" applyProtection="1">
      <alignment horizontal="center" vertical="center" wrapText="1"/>
      <protection locked="0"/>
    </xf>
    <xf numFmtId="0" fontId="0" fillId="48" borderId="0" xfId="0" applyFill="1" applyAlignment="1">
      <alignment horizontal="center" vertical="center"/>
    </xf>
    <xf numFmtId="0" fontId="29" fillId="0" borderId="50" xfId="0" applyFont="1" applyBorder="1" applyAlignment="1">
      <alignment horizontal="center" vertical="center" wrapText="1"/>
    </xf>
    <xf numFmtId="0" fontId="29" fillId="18" borderId="50" xfId="0" applyFont="1" applyFill="1" applyBorder="1" applyAlignment="1">
      <alignment horizontal="center" vertical="center" wrapText="1"/>
    </xf>
    <xf numFmtId="0" fontId="29" fillId="19" borderId="50" xfId="0" applyFont="1" applyFill="1" applyBorder="1" applyAlignment="1">
      <alignment horizontal="center" vertical="center" wrapText="1"/>
    </xf>
    <xf numFmtId="0" fontId="0" fillId="0" borderId="50" xfId="0" applyBorder="1" applyAlignment="1">
      <alignment vertical="center" wrapText="1"/>
    </xf>
    <xf numFmtId="4" fontId="0" fillId="0" borderId="50" xfId="0" applyNumberFormat="1" applyBorder="1" applyAlignment="1">
      <alignment vertical="center" wrapText="1"/>
    </xf>
    <xf numFmtId="0" fontId="0" fillId="15" borderId="50" xfId="0" applyFill="1" applyBorder="1" applyAlignment="1">
      <alignment vertical="center" wrapText="1"/>
    </xf>
    <xf numFmtId="0" fontId="29" fillId="15" borderId="50" xfId="0" applyFont="1" applyFill="1" applyBorder="1" applyAlignment="1">
      <alignment vertical="center" wrapText="1"/>
    </xf>
    <xf numFmtId="0" fontId="0" fillId="0" borderId="50" xfId="0" applyBorder="1" applyAlignment="1">
      <alignment horizontal="right" vertical="center" wrapText="1"/>
    </xf>
    <xf numFmtId="0" fontId="0" fillId="0" borderId="51" xfId="0" applyBorder="1"/>
    <xf numFmtId="0" fontId="1" fillId="0" borderId="0" xfId="0" applyFont="1" applyAlignment="1">
      <alignment horizontal="left" vertical="center"/>
    </xf>
    <xf numFmtId="0" fontId="7" fillId="59" borderId="36" xfId="0" applyFont="1" applyFill="1" applyBorder="1" applyAlignment="1">
      <alignment horizontal="center" vertical="center"/>
    </xf>
    <xf numFmtId="0" fontId="7" fillId="59" borderId="38" xfId="0" applyFont="1" applyFill="1" applyBorder="1" applyAlignment="1">
      <alignment horizontal="center" vertical="center"/>
    </xf>
    <xf numFmtId="0" fontId="33" fillId="60" borderId="36" xfId="0" applyFont="1" applyFill="1" applyBorder="1" applyAlignment="1">
      <alignment horizontal="center" vertical="center"/>
    </xf>
    <xf numFmtId="0" fontId="33" fillId="60" borderId="38" xfId="0" applyFont="1" applyFill="1" applyBorder="1" applyAlignment="1">
      <alignment horizontal="center" vertical="center"/>
    </xf>
    <xf numFmtId="0" fontId="10" fillId="23" borderId="29" xfId="0" applyFont="1" applyFill="1" applyBorder="1" applyAlignment="1">
      <alignment horizontal="left" vertical="center"/>
    </xf>
    <xf numFmtId="0" fontId="9" fillId="23" borderId="23" xfId="0" applyFont="1" applyFill="1" applyBorder="1" applyAlignment="1">
      <alignment horizontal="left" vertical="center"/>
    </xf>
    <xf numFmtId="0" fontId="9" fillId="23" borderId="23" xfId="0" applyFont="1" applyFill="1" applyBorder="1" applyAlignment="1">
      <alignment horizontal="center" vertical="center"/>
    </xf>
    <xf numFmtId="0" fontId="10" fillId="61" borderId="35" xfId="0" applyFont="1" applyFill="1" applyBorder="1" applyAlignment="1">
      <alignment horizontal="left" vertical="center"/>
    </xf>
    <xf numFmtId="0" fontId="9" fillId="61" borderId="26" xfId="0" applyFont="1" applyFill="1" applyBorder="1" applyAlignment="1">
      <alignment horizontal="left" vertical="center"/>
    </xf>
    <xf numFmtId="0" fontId="9" fillId="23" borderId="0" xfId="0" applyFont="1" applyFill="1" applyAlignment="1">
      <alignment horizontal="left" vertical="center"/>
    </xf>
    <xf numFmtId="0" fontId="9" fillId="2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62" borderId="1" xfId="0" applyFont="1" applyFill="1" applyBorder="1" applyAlignment="1">
      <alignment horizontal="left" vertical="center"/>
    </xf>
    <xf numFmtId="164" fontId="34" fillId="23" borderId="24" xfId="0" applyNumberFormat="1" applyFont="1" applyFill="1" applyBorder="1" applyAlignment="1">
      <alignment horizontal="center" vertical="center"/>
    </xf>
    <xf numFmtId="164" fontId="34" fillId="23" borderId="23" xfId="0" applyNumberFormat="1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64" fontId="34" fillId="23" borderId="30" xfId="0" applyNumberFormat="1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0" fontId="10" fillId="61" borderId="41" xfId="0" applyFont="1" applyFill="1" applyBorder="1" applyAlignment="1">
      <alignment horizontal="left" vertical="center"/>
    </xf>
    <xf numFmtId="0" fontId="9" fillId="61" borderId="32" xfId="0" applyFont="1" applyFill="1" applyBorder="1" applyAlignment="1">
      <alignment horizontal="left" vertical="center"/>
    </xf>
    <xf numFmtId="0" fontId="9" fillId="23" borderId="24" xfId="0" applyFont="1" applyFill="1" applyBorder="1" applyAlignment="1">
      <alignment horizontal="left" vertical="center"/>
    </xf>
    <xf numFmtId="10" fontId="9" fillId="23" borderId="1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62" borderId="4" xfId="0" applyFont="1" applyFill="1" applyBorder="1" applyAlignment="1">
      <alignment horizontal="left" vertical="center"/>
    </xf>
    <xf numFmtId="167" fontId="1" fillId="0" borderId="56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167" fontId="1" fillId="0" borderId="1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62" borderId="7" xfId="0" applyFont="1" applyFill="1" applyBorder="1" applyAlignment="1">
      <alignment horizontal="left" vertical="center"/>
    </xf>
    <xf numFmtId="0" fontId="10" fillId="23" borderId="27" xfId="0" applyFont="1" applyFill="1" applyBorder="1" applyAlignment="1">
      <alignment horizontal="left" vertical="center"/>
    </xf>
    <xf numFmtId="0" fontId="9" fillId="61" borderId="3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9" fillId="23" borderId="30" xfId="0" applyFont="1" applyFill="1" applyBorder="1" applyAlignment="1">
      <alignment horizontal="left" vertical="center"/>
    </xf>
    <xf numFmtId="10" fontId="9" fillId="23" borderId="3" xfId="0" applyNumberFormat="1" applyFont="1" applyFill="1" applyBorder="1" applyAlignment="1">
      <alignment horizontal="center" vertical="center"/>
    </xf>
    <xf numFmtId="0" fontId="1" fillId="0" borderId="57" xfId="0" applyFont="1" applyBorder="1" applyAlignment="1">
      <alignment horizontal="left" vertical="center"/>
    </xf>
    <xf numFmtId="167" fontId="1" fillId="0" borderId="58" xfId="0" applyNumberFormat="1" applyFont="1" applyBorder="1" applyAlignment="1">
      <alignment horizontal="center" vertical="center"/>
    </xf>
    <xf numFmtId="0" fontId="10" fillId="61" borderId="29" xfId="0" applyFont="1" applyFill="1" applyBorder="1" applyAlignment="1">
      <alignment horizontal="left" vertical="center"/>
    </xf>
    <xf numFmtId="0" fontId="1" fillId="0" borderId="59" xfId="0" applyFont="1" applyBorder="1" applyAlignment="1">
      <alignment horizontal="left" vertical="center"/>
    </xf>
    <xf numFmtId="0" fontId="1" fillId="0" borderId="55" xfId="0" applyFont="1" applyBorder="1" applyAlignment="1">
      <alignment horizontal="left" vertical="center"/>
    </xf>
    <xf numFmtId="0" fontId="1" fillId="62" borderId="34" xfId="0" applyFont="1" applyFill="1" applyBorder="1" applyAlignment="1">
      <alignment horizontal="left" vertical="center"/>
    </xf>
    <xf numFmtId="0" fontId="1" fillId="62" borderId="20" xfId="0" applyFont="1" applyFill="1" applyBorder="1" applyAlignment="1">
      <alignment horizontal="left" vertical="center"/>
    </xf>
    <xf numFmtId="167" fontId="9" fillId="23" borderId="31" xfId="0" applyNumberFormat="1" applyFont="1" applyFill="1" applyBorder="1" applyAlignment="1">
      <alignment horizontal="center" vertical="center"/>
    </xf>
    <xf numFmtId="167" fontId="1" fillId="0" borderId="46" xfId="0" applyNumberFormat="1" applyFont="1" applyBorder="1" applyAlignment="1">
      <alignment horizontal="center" vertical="center"/>
    </xf>
    <xf numFmtId="14" fontId="0" fillId="0" borderId="0" xfId="0" applyNumberFormat="1"/>
    <xf numFmtId="0" fontId="4" fillId="0" borderId="2" xfId="0" applyFont="1" applyBorder="1" applyAlignment="1">
      <alignment vertical="top" wrapText="1"/>
    </xf>
    <xf numFmtId="0" fontId="26" fillId="0" borderId="2" xfId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4" fontId="4" fillId="0" borderId="2" xfId="0" applyNumberFormat="1" applyFont="1" applyBorder="1" applyAlignment="1">
      <alignment horizontal="left" vertical="center" wrapText="1"/>
    </xf>
    <xf numFmtId="22" fontId="4" fillId="0" borderId="2" xfId="0" applyNumberFormat="1" applyFont="1" applyBorder="1" applyAlignment="1">
      <alignment horizontal="left" vertical="center" wrapText="1"/>
    </xf>
    <xf numFmtId="3" fontId="4" fillId="0" borderId="2" xfId="0" applyNumberFormat="1" applyFont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4" fontId="3" fillId="0" borderId="0" xfId="0" applyNumberFormat="1" applyFont="1" applyAlignment="1">
      <alignment vertical="top" wrapText="1"/>
    </xf>
    <xf numFmtId="0" fontId="1" fillId="63" borderId="27" xfId="0" applyFont="1" applyFill="1" applyBorder="1"/>
    <xf numFmtId="14" fontId="16" fillId="63" borderId="60" xfId="0" applyNumberFormat="1" applyFont="1" applyFill="1" applyBorder="1" applyAlignment="1">
      <alignment horizontal="left" vertical="center" wrapText="1"/>
    </xf>
    <xf numFmtId="14" fontId="16" fillId="63" borderId="61" xfId="0" applyNumberFormat="1" applyFont="1" applyFill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0" xfId="0" applyFont="1" applyAlignment="1">
      <alignment vertical="center" wrapText="1"/>
    </xf>
    <xf numFmtId="0" fontId="11" fillId="29" borderId="1" xfId="0" applyFont="1" applyFill="1" applyBorder="1"/>
    <xf numFmtId="0" fontId="0" fillId="0" borderId="50" xfId="0" applyBorder="1" applyAlignment="1">
      <alignment horizontal="left" vertical="center" wrapText="1"/>
    </xf>
    <xf numFmtId="0" fontId="29" fillId="0" borderId="50" xfId="0" applyFont="1" applyBorder="1" applyAlignment="1">
      <alignment horizontal="left" vertical="center" wrapText="1"/>
    </xf>
    <xf numFmtId="0" fontId="0" fillId="0" borderId="50" xfId="0" applyBorder="1" applyAlignment="1">
      <alignment vertical="top" wrapText="1"/>
    </xf>
    <xf numFmtId="4" fontId="0" fillId="0" borderId="50" xfId="0" applyNumberFormat="1" applyBorder="1" applyAlignment="1">
      <alignment horizontal="left" vertical="center" wrapText="1"/>
    </xf>
    <xf numFmtId="22" fontId="0" fillId="0" borderId="50" xfId="0" applyNumberFormat="1" applyBorder="1" applyAlignment="1">
      <alignment horizontal="left" vertical="center" wrapText="1"/>
    </xf>
    <xf numFmtId="3" fontId="0" fillId="0" borderId="50" xfId="0" applyNumberFormat="1" applyBorder="1" applyAlignment="1">
      <alignment horizontal="left" vertical="center" wrapText="1"/>
    </xf>
    <xf numFmtId="14" fontId="0" fillId="0" borderId="50" xfId="0" applyNumberFormat="1" applyBorder="1" applyAlignment="1">
      <alignment horizontal="left" vertical="center" wrapText="1"/>
    </xf>
    <xf numFmtId="0" fontId="0" fillId="0" borderId="52" xfId="0" applyBorder="1" applyAlignment="1">
      <alignment vertical="top" wrapText="1"/>
    </xf>
    <xf numFmtId="0" fontId="0" fillId="0" borderId="53" xfId="0" applyBorder="1" applyAlignment="1">
      <alignment vertical="top" wrapText="1"/>
    </xf>
    <xf numFmtId="0" fontId="29" fillId="0" borderId="53" xfId="0" applyFont="1" applyBorder="1" applyAlignment="1">
      <alignment horizontal="right" vertical="top" wrapText="1"/>
    </xf>
    <xf numFmtId="0" fontId="29" fillId="0" borderId="53" xfId="0" applyFont="1" applyBorder="1" applyAlignment="1">
      <alignment vertical="top" wrapText="1"/>
    </xf>
    <xf numFmtId="4" fontId="29" fillId="0" borderId="53" xfId="0" applyNumberFormat="1" applyFont="1" applyBorder="1" applyAlignment="1">
      <alignment vertical="top" wrapText="1"/>
    </xf>
    <xf numFmtId="0" fontId="0" fillId="0" borderId="53" xfId="0" applyBorder="1"/>
    <xf numFmtId="0" fontId="0" fillId="0" borderId="54" xfId="0" applyBorder="1"/>
    <xf numFmtId="0" fontId="0" fillId="0" borderId="0" xfId="0" applyAlignment="1">
      <alignment horizontal="center"/>
    </xf>
    <xf numFmtId="0" fontId="29" fillId="19" borderId="50" xfId="0" applyFont="1" applyFill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0" fontId="0" fillId="0" borderId="50" xfId="0" applyBorder="1" applyAlignment="1">
      <alignment vertical="center"/>
    </xf>
    <xf numFmtId="4" fontId="0" fillId="0" borderId="50" xfId="0" applyNumberFormat="1" applyBorder="1" applyAlignment="1">
      <alignment vertical="center"/>
    </xf>
    <xf numFmtId="0" fontId="29" fillId="15" borderId="50" xfId="0" applyFont="1" applyFill="1" applyBorder="1" applyAlignment="1">
      <alignment vertical="center"/>
    </xf>
    <xf numFmtId="0" fontId="0" fillId="15" borderId="50" xfId="0" applyFill="1" applyBorder="1" applyAlignment="1">
      <alignment vertical="center"/>
    </xf>
    <xf numFmtId="0" fontId="1" fillId="36" borderId="27" xfId="0" applyFont="1" applyFill="1" applyBorder="1"/>
    <xf numFmtId="14" fontId="16" fillId="36" borderId="60" xfId="0" applyNumberFormat="1" applyFont="1" applyFill="1" applyBorder="1" applyAlignment="1">
      <alignment horizontal="left" vertical="center" wrapText="1"/>
    </xf>
    <xf numFmtId="14" fontId="16" fillId="36" borderId="61" xfId="0" applyNumberFormat="1" applyFont="1" applyFill="1" applyBorder="1" applyAlignment="1">
      <alignment horizontal="left" vertical="center" wrapText="1"/>
    </xf>
    <xf numFmtId="0" fontId="3" fillId="0" borderId="62" xfId="0" applyFont="1" applyBorder="1" applyAlignment="1">
      <alignment vertical="center" wrapText="1"/>
    </xf>
    <xf numFmtId="0" fontId="26" fillId="0" borderId="0" xfId="1"/>
    <xf numFmtId="0" fontId="8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9" fillId="0" borderId="67" xfId="0" applyFont="1" applyBorder="1" applyAlignment="1">
      <alignment vertical="center" wrapText="1"/>
    </xf>
    <xf numFmtId="0" fontId="29" fillId="0" borderId="68" xfId="0" applyFont="1" applyBorder="1" applyAlignment="1">
      <alignment vertical="center" wrapText="1"/>
    </xf>
    <xf numFmtId="0" fontId="29" fillId="0" borderId="69" xfId="0" applyFont="1" applyBorder="1" applyAlignment="1">
      <alignment vertical="center" wrapText="1"/>
    </xf>
    <xf numFmtId="0" fontId="30" fillId="0" borderId="70" xfId="0" applyFont="1" applyBorder="1" applyAlignment="1">
      <alignment vertical="center" wrapText="1"/>
    </xf>
    <xf numFmtId="0" fontId="30" fillId="0" borderId="71" xfId="0" applyFont="1" applyBorder="1" applyAlignment="1">
      <alignment vertical="center" wrapText="1"/>
    </xf>
    <xf numFmtId="0" fontId="30" fillId="0" borderId="72" xfId="0" applyFont="1" applyBorder="1" applyAlignment="1">
      <alignment vertical="center" wrapText="1"/>
    </xf>
    <xf numFmtId="0" fontId="0" fillId="0" borderId="7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1" xfId="0" applyBorder="1" applyAlignment="1">
      <alignment vertical="center" wrapText="1"/>
    </xf>
    <xf numFmtId="0" fontId="30" fillId="0" borderId="73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0" borderId="51" xfId="0" applyFont="1" applyBorder="1" applyAlignment="1">
      <alignment vertical="center" wrapText="1"/>
    </xf>
    <xf numFmtId="0" fontId="0" fillId="0" borderId="52" xfId="0" applyBorder="1" applyAlignment="1">
      <alignment vertical="center" wrapText="1"/>
    </xf>
    <xf numFmtId="0" fontId="0" fillId="0" borderId="5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31" fillId="0" borderId="70" xfId="0" applyFont="1" applyBorder="1" applyAlignment="1">
      <alignment vertical="center" wrapText="1"/>
    </xf>
    <xf numFmtId="0" fontId="31" fillId="0" borderId="71" xfId="0" applyFont="1" applyBorder="1" applyAlignment="1">
      <alignment vertical="center" wrapText="1"/>
    </xf>
    <xf numFmtId="0" fontId="31" fillId="0" borderId="72" xfId="0" applyFont="1" applyBorder="1" applyAlignment="1">
      <alignment vertical="center" wrapText="1"/>
    </xf>
    <xf numFmtId="0" fontId="9" fillId="58" borderId="4" xfId="0" applyFont="1" applyFill="1" applyBorder="1" applyAlignment="1">
      <alignment horizontal="center" vertical="center" wrapText="1"/>
    </xf>
    <xf numFmtId="0" fontId="0" fillId="0" borderId="34" xfId="0" applyBorder="1"/>
    <xf numFmtId="0" fontId="9" fillId="58" borderId="4" xfId="0" applyFont="1" applyFill="1" applyBorder="1" applyAlignment="1">
      <alignment horizontal="center" vertical="center"/>
    </xf>
    <xf numFmtId="167" fontId="9" fillId="23" borderId="5" xfId="0" applyNumberFormat="1" applyFont="1" applyFill="1" applyBorder="1" applyAlignment="1">
      <alignment horizontal="center" vertical="center"/>
    </xf>
    <xf numFmtId="0" fontId="0" fillId="0" borderId="56" xfId="0" applyBorder="1"/>
    <xf numFmtId="167" fontId="23" fillId="23" borderId="26" xfId="0" applyNumberFormat="1" applyFont="1" applyFill="1" applyBorder="1" applyAlignment="1">
      <alignment horizontal="center" vertical="center"/>
    </xf>
    <xf numFmtId="0" fontId="0" fillId="0" borderId="40" xfId="0" applyBorder="1"/>
    <xf numFmtId="0" fontId="32" fillId="57" borderId="3" xfId="0" applyFont="1" applyFill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9" fillId="58" borderId="19" xfId="0" applyFont="1" applyFill="1" applyBorder="1" applyAlignment="1">
      <alignment horizontal="center" vertical="center"/>
    </xf>
    <xf numFmtId="0" fontId="0" fillId="0" borderId="33" xfId="0" applyBorder="1"/>
    <xf numFmtId="167" fontId="9" fillId="23" borderId="3" xfId="0" applyNumberFormat="1" applyFont="1" applyFill="1" applyBorder="1" applyAlignment="1">
      <alignment horizontal="center" vertical="center"/>
    </xf>
    <xf numFmtId="0" fontId="0" fillId="0" borderId="32" xfId="0" applyBorder="1"/>
    <xf numFmtId="0" fontId="9" fillId="58" borderId="5" xfId="0" applyFont="1" applyFill="1" applyBorder="1" applyAlignment="1">
      <alignment horizontal="center" vertical="center" wrapText="1"/>
    </xf>
    <xf numFmtId="16" fontId="7" fillId="10" borderId="39" xfId="0" applyNumberFormat="1" applyFont="1" applyFill="1" applyBorder="1" applyAlignment="1">
      <alignment horizontal="center" vertical="center"/>
    </xf>
    <xf numFmtId="0" fontId="0" fillId="0" borderId="63" xfId="0" applyBorder="1"/>
    <xf numFmtId="0" fontId="0" fillId="0" borderId="64" xfId="0" applyBorder="1"/>
    <xf numFmtId="165" fontId="7" fillId="10" borderId="4" xfId="0" applyNumberFormat="1" applyFont="1" applyFill="1" applyBorder="1" applyAlignment="1">
      <alignment horizontal="center" vertical="center"/>
    </xf>
    <xf numFmtId="0" fontId="0" fillId="0" borderId="55" xfId="0" applyBorder="1"/>
    <xf numFmtId="168" fontId="24" fillId="53" borderId="41" xfId="0" applyNumberFormat="1" applyFont="1" applyFill="1" applyBorder="1" applyAlignment="1">
      <alignment horizontal="center" vertical="center"/>
    </xf>
    <xf numFmtId="0" fontId="0" fillId="0" borderId="24" xfId="0" applyBorder="1"/>
    <xf numFmtId="0" fontId="22" fillId="52" borderId="35" xfId="0" applyFont="1" applyFill="1" applyBorder="1" applyAlignment="1">
      <alignment horizontal="center" vertical="center"/>
    </xf>
    <xf numFmtId="0" fontId="0" fillId="0" borderId="0" xfId="0"/>
    <xf numFmtId="0" fontId="0" fillId="48" borderId="0" xfId="0" applyFill="1" applyAlignment="1">
      <alignment horizontal="center" vertical="center"/>
    </xf>
    <xf numFmtId="168" fontId="23" fillId="53" borderId="35" xfId="0" applyNumberFormat="1" applyFont="1" applyFill="1" applyBorder="1" applyAlignment="1">
      <alignment horizontal="center" vertical="center"/>
    </xf>
    <xf numFmtId="0" fontId="15" fillId="42" borderId="3" xfId="0" applyFont="1" applyFill="1" applyBorder="1" applyAlignment="1">
      <alignment horizontal="right" vertical="center" indent="3"/>
    </xf>
    <xf numFmtId="0" fontId="25" fillId="41" borderId="3" xfId="0" applyFont="1" applyFill="1" applyBorder="1" applyAlignment="1">
      <alignment horizontal="center" vertical="center" wrapText="1"/>
    </xf>
    <xf numFmtId="0" fontId="21" fillId="50" borderId="3" xfId="0" applyFont="1" applyFill="1" applyBorder="1" applyAlignment="1">
      <alignment horizontal="center" vertical="center"/>
    </xf>
    <xf numFmtId="0" fontId="10" fillId="45" borderId="43" xfId="0" applyFont="1" applyFill="1" applyBorder="1" applyAlignment="1">
      <alignment horizontal="center" vertical="center"/>
    </xf>
    <xf numFmtId="0" fontId="0" fillId="0" borderId="36" xfId="0" applyBorder="1"/>
    <xf numFmtId="0" fontId="10" fillId="45" borderId="19" xfId="0" applyFont="1" applyFill="1" applyBorder="1" applyAlignment="1">
      <alignment horizontal="center" vertical="center"/>
    </xf>
    <xf numFmtId="0" fontId="0" fillId="0" borderId="39" xfId="0" applyBorder="1"/>
    <xf numFmtId="0" fontId="10" fillId="49" borderId="44" xfId="0" applyFont="1" applyFill="1" applyBorder="1" applyAlignment="1">
      <alignment horizontal="center" vertical="center" wrapText="1"/>
    </xf>
    <xf numFmtId="0" fontId="0" fillId="0" borderId="65" xfId="0" applyBorder="1"/>
    <xf numFmtId="0" fontId="10" fillId="45" borderId="6" xfId="0" applyFont="1" applyFill="1" applyBorder="1" applyAlignment="1">
      <alignment horizontal="center" vertical="center"/>
    </xf>
    <xf numFmtId="0" fontId="0" fillId="0" borderId="15" xfId="0" applyBorder="1"/>
    <xf numFmtId="0" fontId="1" fillId="0" borderId="11" xfId="0" applyFont="1" applyBorder="1" applyAlignment="1">
      <alignment horizontal="center" vertical="center"/>
    </xf>
    <xf numFmtId="0" fontId="0" fillId="0" borderId="66" xfId="0" applyBorder="1"/>
    <xf numFmtId="16" fontId="7" fillId="10" borderId="3" xfId="0" applyNumberFormat="1" applyFont="1" applyFill="1" applyBorder="1" applyAlignment="1">
      <alignment horizontal="center" vertical="center"/>
    </xf>
    <xf numFmtId="165" fontId="7" fillId="10" borderId="3" xfId="0" applyNumberFormat="1" applyFont="1" applyFill="1" applyBorder="1" applyAlignment="1">
      <alignment horizontal="center" vertical="center"/>
    </xf>
    <xf numFmtId="165" fontId="7" fillId="10" borderId="31" xfId="0" applyNumberFormat="1" applyFont="1" applyFill="1" applyBorder="1" applyAlignment="1">
      <alignment horizontal="center" vertical="center"/>
    </xf>
    <xf numFmtId="0" fontId="0" fillId="0" borderId="42" xfId="0" applyBorder="1"/>
    <xf numFmtId="0" fontId="0" fillId="0" borderId="49" xfId="0" applyBorder="1"/>
    <xf numFmtId="168" fontId="24" fillId="56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2" fillId="55" borderId="0" xfId="0" applyFont="1" applyFill="1" applyAlignment="1" applyProtection="1">
      <alignment horizontal="center" vertical="center"/>
      <protection locked="0"/>
    </xf>
    <xf numFmtId="168" fontId="23" fillId="56" borderId="0" xfId="0" applyNumberFormat="1" applyFont="1" applyFill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88"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ill>
        <gradientFill degree="90">
          <stop position="0">
            <color theme="2" tint="-9.8025452436902985E-2"/>
          </stop>
          <stop position="1">
            <color theme="2" tint="-0.25095370342112489"/>
          </stop>
        </gradientFill>
      </fill>
    </dxf>
    <dxf>
      <fill>
        <patternFill>
          <bgColor theme="3" tint="0.89996032593768116"/>
        </patternFill>
      </fill>
    </dxf>
    <dxf>
      <font>
        <b/>
        <color theme="0"/>
      </font>
      <fill>
        <gradientFill degree="45">
          <stop position="0">
            <color rgb="FFFF0000"/>
          </stop>
          <stop position="0.5">
            <color rgb="FFC00000"/>
          </stop>
          <stop position="1">
            <color rgb="FFFF0000"/>
          </stop>
        </gradientFill>
      </fill>
    </dxf>
    <dxf>
      <font>
        <b/>
      </font>
      <fill>
        <patternFill>
          <bgColor theme="6" tint="0.3999450666829432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</font>
      <fill>
        <gradientFill degree="315">
          <stop position="0">
            <color rgb="FF92D050"/>
          </stop>
          <stop position="1">
            <color rgb="FF00B050"/>
          </stop>
        </gradientFill>
      </fill>
    </dxf>
    <dxf>
      <font>
        <b/>
        <color theme="0"/>
      </font>
      <fill>
        <gradientFill degree="90">
          <stop position="0">
            <color rgb="FF00B0F0"/>
          </stop>
          <stop position="0.5">
            <color rgb="FF0070C0"/>
          </stop>
          <stop position="1">
            <color rgb="FF00B0F0"/>
          </stop>
        </gradientFill>
      </fill>
    </dxf>
    <dxf>
      <font>
        <color theme="1"/>
      </font>
      <fill>
        <patternFill patternType="solid">
          <fgColor auto="1"/>
          <bgColor rgb="FFFFFFCC"/>
        </patternFill>
      </fill>
    </dxf>
    <dxf>
      <font>
        <b/>
        <color theme="1"/>
      </font>
      <fill>
        <gradientFill degree="135">
          <stop position="0">
            <color theme="9" tint="0.40000610370189521"/>
          </stop>
          <stop position="1">
            <color rgb="FF00B050"/>
          </stop>
        </gradient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1"/>
      </font>
      <fill>
        <patternFill>
          <bgColor theme="0"/>
        </patternFill>
      </fill>
    </dxf>
    <dxf>
      <font>
        <b/>
        <color theme="0"/>
      </font>
      <fill>
        <patternFill>
          <bgColor rgb="FF00B050"/>
        </patternFill>
      </fill>
    </dxf>
    <dxf>
      <font>
        <b/>
        <color theme="0"/>
      </font>
      <fill>
        <patternFill>
          <bgColor rgb="FF00B050"/>
        </patternFill>
      </fill>
    </dxf>
    <dxf>
      <font>
        <b/>
        <color theme="0"/>
      </font>
      <fill>
        <patternFill>
          <bgColor rgb="FF00B050"/>
        </patternFill>
      </fill>
    </dxf>
    <dxf>
      <font>
        <b/>
        <color theme="0"/>
      </font>
      <fill>
        <patternFill>
          <bgColor rgb="FF00B050"/>
        </patternFill>
      </fill>
    </dxf>
    <dxf>
      <font>
        <b/>
        <color theme="0"/>
      </font>
      <fill>
        <patternFill>
          <bgColor rgb="FF00B050"/>
        </patternFill>
      </fill>
    </dxf>
    <dxf>
      <font>
        <b/>
        <color theme="0"/>
      </font>
      <fill>
        <patternFill>
          <bgColor rgb="FF00B050"/>
        </patternFill>
      </fill>
    </dxf>
    <dxf>
      <font>
        <b/>
        <color theme="0"/>
      </font>
      <fill>
        <patternFill>
          <bgColor rgb="FF00B050"/>
        </patternFill>
      </fill>
    </dxf>
    <dxf>
      <font>
        <b/>
        <color theme="0"/>
      </font>
      <fill>
        <patternFill>
          <bgColor rgb="FF00B050"/>
        </patternFill>
      </fill>
    </dxf>
    <dxf>
      <font>
        <b/>
        <color theme="0"/>
      </font>
      <fill>
        <patternFill>
          <bgColor rgb="FF00B050"/>
        </patternFill>
      </fill>
    </dxf>
    <dxf>
      <font>
        <b/>
        <color theme="0"/>
      </font>
      <fill>
        <patternFill>
          <bgColor rgb="FF00B050"/>
        </patternFill>
      </fill>
    </dxf>
    <dxf>
      <font>
        <b/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 tint="-5.0965910824915313E-2"/>
          </stop>
          <stop position="1">
            <color theme="0" tint="-0.1490218817712943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1" tint="4.9989318521683403E-2"/>
      </font>
      <fill>
        <patternFill>
          <bgColor rgb="FF92D050"/>
        </patternFill>
      </fill>
    </dxf>
    <dxf>
      <fill>
        <patternFill>
          <bgColor rgb="FFCEF2FA"/>
        </patternFill>
      </fill>
    </dxf>
    <dxf>
      <fill>
        <patternFill>
          <bgColor rgb="FFCEF2FA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91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91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3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91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3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76200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3</xdr:row>
      <xdr:rowOff>76200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91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91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3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91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76200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3</xdr:row>
      <xdr:rowOff>76200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91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3</xdr:row>
      <xdr:rowOff>76200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91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76200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3</xdr:row>
      <xdr:rowOff>76200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91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76200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3</xdr:row>
      <xdr:rowOff>76200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91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76200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3</xdr:row>
      <xdr:rowOff>76200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91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76200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3</xdr:row>
      <xdr:rowOff>76200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91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76200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3</xdr:row>
      <xdr:rowOff>76200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91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76200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3</xdr:row>
      <xdr:rowOff>76200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91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76200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3</xdr:row>
      <xdr:rowOff>76200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91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1</xdr:row>
      <xdr:rowOff>581025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1</xdr:row>
      <xdr:rowOff>581025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1</xdr:row>
      <xdr:rowOff>581025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1</xdr:row>
      <xdr:rowOff>581025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1</xdr:row>
      <xdr:rowOff>581025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1</xdr:row>
      <xdr:rowOff>581025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1</xdr:row>
      <xdr:rowOff>581025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1</xdr:row>
      <xdr:rowOff>581025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1</xdr:row>
      <xdr:rowOff>581025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1</xdr:row>
      <xdr:rowOff>581025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1</xdr:row>
      <xdr:rowOff>581025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1</xdr:row>
      <xdr:rowOff>581025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1</xdr:row>
      <xdr:rowOff>581025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1</xdr:row>
      <xdr:rowOff>581025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8577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91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106</xdr:row>
      <xdr:rowOff>200025</xdr:rowOff>
    </xdr:from>
    <xdr:to>
      <xdr:col>0</xdr:col>
      <xdr:colOff>381000</xdr:colOff>
      <xdr:row>106</xdr:row>
      <xdr:rowOff>581025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523113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2</xdr:row>
      <xdr:rowOff>381000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91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</xdr:row>
      <xdr:rowOff>200025</xdr:rowOff>
    </xdr:from>
    <xdr:to>
      <xdr:col>0</xdr:col>
      <xdr:colOff>381000</xdr:colOff>
      <xdr:row>2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191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473075</xdr:colOff>
      <xdr:row>0</xdr:row>
      <xdr:rowOff>94191</xdr:rowOff>
    </xdr:from>
    <xdr:ext cx="987058" cy="652993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68950" y="94191"/>
          <a:ext cx="987058" cy="652993"/>
        </a:xfrm>
        <a:prstGeom prst="rect">
          <a:avLst/>
        </a:prstGeom>
        <a:noFill/>
        <a:ln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 Page"/>
      <sheetName val="5601"/>
      <sheetName val="5602"/>
      <sheetName val="5603"/>
      <sheetName val="5606"/>
      <sheetName val="5607"/>
      <sheetName val="4801"/>
      <sheetName val="3601"/>
      <sheetName val="2401"/>
      <sheetName val="RM List"/>
      <sheetName val="ERP RM"/>
      <sheetName val="ERP RM-1"/>
      <sheetName val="ERP Entry"/>
      <sheetName val="ALL RM"/>
      <sheetName val="All C-RM"/>
      <sheetName val="Rechargeable 12 Inch"/>
      <sheetName val="Rechargeable 16 Inch"/>
      <sheetName val="Exhaist 10 Inch (Co)"/>
      <sheetName val="Exhaist 08 Inch (Co)"/>
      <sheetName val="Exhaist 10 Inch (Alu)"/>
      <sheetName val="Exhaist 08 Inch (Alu)"/>
      <sheetName val="Capacitor 2.5"/>
      <sheetName val="Capacitor 3.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D1" t="str">
            <v>MEP Fan Ltd.</v>
          </cell>
        </row>
        <row r="2">
          <cell r="D2" t="str">
            <v>Gogon Goli,Barisal.</v>
          </cell>
        </row>
        <row r="3">
          <cell r="D3" t="str">
            <v>Raw Materials &amp; WIP List</v>
          </cell>
        </row>
        <row r="5">
          <cell r="C5" t="str">
            <v>Item Code</v>
          </cell>
          <cell r="D5" t="str">
            <v>Item Name</v>
          </cell>
          <cell r="E5" t="str">
            <v>Unit</v>
          </cell>
        </row>
        <row r="6">
          <cell r="C6" t="str">
            <v>EF1001OW/EF1001OW</v>
          </cell>
          <cell r="D6" t="str">
            <v>10 Inch Fresh Air Exhaust Fan Off White</v>
          </cell>
          <cell r="E6" t="str">
            <v>Pcs</v>
          </cell>
        </row>
        <row r="7">
          <cell r="C7" t="str">
            <v>EF0801OW/EF0801OW</v>
          </cell>
          <cell r="D7" t="str">
            <v>08 Inch Fresh Air Exhaust Fan Off White</v>
          </cell>
          <cell r="E7" t="str">
            <v>Pcs</v>
          </cell>
        </row>
        <row r="8">
          <cell r="C8" t="str">
            <v>EF0801AF</v>
          </cell>
          <cell r="D8" t="str">
            <v>Aero Flow 08`` Exhaust Fan</v>
          </cell>
          <cell r="E8" t="str">
            <v>Pcs</v>
          </cell>
        </row>
        <row r="9">
          <cell r="C9" t="str">
            <v>EF1001AF</v>
          </cell>
          <cell r="D9" t="str">
            <v>Aero Flow 10`` Exhaust Fan</v>
          </cell>
          <cell r="E9" t="str">
            <v>Pcs</v>
          </cell>
        </row>
        <row r="10">
          <cell r="C10" t="str">
            <v>MRTF1201</v>
          </cell>
          <cell r="D10" t="str">
            <v>12 Inch Swasti Rechargeable Table Fan</v>
          </cell>
          <cell r="E10" t="str">
            <v>Pcs</v>
          </cell>
        </row>
        <row r="11">
          <cell r="C11" t="str">
            <v>MRTF1601</v>
          </cell>
          <cell r="D11" t="str">
            <v>16 Inch Swasti Rechargeable Table Fan</v>
          </cell>
          <cell r="E11" t="str">
            <v>Pcs</v>
          </cell>
        </row>
        <row r="12">
          <cell r="C12" t="str">
            <v>CFCP001</v>
          </cell>
          <cell r="D12" t="str">
            <v>Ceiling Fan Capacitor 2.5 uf</v>
          </cell>
          <cell r="E12" t="str">
            <v>Pcs</v>
          </cell>
        </row>
        <row r="13">
          <cell r="C13" t="str">
            <v>CFCP002</v>
          </cell>
          <cell r="D13" t="str">
            <v>Ceiling Fan Capacitor 3.5 uf</v>
          </cell>
          <cell r="E13" t="str">
            <v>Pcs</v>
          </cell>
        </row>
        <row r="14">
          <cell r="C14">
            <v>3101010138</v>
          </cell>
          <cell r="D14" t="str">
            <v>MEP Capacitor 2.5 µF (450VAC)</v>
          </cell>
          <cell r="E14" t="str">
            <v>Pcs</v>
          </cell>
        </row>
        <row r="15">
          <cell r="C15">
            <v>3101010139</v>
          </cell>
          <cell r="D15" t="str">
            <v>MEP Capacitor 3.5 µF (450VAC)</v>
          </cell>
          <cell r="E15" t="str">
            <v>Pcs</v>
          </cell>
        </row>
        <row r="16">
          <cell r="C16">
            <v>3101010023</v>
          </cell>
          <cell r="D16" t="str">
            <v>FAN Ampere Tube-04 no</v>
          </cell>
          <cell r="E16" t="str">
            <v>Mtr</v>
          </cell>
        </row>
        <row r="17">
          <cell r="C17">
            <v>3101010094</v>
          </cell>
          <cell r="D17" t="str">
            <v>Soldering Wire</v>
          </cell>
          <cell r="E17" t="str">
            <v>KG</v>
          </cell>
        </row>
        <row r="18">
          <cell r="C18">
            <v>3102010001</v>
          </cell>
          <cell r="D18" t="str">
            <v>Exhaust Fan Base (8``)</v>
          </cell>
          <cell r="E18" t="str">
            <v>Pcs</v>
          </cell>
        </row>
        <row r="19">
          <cell r="C19">
            <v>3102010002</v>
          </cell>
          <cell r="D19" t="str">
            <v>Exhaust Fan Cover (8``)</v>
          </cell>
          <cell r="E19" t="str">
            <v>Pcs</v>
          </cell>
        </row>
        <row r="20">
          <cell r="C20">
            <v>3102010003</v>
          </cell>
          <cell r="D20" t="str">
            <v>Exhaust Fan Shutter (8``)</v>
          </cell>
          <cell r="E20" t="str">
            <v>Pcs</v>
          </cell>
        </row>
        <row r="21">
          <cell r="C21">
            <v>3102010004</v>
          </cell>
          <cell r="D21" t="str">
            <v>Exhaust Fan Blade (8``)</v>
          </cell>
          <cell r="E21" t="str">
            <v>Pcs</v>
          </cell>
        </row>
        <row r="22">
          <cell r="C22">
            <v>3102010005</v>
          </cell>
          <cell r="D22" t="str">
            <v>Exhaust Fan Side Stand (8``)</v>
          </cell>
          <cell r="E22" t="str">
            <v>Pcs</v>
          </cell>
        </row>
        <row r="23">
          <cell r="C23">
            <v>3102010006</v>
          </cell>
          <cell r="D23" t="str">
            <v>Exhaust Fan Show Cap With Pitol Bush</v>
          </cell>
          <cell r="E23" t="str">
            <v>Pcs</v>
          </cell>
        </row>
        <row r="24">
          <cell r="C24">
            <v>3102010007</v>
          </cell>
          <cell r="D24" t="str">
            <v>Exhaust Fan Capacitor Box</v>
          </cell>
          <cell r="E24" t="str">
            <v>Pcs</v>
          </cell>
        </row>
        <row r="25">
          <cell r="C25">
            <v>3102010008</v>
          </cell>
          <cell r="D25" t="str">
            <v>Exhaust Fan Stick (8``)</v>
          </cell>
          <cell r="E25" t="str">
            <v>Pcs</v>
          </cell>
        </row>
        <row r="26">
          <cell r="C26">
            <v>3102010009</v>
          </cell>
          <cell r="D26" t="str">
            <v>Exhaust Fan Clam</v>
          </cell>
          <cell r="E26" t="str">
            <v>Pcs</v>
          </cell>
        </row>
        <row r="27">
          <cell r="C27">
            <v>3102010010</v>
          </cell>
          <cell r="D27" t="str">
            <v>Exhaust Fan Spring</v>
          </cell>
          <cell r="E27" t="str">
            <v>Pcs</v>
          </cell>
        </row>
        <row r="28">
          <cell r="C28">
            <v>3102010011</v>
          </cell>
          <cell r="D28" t="str">
            <v>Exhaust Fan Spring Lock</v>
          </cell>
          <cell r="E28" t="str">
            <v>Pcs</v>
          </cell>
        </row>
        <row r="29">
          <cell r="C29">
            <v>3102010012</v>
          </cell>
          <cell r="D29" t="str">
            <v>Cable 2x23/0.0076</v>
          </cell>
          <cell r="E29" t="str">
            <v>Mtr</v>
          </cell>
        </row>
        <row r="30">
          <cell r="C30">
            <v>3102010013</v>
          </cell>
          <cell r="D30" t="str">
            <v>5/32 Inch, 9mm Screw</v>
          </cell>
          <cell r="E30" t="str">
            <v>KG</v>
          </cell>
        </row>
        <row r="31">
          <cell r="C31">
            <v>3102010016</v>
          </cell>
          <cell r="D31" t="str">
            <v>Exhaust Fan Capacitor 1.0 (8``)</v>
          </cell>
          <cell r="E31" t="str">
            <v>Pcs</v>
          </cell>
        </row>
        <row r="32">
          <cell r="C32">
            <v>3102010017</v>
          </cell>
          <cell r="D32" t="str">
            <v>Exhaust Fan Motor 8``</v>
          </cell>
          <cell r="E32" t="str">
            <v>Pcs</v>
          </cell>
        </row>
        <row r="33">
          <cell r="C33">
            <v>3102010025</v>
          </cell>
          <cell r="D33" t="str">
            <v>Exhaust Fan Capacitor 1.2 (10``)</v>
          </cell>
          <cell r="E33" t="str">
            <v>Pcs</v>
          </cell>
        </row>
        <row r="34">
          <cell r="C34">
            <v>3102010026</v>
          </cell>
          <cell r="D34" t="str">
            <v>Exhaust Fan Motor (10``)</v>
          </cell>
          <cell r="E34" t="str">
            <v>Pcs</v>
          </cell>
        </row>
        <row r="35">
          <cell r="C35">
            <v>3202010010</v>
          </cell>
          <cell r="D35" t="str">
            <v>Exhaust Fan Base (10``)</v>
          </cell>
          <cell r="E35" t="str">
            <v>Pcs</v>
          </cell>
        </row>
        <row r="36">
          <cell r="C36">
            <v>3202010011</v>
          </cell>
          <cell r="D36" t="str">
            <v>Exhaust Fan Cover (10``)</v>
          </cell>
          <cell r="E36" t="str">
            <v>Pcs</v>
          </cell>
        </row>
        <row r="37">
          <cell r="C37">
            <v>3202010012</v>
          </cell>
          <cell r="D37" t="str">
            <v>Exhaust Fan Side Stand (10``)</v>
          </cell>
          <cell r="E37" t="str">
            <v>Pcs</v>
          </cell>
        </row>
        <row r="38">
          <cell r="C38">
            <v>3202010013</v>
          </cell>
          <cell r="D38" t="str">
            <v>Exhaust Fan Shutter (10``)</v>
          </cell>
          <cell r="E38" t="str">
            <v>Pcs</v>
          </cell>
        </row>
        <row r="39">
          <cell r="C39">
            <v>3202010014</v>
          </cell>
          <cell r="D39" t="str">
            <v>Exhaust Fan Stick (10``)</v>
          </cell>
          <cell r="E39" t="str">
            <v>Pcs</v>
          </cell>
        </row>
        <row r="40">
          <cell r="C40">
            <v>3202010017</v>
          </cell>
          <cell r="D40" t="str">
            <v>Exhaust Fan Blade (10``)</v>
          </cell>
          <cell r="E40" t="str">
            <v>Pcs</v>
          </cell>
        </row>
        <row r="41">
          <cell r="C41">
            <v>3102010019</v>
          </cell>
          <cell r="D41" t="str">
            <v>MEP Cable Ties (3.5x150mm)</v>
          </cell>
          <cell r="E41" t="str">
            <v>Pcs</v>
          </cell>
        </row>
        <row r="42">
          <cell r="C42">
            <v>3102010021</v>
          </cell>
          <cell r="D42" t="str">
            <v>Exhaust Fan Motor (10``)-Alu</v>
          </cell>
          <cell r="E42" t="str">
            <v>Pcs</v>
          </cell>
        </row>
        <row r="43">
          <cell r="C43">
            <v>3102010020</v>
          </cell>
          <cell r="D43" t="str">
            <v>Exhaust Fan Motor (8``)-Alu</v>
          </cell>
          <cell r="E43" t="str">
            <v>Pcs</v>
          </cell>
        </row>
        <row r="44">
          <cell r="C44">
            <v>3102010022</v>
          </cell>
          <cell r="D44" t="str">
            <v>Exhaust Fan Capacitor 1.5  µF</v>
          </cell>
          <cell r="E44" t="str">
            <v>Pcs</v>
          </cell>
        </row>
        <row r="45">
          <cell r="C45">
            <v>3103010037</v>
          </cell>
          <cell r="D45" t="str">
            <v>AC Power Cable</v>
          </cell>
          <cell r="E45" t="str">
            <v>Pcs</v>
          </cell>
        </row>
        <row r="46">
          <cell r="C46">
            <v>3103010004</v>
          </cell>
          <cell r="D46" t="str">
            <v>Base With Stand - (Rec-12 Inch)</v>
          </cell>
          <cell r="E46" t="str">
            <v>Pcs</v>
          </cell>
        </row>
        <row r="47">
          <cell r="C47">
            <v>3103010006</v>
          </cell>
          <cell r="D47" t="str">
            <v>Battery Base Cover-(Rec-12 Inch)</v>
          </cell>
          <cell r="E47" t="str">
            <v>Pcs</v>
          </cell>
        </row>
        <row r="48">
          <cell r="C48">
            <v>3103010005</v>
          </cell>
          <cell r="D48" t="str">
            <v>Battery Base-(Rec-12 Inch)</v>
          </cell>
          <cell r="E48" t="str">
            <v>Pcs</v>
          </cell>
        </row>
        <row r="49">
          <cell r="C49">
            <v>3103010054</v>
          </cell>
          <cell r="D49" t="str">
            <v>Battery Cable (+) Red</v>
          </cell>
          <cell r="E49" t="str">
            <v>Pcs</v>
          </cell>
        </row>
        <row r="50">
          <cell r="C50">
            <v>3103010055</v>
          </cell>
          <cell r="D50" t="str">
            <v>Battery Cable (-) Black</v>
          </cell>
          <cell r="E50" t="str">
            <v>Pcs</v>
          </cell>
        </row>
        <row r="51">
          <cell r="C51">
            <v>3103010021</v>
          </cell>
          <cell r="D51" t="str">
            <v>Blade Connecting Rod</v>
          </cell>
          <cell r="E51" t="str">
            <v>Pcs</v>
          </cell>
        </row>
        <row r="52">
          <cell r="C52">
            <v>3103010017</v>
          </cell>
          <cell r="D52" t="str">
            <v>Blade Lock</v>
          </cell>
          <cell r="E52" t="str">
            <v>Pcs</v>
          </cell>
        </row>
        <row r="53">
          <cell r="C53">
            <v>3103010025</v>
          </cell>
          <cell r="D53" t="str">
            <v>Blade-(Rec-12 Inch)</v>
          </cell>
          <cell r="E53" t="str">
            <v>Pcs</v>
          </cell>
        </row>
        <row r="54">
          <cell r="C54">
            <v>3103010042</v>
          </cell>
          <cell r="D54" t="str">
            <v>Bolt-M4*20mm</v>
          </cell>
          <cell r="E54" t="str">
            <v>Pcs</v>
          </cell>
        </row>
        <row r="55">
          <cell r="C55">
            <v>3103010041</v>
          </cell>
          <cell r="D55" t="str">
            <v>Bolt-M6*20mm</v>
          </cell>
          <cell r="E55" t="str">
            <v>Pcs</v>
          </cell>
        </row>
        <row r="56">
          <cell r="C56">
            <v>3103010039</v>
          </cell>
          <cell r="D56" t="str">
            <v>Butyronitrile Washer</v>
          </cell>
          <cell r="E56" t="str">
            <v>Pcs</v>
          </cell>
        </row>
        <row r="57">
          <cell r="C57">
            <v>3103010013</v>
          </cell>
          <cell r="D57" t="str">
            <v>Connector (Neck)</v>
          </cell>
          <cell r="E57" t="str">
            <v>Pcs</v>
          </cell>
        </row>
        <row r="58">
          <cell r="C58">
            <v>3103010015</v>
          </cell>
          <cell r="D58" t="str">
            <v>Connector (Neck) Cover</v>
          </cell>
          <cell r="E58" t="str">
            <v>Pcs</v>
          </cell>
        </row>
        <row r="59">
          <cell r="C59">
            <v>3103010027</v>
          </cell>
          <cell r="D59" t="str">
            <v>Connector (Neck) Holder</v>
          </cell>
          <cell r="E59" t="str">
            <v>Pcs</v>
          </cell>
        </row>
        <row r="60">
          <cell r="C60">
            <v>3103010028</v>
          </cell>
          <cell r="D60" t="str">
            <v>Connector (Neck) Spring</v>
          </cell>
          <cell r="E60" t="str">
            <v>Pcs</v>
          </cell>
        </row>
        <row r="61">
          <cell r="C61">
            <v>3103010014</v>
          </cell>
          <cell r="D61" t="str">
            <v>Connector (Neck) Surface Cover</v>
          </cell>
          <cell r="E61" t="str">
            <v>Pcs</v>
          </cell>
        </row>
        <row r="62">
          <cell r="C62">
            <v>3103010002</v>
          </cell>
          <cell r="D62" t="str">
            <v>Control board</v>
          </cell>
          <cell r="E62" t="str">
            <v>Pcs</v>
          </cell>
        </row>
        <row r="63">
          <cell r="C63">
            <v>3103010003</v>
          </cell>
          <cell r="D63" t="str">
            <v>Driver</v>
          </cell>
          <cell r="E63" t="str">
            <v>Pcs</v>
          </cell>
        </row>
        <row r="64">
          <cell r="C64">
            <v>3103010020</v>
          </cell>
          <cell r="D64" t="str">
            <v>Gear Box - FAN</v>
          </cell>
          <cell r="E64" t="str">
            <v>Pcs</v>
          </cell>
        </row>
        <row r="65">
          <cell r="C65">
            <v>3103010022</v>
          </cell>
          <cell r="D65" t="str">
            <v>Gear Box Connecting Rod</v>
          </cell>
          <cell r="E65" t="str">
            <v>Pcs</v>
          </cell>
        </row>
        <row r="66">
          <cell r="C66">
            <v>3103010033</v>
          </cell>
          <cell r="D66" t="str">
            <v>Grill Back (Rec-12 Inch)</v>
          </cell>
          <cell r="E66" t="str">
            <v>Pcs</v>
          </cell>
        </row>
        <row r="67">
          <cell r="C67">
            <v>3103010024</v>
          </cell>
          <cell r="D67" t="str">
            <v>Grill Belt</v>
          </cell>
          <cell r="E67" t="str">
            <v>Pcs</v>
          </cell>
        </row>
        <row r="68">
          <cell r="C68">
            <v>3103010023</v>
          </cell>
          <cell r="D68" t="str">
            <v>Grill Front (Rec-12 Inch)</v>
          </cell>
          <cell r="E68" t="str">
            <v>Pcs</v>
          </cell>
        </row>
        <row r="69">
          <cell r="C69">
            <v>3103010018</v>
          </cell>
          <cell r="D69" t="str">
            <v>Grill Lock</v>
          </cell>
          <cell r="E69" t="str">
            <v>Pcs</v>
          </cell>
        </row>
        <row r="70">
          <cell r="C70">
            <v>3103010016</v>
          </cell>
          <cell r="D70" t="str">
            <v>Grill Show Cap (Name plate)</v>
          </cell>
          <cell r="E70" t="str">
            <v>Pcs</v>
          </cell>
        </row>
        <row r="71">
          <cell r="C71">
            <v>3103010009</v>
          </cell>
          <cell r="D71" t="str">
            <v>Key Holder</v>
          </cell>
          <cell r="E71" t="str">
            <v>Pcs</v>
          </cell>
        </row>
        <row r="72">
          <cell r="C72">
            <v>3103010007</v>
          </cell>
          <cell r="D72" t="str">
            <v>Key Panel-(Rec-12 Inch)</v>
          </cell>
          <cell r="E72" t="str">
            <v>Pcs</v>
          </cell>
        </row>
        <row r="73">
          <cell r="C73">
            <v>3103010001</v>
          </cell>
          <cell r="D73" t="str">
            <v>Lead-acid battery, 6V, 4.5AH</v>
          </cell>
          <cell r="E73" t="str">
            <v>Pcs</v>
          </cell>
        </row>
        <row r="74">
          <cell r="C74">
            <v>3103010008</v>
          </cell>
          <cell r="D74" t="str">
            <v>LED Cover-(Rec-12 Inch)</v>
          </cell>
          <cell r="E74" t="str">
            <v>Pcs</v>
          </cell>
        </row>
        <row r="75">
          <cell r="C75">
            <v>3103010058</v>
          </cell>
          <cell r="D75" t="str">
            <v>LED Line Cable (2)</v>
          </cell>
          <cell r="E75" t="str">
            <v>Pcs</v>
          </cell>
        </row>
        <row r="76">
          <cell r="C76">
            <v>3103010038</v>
          </cell>
          <cell r="D76" t="str">
            <v>Marble</v>
          </cell>
          <cell r="E76" t="str">
            <v>Pcs</v>
          </cell>
        </row>
        <row r="77">
          <cell r="C77">
            <v>3103010010</v>
          </cell>
          <cell r="D77" t="str">
            <v>Motor Back Cover</v>
          </cell>
          <cell r="E77" t="str">
            <v>Pcs</v>
          </cell>
        </row>
        <row r="78">
          <cell r="C78">
            <v>3103010059</v>
          </cell>
          <cell r="D78" t="str">
            <v>Motor Cable (2)</v>
          </cell>
          <cell r="E78" t="str">
            <v>Pcs</v>
          </cell>
        </row>
        <row r="79">
          <cell r="C79">
            <v>3103010036</v>
          </cell>
          <cell r="D79" t="str">
            <v>Motor Cotton</v>
          </cell>
          <cell r="E79" t="str">
            <v>Pcs</v>
          </cell>
        </row>
        <row r="80">
          <cell r="C80">
            <v>3103010011</v>
          </cell>
          <cell r="D80" t="str">
            <v>Motor Front Cover</v>
          </cell>
          <cell r="E80" t="str">
            <v>Pcs</v>
          </cell>
        </row>
        <row r="81">
          <cell r="C81">
            <v>3103010012</v>
          </cell>
          <cell r="D81" t="str">
            <v>Motor Holder</v>
          </cell>
          <cell r="E81" t="str">
            <v>Pcs</v>
          </cell>
        </row>
        <row r="82">
          <cell r="C82">
            <v>3103010000</v>
          </cell>
          <cell r="D82" t="str">
            <v>Motor-6V</v>
          </cell>
          <cell r="E82" t="str">
            <v>Pcs</v>
          </cell>
        </row>
        <row r="83">
          <cell r="C83">
            <v>3103010044</v>
          </cell>
          <cell r="D83" t="str">
            <v>Nut-M4*3mm</v>
          </cell>
          <cell r="E83" t="str">
            <v>Pcs</v>
          </cell>
        </row>
        <row r="84">
          <cell r="C84">
            <v>3103010043</v>
          </cell>
          <cell r="D84" t="str">
            <v>Nut-M6*6mm</v>
          </cell>
          <cell r="E84" t="str">
            <v>Pcs</v>
          </cell>
        </row>
        <row r="85">
          <cell r="C85">
            <v>3103010026</v>
          </cell>
          <cell r="D85" t="str">
            <v>Oscillation Arm</v>
          </cell>
          <cell r="E85" t="str">
            <v>Pcs</v>
          </cell>
        </row>
        <row r="86">
          <cell r="C86">
            <v>3103010031</v>
          </cell>
          <cell r="D86" t="str">
            <v>Outlet</v>
          </cell>
          <cell r="E86" t="str">
            <v>Pcs</v>
          </cell>
        </row>
        <row r="87">
          <cell r="C87">
            <v>3103010035</v>
          </cell>
          <cell r="D87" t="str">
            <v>Pad Cotton</v>
          </cell>
          <cell r="E87" t="str">
            <v>Pcs</v>
          </cell>
        </row>
        <row r="88">
          <cell r="C88">
            <v>3103010034</v>
          </cell>
          <cell r="D88" t="str">
            <v>PCB-LED</v>
          </cell>
          <cell r="E88" t="str">
            <v>Pcs</v>
          </cell>
        </row>
        <row r="89">
          <cell r="C89">
            <v>3103010057</v>
          </cell>
          <cell r="D89" t="str">
            <v>Power Output Line Cable (2)</v>
          </cell>
          <cell r="E89" t="str">
            <v>Pcs</v>
          </cell>
        </row>
        <row r="90">
          <cell r="C90">
            <v>3103010052</v>
          </cell>
          <cell r="D90" t="str">
            <v>Screw-M2.6*6mm</v>
          </cell>
          <cell r="E90" t="str">
            <v>Pcs</v>
          </cell>
        </row>
        <row r="91">
          <cell r="C91">
            <v>3103010050</v>
          </cell>
          <cell r="D91" t="str">
            <v>Screw-M3*12mm</v>
          </cell>
          <cell r="E91" t="str">
            <v>Pcs</v>
          </cell>
        </row>
        <row r="92">
          <cell r="C92">
            <v>3103010046</v>
          </cell>
          <cell r="D92" t="str">
            <v>Screw-M3*5mm</v>
          </cell>
          <cell r="E92" t="str">
            <v>Pcs</v>
          </cell>
        </row>
        <row r="93">
          <cell r="C93">
            <v>3103010053</v>
          </cell>
          <cell r="D93" t="str">
            <v>Screw-M3*6mm</v>
          </cell>
          <cell r="E93" t="str">
            <v>Pcs</v>
          </cell>
        </row>
        <row r="94">
          <cell r="C94">
            <v>3103010051</v>
          </cell>
          <cell r="D94" t="str">
            <v>Screw-M3*8mm</v>
          </cell>
          <cell r="E94" t="str">
            <v>Pcs</v>
          </cell>
        </row>
        <row r="95">
          <cell r="C95">
            <v>3103010045</v>
          </cell>
          <cell r="D95" t="str">
            <v>Screw-M3.5*10mm</v>
          </cell>
          <cell r="E95" t="str">
            <v>Pcs</v>
          </cell>
        </row>
        <row r="96">
          <cell r="C96">
            <v>3103010048</v>
          </cell>
          <cell r="D96" t="str">
            <v>Screw-M4*12mm</v>
          </cell>
          <cell r="E96" t="str">
            <v>Pcs</v>
          </cell>
        </row>
        <row r="97">
          <cell r="C97">
            <v>3103010047</v>
          </cell>
          <cell r="D97" t="str">
            <v>Screw-M4*15mm</v>
          </cell>
          <cell r="E97" t="str">
            <v>Pcs</v>
          </cell>
        </row>
        <row r="98">
          <cell r="C98">
            <v>3103010049</v>
          </cell>
          <cell r="D98" t="str">
            <v>Screw-M4*6mm</v>
          </cell>
          <cell r="E98" t="str">
            <v>Pcs</v>
          </cell>
        </row>
        <row r="99">
          <cell r="C99">
            <v>3103010029</v>
          </cell>
          <cell r="D99" t="str">
            <v>Spring-(Rec-Fan)</v>
          </cell>
          <cell r="E99" t="str">
            <v>Pcs</v>
          </cell>
        </row>
        <row r="100">
          <cell r="C100">
            <v>3103010019</v>
          </cell>
          <cell r="D100" t="str">
            <v>Steering Pull Pin</v>
          </cell>
          <cell r="E100" t="str">
            <v>Pcs</v>
          </cell>
        </row>
        <row r="101">
          <cell r="C101">
            <v>3103010032</v>
          </cell>
          <cell r="D101" t="str">
            <v>Switch</v>
          </cell>
          <cell r="E101" t="str">
            <v>Pcs</v>
          </cell>
        </row>
        <row r="102">
          <cell r="C102">
            <v>3103010056</v>
          </cell>
          <cell r="D102" t="str">
            <v>Switch Cable-Red</v>
          </cell>
          <cell r="E102" t="str">
            <v>Pcs</v>
          </cell>
        </row>
        <row r="103">
          <cell r="C103">
            <v>3103010040</v>
          </cell>
          <cell r="D103" t="str">
            <v>Washer (FAN)</v>
          </cell>
          <cell r="E103" t="str">
            <v>Pcs</v>
          </cell>
        </row>
        <row r="104">
          <cell r="C104">
            <v>3103010060</v>
          </cell>
          <cell r="D104" t="str">
            <v>Base (Rec-16 Inch)</v>
          </cell>
          <cell r="E104" t="str">
            <v>Pcs</v>
          </cell>
        </row>
        <row r="105">
          <cell r="C105">
            <v>3103010061</v>
          </cell>
          <cell r="D105" t="str">
            <v>Base column (Rec-16 Inch)</v>
          </cell>
          <cell r="E105" t="str">
            <v>Pcs</v>
          </cell>
        </row>
        <row r="106">
          <cell r="C106">
            <v>3103010062</v>
          </cell>
          <cell r="D106" t="str">
            <v>key panel (Rec-16 Inch)</v>
          </cell>
          <cell r="E106" t="str">
            <v>Pcs</v>
          </cell>
        </row>
        <row r="107">
          <cell r="C107">
            <v>3103010063</v>
          </cell>
          <cell r="D107" t="str">
            <v>Lamp cover (Rec-16 Inch)</v>
          </cell>
          <cell r="E107" t="str">
            <v>Pcs</v>
          </cell>
        </row>
        <row r="108">
          <cell r="C108">
            <v>3103010064</v>
          </cell>
          <cell r="D108" t="str">
            <v>Battery base (Rec-16 Inch)</v>
          </cell>
          <cell r="E108" t="str">
            <v>Pcs</v>
          </cell>
        </row>
        <row r="109">
          <cell r="C109">
            <v>3103010065</v>
          </cell>
          <cell r="D109" t="str">
            <v>Battery cover (Rec-16 Inch)</v>
          </cell>
          <cell r="E109" t="str">
            <v>Pcs</v>
          </cell>
        </row>
        <row r="110">
          <cell r="C110">
            <v>3103010066</v>
          </cell>
          <cell r="D110" t="str">
            <v xml:space="preserve">Lithium-ion Battery  12V, 4.5AH </v>
          </cell>
          <cell r="E110" t="str">
            <v>Pcs</v>
          </cell>
        </row>
        <row r="111">
          <cell r="C111">
            <v>3103010067</v>
          </cell>
          <cell r="D111" t="str">
            <v>Blade (Rec-16 Inch)</v>
          </cell>
          <cell r="E111" t="str">
            <v>Pcs</v>
          </cell>
        </row>
        <row r="112">
          <cell r="C112">
            <v>3103010068</v>
          </cell>
          <cell r="D112" t="str">
            <v>Grill Belt (Rec-16 Inch)</v>
          </cell>
          <cell r="E112" t="str">
            <v>Pcs</v>
          </cell>
        </row>
        <row r="113">
          <cell r="C113">
            <v>3103010069</v>
          </cell>
          <cell r="D113" t="str">
            <v>Grill Back (Rec-16 Inch)</v>
          </cell>
          <cell r="E113" t="str">
            <v>Pcs</v>
          </cell>
        </row>
        <row r="114">
          <cell r="C114">
            <v>3103010070</v>
          </cell>
          <cell r="D114" t="str">
            <v>Grill Front (Rec-16 Inch)</v>
          </cell>
          <cell r="E114" t="str">
            <v>Pcs</v>
          </cell>
        </row>
        <row r="115">
          <cell r="C115">
            <v>3103010071</v>
          </cell>
          <cell r="D115" t="str">
            <v>Power socket (Rec-16 Inch)</v>
          </cell>
          <cell r="E115" t="str">
            <v>Pcs</v>
          </cell>
        </row>
        <row r="116">
          <cell r="C116">
            <v>3103010072</v>
          </cell>
          <cell r="D116" t="str">
            <v>DC Motor 12V</v>
          </cell>
          <cell r="E116" t="str">
            <v>Pcs</v>
          </cell>
        </row>
        <row r="117">
          <cell r="C117">
            <v>3103010073</v>
          </cell>
          <cell r="D117" t="str">
            <v>Control board (Rec-16 Inch)</v>
          </cell>
          <cell r="E117" t="str">
            <v>Pcs</v>
          </cell>
        </row>
        <row r="118">
          <cell r="C118">
            <v>3103010074</v>
          </cell>
          <cell r="D118" t="str">
            <v>Driver (Rec-16 Inch)</v>
          </cell>
          <cell r="E118" t="str">
            <v>Pcs</v>
          </cell>
        </row>
        <row r="119">
          <cell r="C119">
            <v>3103010075</v>
          </cell>
          <cell r="D119" t="str">
            <v>Motor Cable- 450MM</v>
          </cell>
          <cell r="E119" t="str">
            <v>Pcs</v>
          </cell>
        </row>
        <row r="120">
          <cell r="C120">
            <v>3103010076</v>
          </cell>
          <cell r="D120" t="str">
            <v>Motor Cable- 350MM</v>
          </cell>
          <cell r="E120" t="str">
            <v>Pcs</v>
          </cell>
        </row>
        <row r="121">
          <cell r="C121">
            <v>3103010077</v>
          </cell>
          <cell r="D121" t="str">
            <v>Battery Cable</v>
          </cell>
          <cell r="E121" t="str">
            <v>Pcs</v>
          </cell>
        </row>
        <row r="122">
          <cell r="C122" t="str">
            <v xml:space="preserve">	3103010078</v>
          </cell>
          <cell r="D122" t="str">
            <v>Heat Shrinkable Tube- Φ4/2 mm</v>
          </cell>
          <cell r="E122" t="str">
            <v>Mtr</v>
          </cell>
        </row>
        <row r="123">
          <cell r="C123">
            <v>3103010079</v>
          </cell>
          <cell r="D123" t="str">
            <v>Rubber Insulation Foam Tape (Wedth-38mm, Thickness=5mm)</v>
          </cell>
          <cell r="E123" t="str">
            <v>Mtr</v>
          </cell>
        </row>
        <row r="124">
          <cell r="C124" t="str">
            <v xml:space="preserve">	3103010080</v>
          </cell>
          <cell r="D124" t="str">
            <v>PCB LED-12V</v>
          </cell>
          <cell r="E124" t="str">
            <v>Pcs</v>
          </cell>
        </row>
        <row r="125">
          <cell r="C125">
            <v>3202010001</v>
          </cell>
          <cell r="D125" t="str">
            <v>HDPE Poly 18x22``</v>
          </cell>
          <cell r="E125" t="str">
            <v>KG</v>
          </cell>
        </row>
        <row r="126">
          <cell r="C126">
            <v>3202010002</v>
          </cell>
          <cell r="D126" t="str">
            <v>8 Inch Exhasust Fan Body Carton</v>
          </cell>
          <cell r="E126" t="str">
            <v>Pcs</v>
          </cell>
        </row>
        <row r="127">
          <cell r="C127">
            <v>3202010007</v>
          </cell>
          <cell r="D127" t="str">
            <v>PP Band Fita</v>
          </cell>
          <cell r="E127" t="str">
            <v>KG</v>
          </cell>
        </row>
        <row r="128">
          <cell r="C128">
            <v>3202010008</v>
          </cell>
          <cell r="D128" t="str">
            <v>HDPE Poly 20x24``</v>
          </cell>
          <cell r="E128" t="str">
            <v>KG</v>
          </cell>
        </row>
        <row r="129">
          <cell r="C129">
            <v>3202010009</v>
          </cell>
          <cell r="D129" t="str">
            <v>10 Inch Exhasust Fan Body Carton</v>
          </cell>
          <cell r="E129" t="str">
            <v>Pcs</v>
          </cell>
        </row>
        <row r="130">
          <cell r="C130">
            <v>3202010015</v>
          </cell>
          <cell r="D130" t="str">
            <v>Guarantee Card (Exhaust Fan)</v>
          </cell>
          <cell r="E130" t="str">
            <v>Pcs</v>
          </cell>
        </row>
        <row r="131">
          <cell r="C131">
            <v>3202010016</v>
          </cell>
          <cell r="D131" t="str">
            <v>Air Fresher Sticker</v>
          </cell>
          <cell r="E131" t="str">
            <v>Pcs</v>
          </cell>
        </row>
        <row r="132">
          <cell r="C132">
            <v>3201010081</v>
          </cell>
          <cell r="D132" t="str">
            <v>Aero Flow Sticker</v>
          </cell>
          <cell r="E132" t="str">
            <v>Pcs</v>
          </cell>
        </row>
        <row r="133">
          <cell r="C133">
            <v>3201010080</v>
          </cell>
          <cell r="D133" t="str">
            <v>10 Inch Exhaust Fan Body Carton (Alu)</v>
          </cell>
          <cell r="E133" t="str">
            <v>Pcs</v>
          </cell>
        </row>
        <row r="134">
          <cell r="C134">
            <v>3201010079</v>
          </cell>
          <cell r="D134" t="str">
            <v>8 Inch Exhaust Fan Body Carton (Alu)</v>
          </cell>
          <cell r="E134" t="str">
            <v>Pcs</v>
          </cell>
        </row>
        <row r="135">
          <cell r="C135">
            <v>3201010070</v>
          </cell>
          <cell r="D135" t="str">
            <v>Body Carton - (Rec-16 inch)</v>
          </cell>
          <cell r="E135" t="str">
            <v>Pcs</v>
          </cell>
        </row>
        <row r="136">
          <cell r="C136">
            <v>3201010071</v>
          </cell>
          <cell r="D136" t="str">
            <v>Operation Manual (Rec-16 Inch)</v>
          </cell>
          <cell r="E136" t="str">
            <v>Pcs</v>
          </cell>
        </row>
        <row r="137">
          <cell r="C137">
            <v>3201010072</v>
          </cell>
          <cell r="D137" t="str">
            <v>Warrienty Card (RTF)</v>
          </cell>
          <cell r="E137" t="str">
            <v>Pcs</v>
          </cell>
        </row>
        <row r="138">
          <cell r="C138">
            <v>3201010063</v>
          </cell>
          <cell r="D138" t="str">
            <v>Body Carton - (Rec-12 inch)</v>
          </cell>
          <cell r="E138" t="str">
            <v>Pcs</v>
          </cell>
        </row>
        <row r="139">
          <cell r="C139">
            <v>3201010067</v>
          </cell>
          <cell r="D139" t="str">
            <v>Body Poly - 0.050 mm (24 Inch x 14 Inch) Std Wt. 0.0179</v>
          </cell>
          <cell r="E139" t="str">
            <v>KG</v>
          </cell>
        </row>
        <row r="140">
          <cell r="C140">
            <v>3201010068</v>
          </cell>
          <cell r="D140" t="str">
            <v>Grill Poly- 0.020 mm (20 Inch x 18 Inch)</v>
          </cell>
          <cell r="E140" t="str">
            <v>KG</v>
          </cell>
        </row>
        <row r="141">
          <cell r="C141">
            <v>3201010066</v>
          </cell>
          <cell r="D141" t="str">
            <v>Operation Manual (Rec-12 Inch)</v>
          </cell>
          <cell r="E141" t="str">
            <v>Pcs</v>
          </cell>
        </row>
        <row r="142">
          <cell r="C142">
            <v>3201010073</v>
          </cell>
          <cell r="D142" t="str">
            <v>Capacitor Master Carton-Fan (L=10.5 inch, W=9.5 inch, H=9.5 Inch)</v>
          </cell>
          <cell r="E142" t="str">
            <v>Pcs</v>
          </cell>
        </row>
        <row r="143">
          <cell r="C143">
            <v>3201010074</v>
          </cell>
          <cell r="D143" t="str">
            <v>Capacitor Inner box 2.5 µF -Fan (L=128mm, W=97mm, H=73mm)</v>
          </cell>
          <cell r="E143" t="str">
            <v>Pcs</v>
          </cell>
        </row>
        <row r="144">
          <cell r="C144">
            <v>3201010075</v>
          </cell>
          <cell r="D144" t="str">
            <v>Capacitor Inner box 3.5 µF -Fan (L=128mm, W=97mm, H=73mm)</v>
          </cell>
          <cell r="E144" t="str">
            <v>Pcs</v>
          </cell>
        </row>
        <row r="145">
          <cell r="C145">
            <v>3201010076</v>
          </cell>
          <cell r="D145" t="str">
            <v xml:space="preserve">Capacitor Warranty Card 2.5 µF -Fan	</v>
          </cell>
          <cell r="E145" t="str">
            <v>Pcs</v>
          </cell>
        </row>
        <row r="146">
          <cell r="C146">
            <v>3201010077</v>
          </cell>
          <cell r="D146" t="str">
            <v>Capacitor Warranty Card 3.5 µF -Fan</v>
          </cell>
          <cell r="E146" t="str">
            <v>Pcs</v>
          </cell>
        </row>
        <row r="147">
          <cell r="C147">
            <v>3201010078</v>
          </cell>
          <cell r="D147" t="str">
            <v>Zipper poly (3 x 4) inch -Fan</v>
          </cell>
          <cell r="E147" t="str">
            <v>Pcs</v>
          </cell>
        </row>
        <row r="148">
          <cell r="C148">
            <v>3201010046</v>
          </cell>
          <cell r="D148" t="str">
            <v>Carton Tape - (W=60mm,L=200m, MEP Print)</v>
          </cell>
          <cell r="E148" t="str">
            <v>Mtr</v>
          </cell>
        </row>
        <row r="149">
          <cell r="C149">
            <v>3201010062</v>
          </cell>
          <cell r="D149" t="str">
            <v>MEP Hologram Sticker</v>
          </cell>
          <cell r="E149" t="str">
            <v>Pcs</v>
          </cell>
        </row>
        <row r="150">
          <cell r="C150">
            <v>3201010014</v>
          </cell>
          <cell r="D150" t="str">
            <v>Fan QC Sticker</v>
          </cell>
          <cell r="E150" t="str">
            <v>Pcs</v>
          </cell>
        </row>
        <row r="151">
          <cell r="C151">
            <v>3201010083</v>
          </cell>
          <cell r="D151" t="str">
            <v>Warranty Card (Aero Flow)</v>
          </cell>
          <cell r="E151" t="str">
            <v>Pcs</v>
          </cell>
        </row>
        <row r="152">
          <cell r="C152">
            <v>700000001</v>
          </cell>
          <cell r="D152" t="str">
            <v>Solvent - Drucker</v>
          </cell>
          <cell r="E152" t="str">
            <v>Ltr</v>
          </cell>
        </row>
        <row r="153">
          <cell r="C153">
            <v>700000002</v>
          </cell>
          <cell r="D153" t="str">
            <v>Printing INK Black</v>
          </cell>
          <cell r="E153" t="str">
            <v>Pcs</v>
          </cell>
        </row>
        <row r="154">
          <cell r="C154">
            <v>700000005</v>
          </cell>
          <cell r="D154" t="str">
            <v>Bengin</v>
          </cell>
          <cell r="E154" t="str">
            <v>Ltr</v>
          </cell>
        </row>
        <row r="155">
          <cell r="C155">
            <v>700000006</v>
          </cell>
          <cell r="D155" t="str">
            <v>Reduccer</v>
          </cell>
          <cell r="E155" t="str">
            <v>Ltr</v>
          </cell>
        </row>
        <row r="156">
          <cell r="C156">
            <v>700000007</v>
          </cell>
          <cell r="D156" t="str">
            <v>Wash (3500)</v>
          </cell>
          <cell r="E156" t="str">
            <v>Ltr</v>
          </cell>
        </row>
        <row r="157">
          <cell r="C157">
            <v>700000008</v>
          </cell>
          <cell r="D157" t="str">
            <v>Makeup (8535)</v>
          </cell>
          <cell r="E157" t="str">
            <v>Ltr</v>
          </cell>
        </row>
        <row r="158">
          <cell r="C158">
            <v>700000009</v>
          </cell>
          <cell r="D158" t="str">
            <v>Printing Ink Black(8530)</v>
          </cell>
          <cell r="E158" t="str">
            <v>Ltr</v>
          </cell>
        </row>
        <row r="159">
          <cell r="C159">
            <v>700000015</v>
          </cell>
          <cell r="D159" t="str">
            <v>Kerosene</v>
          </cell>
          <cell r="E159" t="str">
            <v>Ltr</v>
          </cell>
        </row>
        <row r="160">
          <cell r="C160">
            <v>700000021</v>
          </cell>
          <cell r="D160" t="str">
            <v>Thinner</v>
          </cell>
          <cell r="E160" t="str">
            <v>Ltr.</v>
          </cell>
        </row>
        <row r="161">
          <cell r="C161">
            <v>700100032</v>
          </cell>
          <cell r="D161" t="str">
            <v>Thermal QR Code sticker Roll 38 mm x 25 mm</v>
          </cell>
          <cell r="E161" t="str">
            <v>Pcs</v>
          </cell>
        </row>
        <row r="162">
          <cell r="C162">
            <v>700100033</v>
          </cell>
          <cell r="D162" t="str">
            <v>Wrapping Poly (FAN)</v>
          </cell>
          <cell r="E162" t="str">
            <v>KG</v>
          </cell>
        </row>
        <row r="163">
          <cell r="C163">
            <v>700100034</v>
          </cell>
          <cell r="D163" t="str">
            <v>Soldering Wire-0.2</v>
          </cell>
          <cell r="E163" t="str">
            <v>KG</v>
          </cell>
        </row>
        <row r="164">
          <cell r="C164">
            <v>700100035</v>
          </cell>
          <cell r="D164" t="str">
            <v>QC Pass Sticker (Fan)</v>
          </cell>
          <cell r="E164" t="str">
            <v>Pcs</v>
          </cell>
        </row>
        <row r="165">
          <cell r="C165">
            <v>700100036</v>
          </cell>
          <cell r="D165" t="str">
            <v>Instruction Sticker</v>
          </cell>
          <cell r="E165" t="str">
            <v>Pcs</v>
          </cell>
        </row>
        <row r="166">
          <cell r="C166">
            <v>700100037</v>
          </cell>
          <cell r="D166" t="str">
            <v>GI Insulation wire</v>
          </cell>
          <cell r="E166" t="str">
            <v>Mtr</v>
          </cell>
        </row>
        <row r="167">
          <cell r="C167">
            <v>700100038</v>
          </cell>
          <cell r="D167" t="str">
            <v>Replace Card-Fan</v>
          </cell>
          <cell r="E167" t="str">
            <v>Pcs</v>
          </cell>
        </row>
        <row r="168">
          <cell r="C168"/>
          <cell r="D168"/>
        </row>
        <row r="169">
          <cell r="C169"/>
          <cell r="D169"/>
        </row>
        <row r="170">
          <cell r="C170" t="str">
            <v>CF5601/CF5601IV</v>
          </cell>
          <cell r="D170" t="str">
            <v>56 Inch Premium Ceiling Fan - Ivory</v>
          </cell>
        </row>
        <row r="171">
          <cell r="C171" t="str">
            <v>CF5602/CF5602IV</v>
          </cell>
          <cell r="D171" t="str">
            <v>56 Inch Speed King Ceiling Fan - Ivory</v>
          </cell>
        </row>
        <row r="172">
          <cell r="C172" t="str">
            <v>CF5603/CF5603IV</v>
          </cell>
          <cell r="D172" t="str">
            <v>Inch Premium Gold Ceiling Fan - Ivory</v>
          </cell>
        </row>
        <row r="173">
          <cell r="C173" t="str">
            <v>CF5606/CF5606IV</v>
          </cell>
          <cell r="D173" t="str">
            <v>56 Inch Premium Plus Ceiling Fan - Ivory</v>
          </cell>
        </row>
        <row r="174">
          <cell r="C174" t="str">
            <v>CF5607/CF5607IV</v>
          </cell>
          <cell r="D174" t="str">
            <v>56 Inch Crown Ceiling Fan - Ivory</v>
          </cell>
        </row>
        <row r="175">
          <cell r="C175" t="str">
            <v>CF4801/CF4801IV</v>
          </cell>
          <cell r="D175" t="str">
            <v>48 Inch Popular Ceiling Fan - Ivory</v>
          </cell>
        </row>
        <row r="176">
          <cell r="C176" t="str">
            <v>CF3601/CF3601IV</v>
          </cell>
          <cell r="D176" t="str">
            <v>36 Inch Hero Ceiling Fan - Ivory</v>
          </cell>
        </row>
        <row r="177">
          <cell r="C177" t="str">
            <v>CF2401/CF2401IV</v>
          </cell>
          <cell r="D177" t="str">
            <v>24 Inch Super Ceiling Fan - Ivory</v>
          </cell>
        </row>
        <row r="178">
          <cell r="C178" t="str">
            <v>SFG1010074</v>
          </cell>
          <cell r="D178" t="str">
            <v>5601 Premium Ceiling Fan Blade - Ivory</v>
          </cell>
          <cell r="E178" t="str">
            <v>Set</v>
          </cell>
        </row>
        <row r="179">
          <cell r="C179" t="str">
            <v>SFG1010075</v>
          </cell>
          <cell r="D179" t="str">
            <v>5602 Speed King Ceiling Fan Blade - Ivory</v>
          </cell>
          <cell r="E179" t="str">
            <v>Set</v>
          </cell>
        </row>
        <row r="180">
          <cell r="C180" t="str">
            <v>SFG1010096</v>
          </cell>
          <cell r="D180" t="str">
            <v>5603 Premium Gold Ceiling Fan Blade - Ivory</v>
          </cell>
          <cell r="E180" t="str">
            <v>Set</v>
          </cell>
        </row>
        <row r="181">
          <cell r="C181" t="str">
            <v>SFG1010139</v>
          </cell>
          <cell r="D181" t="str">
            <v>5606 Premium Plus Ceiling Fan Blade - Ivory</v>
          </cell>
          <cell r="E181" t="str">
            <v>Set</v>
          </cell>
        </row>
        <row r="182">
          <cell r="C182" t="str">
            <v>SFG1010136</v>
          </cell>
          <cell r="D182" t="str">
            <v>5607 Crown Ceiling Fan Blade - Ivory</v>
          </cell>
          <cell r="E182" t="str">
            <v>Set</v>
          </cell>
        </row>
        <row r="183">
          <cell r="C183" t="str">
            <v>SFG1010073</v>
          </cell>
          <cell r="D183" t="str">
            <v>4801 Popular Ceiling Fan Blade - Ivory</v>
          </cell>
          <cell r="E183" t="str">
            <v>Set</v>
          </cell>
        </row>
        <row r="184">
          <cell r="C184" t="str">
            <v>SFG1010072</v>
          </cell>
          <cell r="D184" t="str">
            <v>3601 Hero Ceiling Fan Blade - Ivory</v>
          </cell>
          <cell r="E184" t="str">
            <v>Set</v>
          </cell>
        </row>
        <row r="185">
          <cell r="C185" t="str">
            <v>SFG1010071</v>
          </cell>
          <cell r="D185" t="str">
            <v>2401 Super Ceiling Fan Blade - Ivory</v>
          </cell>
          <cell r="E185" t="str">
            <v>Set</v>
          </cell>
        </row>
        <row r="186">
          <cell r="C186">
            <v>3101010135</v>
          </cell>
          <cell r="D186" t="str">
            <v>Ball Bearing 6202 -(CnU)</v>
          </cell>
          <cell r="E186" t="str">
            <v>Pcs</v>
          </cell>
        </row>
        <row r="187">
          <cell r="C187">
            <v>3101010136</v>
          </cell>
          <cell r="D187" t="str">
            <v>Ball Bearing 6203 (CnU)</v>
          </cell>
          <cell r="E187" t="str">
            <v>Pcs</v>
          </cell>
        </row>
        <row r="188">
          <cell r="C188">
            <v>3101010077</v>
          </cell>
          <cell r="D188" t="str">
            <v>Blade/Body Screw 12.7x6mm,H=10mm (220/kg)</v>
          </cell>
          <cell r="E188" t="str">
            <v>KG</v>
          </cell>
        </row>
        <row r="189">
          <cell r="C189">
            <v>3101010115</v>
          </cell>
          <cell r="D189" t="str">
            <v>Capacitor 2.5 uF (Thailand)</v>
          </cell>
          <cell r="E189" t="str">
            <v>Pcs</v>
          </cell>
        </row>
        <row r="190">
          <cell r="C190">
            <v>3101010080</v>
          </cell>
          <cell r="D190" t="str">
            <v>Capacitor Cover</v>
          </cell>
          <cell r="E190" t="str">
            <v>Pcs</v>
          </cell>
        </row>
        <row r="191">
          <cell r="C191">
            <v>3101010023</v>
          </cell>
          <cell r="D191" t="str">
            <v>FAN Ampere Tube-04 no</v>
          </cell>
          <cell r="E191" t="str">
            <v>Mtr</v>
          </cell>
        </row>
        <row r="192">
          <cell r="C192">
            <v>3101010112</v>
          </cell>
          <cell r="D192" t="str">
            <v>Flaxible Cable 14x0.0076 - Black</v>
          </cell>
          <cell r="E192" t="str">
            <v>Mtr</v>
          </cell>
        </row>
        <row r="193">
          <cell r="C193">
            <v>3101010090</v>
          </cell>
          <cell r="D193" t="str">
            <v>Flaxible Cable 14x0.0076 - Red</v>
          </cell>
          <cell r="E193" t="str">
            <v>Mtr</v>
          </cell>
        </row>
        <row r="194">
          <cell r="C194">
            <v>3101010038</v>
          </cell>
          <cell r="D194" t="str">
            <v>Golden Powder</v>
          </cell>
          <cell r="E194" t="str">
            <v>KG</v>
          </cell>
        </row>
        <row r="195">
          <cell r="C195">
            <v>3101010108</v>
          </cell>
          <cell r="D195" t="str">
            <v>NC / ABC Thinner</v>
          </cell>
          <cell r="E195" t="str">
            <v>Ltr</v>
          </cell>
        </row>
        <row r="196">
          <cell r="C196">
            <v>3101010054</v>
          </cell>
          <cell r="D196" t="str">
            <v>Paint Clear</v>
          </cell>
          <cell r="E196" t="str">
            <v>Ltr.</v>
          </cell>
        </row>
        <row r="197">
          <cell r="C197">
            <v>3101010084</v>
          </cell>
          <cell r="D197" t="str">
            <v>Plastic XL Cap</v>
          </cell>
          <cell r="E197" t="str">
            <v>Pcs</v>
          </cell>
        </row>
        <row r="198">
          <cell r="C198">
            <v>3101010065</v>
          </cell>
          <cell r="D198" t="str">
            <v>Rubber Bend (5000/kg)</v>
          </cell>
          <cell r="E198" t="str">
            <v>KG</v>
          </cell>
        </row>
        <row r="199">
          <cell r="C199">
            <v>3101010081</v>
          </cell>
          <cell r="D199" t="str">
            <v>Rubber Gasket (56`` 48``)</v>
          </cell>
          <cell r="E199" t="str">
            <v>Pcs</v>
          </cell>
        </row>
        <row r="200">
          <cell r="C200">
            <v>3101010074</v>
          </cell>
          <cell r="D200" t="str">
            <v>Shaft/XL /Safity lock Screw 3/16x3/8```` (400/kg)</v>
          </cell>
          <cell r="E200" t="str">
            <v>KG</v>
          </cell>
        </row>
        <row r="201">
          <cell r="C201">
            <v>3101010056</v>
          </cell>
          <cell r="D201" t="str">
            <v>Show Cap-Plastic</v>
          </cell>
          <cell r="E201" t="str">
            <v>Pcs</v>
          </cell>
        </row>
        <row r="202">
          <cell r="C202">
            <v>3101010061</v>
          </cell>
          <cell r="D202" t="str">
            <v>Silika Gel</v>
          </cell>
          <cell r="E202" t="str">
            <v>Pcs</v>
          </cell>
        </row>
        <row r="203">
          <cell r="C203">
            <v>3101010094</v>
          </cell>
          <cell r="D203" t="str">
            <v>Soldering Wire</v>
          </cell>
          <cell r="E203" t="str">
            <v>KG</v>
          </cell>
        </row>
        <row r="204">
          <cell r="C204">
            <v>3101010068</v>
          </cell>
          <cell r="D204" t="str">
            <v>Spiring Washer 6mm 1400/kg)</v>
          </cell>
          <cell r="E204" t="str">
            <v>KG</v>
          </cell>
        </row>
        <row r="205">
          <cell r="C205">
            <v>3101010076</v>
          </cell>
          <cell r="D205" t="str">
            <v>Body Screw 15x6mm,H=10mm (230/kg)</v>
          </cell>
          <cell r="E205" t="str">
            <v>KG</v>
          </cell>
        </row>
        <row r="206">
          <cell r="C206">
            <v>3101010034</v>
          </cell>
          <cell r="D206" t="str">
            <v>Capacitor 2.5 uF (BM)</v>
          </cell>
          <cell r="E206" t="str">
            <v>Pcs</v>
          </cell>
        </row>
        <row r="207">
          <cell r="C207">
            <v>3101010037</v>
          </cell>
          <cell r="D207" t="str">
            <v>Deko Paint Green Lim</v>
          </cell>
          <cell r="E207" t="str">
            <v>KG</v>
          </cell>
        </row>
        <row r="208">
          <cell r="C208">
            <v>3101010110</v>
          </cell>
          <cell r="D208" t="str">
            <v>Rubber Gasket (5602)</v>
          </cell>
          <cell r="E208" t="str">
            <v>Pcs</v>
          </cell>
        </row>
        <row r="209">
          <cell r="C209">
            <v>3101010057</v>
          </cell>
          <cell r="D209" t="str">
            <v>Show Cap-Steel (Big)-50mm</v>
          </cell>
          <cell r="E209" t="str">
            <v>Pcs</v>
          </cell>
        </row>
        <row r="210">
          <cell r="C210">
            <v>3101010075</v>
          </cell>
          <cell r="D210" t="str">
            <v>Body Screw 18x6mm,H=10mm (200/kg)</v>
          </cell>
          <cell r="E210" t="str">
            <v>KG</v>
          </cell>
        </row>
        <row r="211">
          <cell r="C211">
            <v>3101010109</v>
          </cell>
          <cell r="D211" t="str">
            <v>Body Show Cap - 5603</v>
          </cell>
          <cell r="E211" t="str">
            <v>Pcs</v>
          </cell>
        </row>
        <row r="212">
          <cell r="C212">
            <v>3101010130</v>
          </cell>
          <cell r="D212" t="str">
            <v>Body screw- 3/16`` x 35mm</v>
          </cell>
          <cell r="E212" t="str">
            <v>KG</v>
          </cell>
        </row>
        <row r="213">
          <cell r="C213">
            <v>3101010124</v>
          </cell>
          <cell r="D213" t="str">
            <v>Body Show Cap - 5607</v>
          </cell>
          <cell r="E213" t="str">
            <v>Pcs</v>
          </cell>
        </row>
        <row r="214">
          <cell r="C214">
            <v>3101010123</v>
          </cell>
          <cell r="D214" t="str">
            <v>Canopy with Ring - 5607</v>
          </cell>
          <cell r="E214" t="str">
            <v>Pcs</v>
          </cell>
        </row>
        <row r="215">
          <cell r="C215">
            <v>3101010126</v>
          </cell>
          <cell r="D215" t="str">
            <v>Capacitor Support- 5607</v>
          </cell>
          <cell r="E215" t="str">
            <v>Pcs</v>
          </cell>
        </row>
        <row r="216">
          <cell r="C216">
            <v>3101010129</v>
          </cell>
          <cell r="D216" t="str">
            <v>Decorative Nut Bolt - 5607</v>
          </cell>
          <cell r="E216" t="str">
            <v>Set</v>
          </cell>
        </row>
        <row r="217">
          <cell r="C217">
            <v>3101010121</v>
          </cell>
          <cell r="D217" t="str">
            <v>Down Pipe - 5607</v>
          </cell>
          <cell r="E217" t="str">
            <v>Pcs</v>
          </cell>
        </row>
        <row r="218">
          <cell r="C218">
            <v>3101010127</v>
          </cell>
          <cell r="D218" t="str">
            <v>Down Pipe Sira Pin (Big)</v>
          </cell>
          <cell r="E218" t="str">
            <v>Pcs</v>
          </cell>
        </row>
        <row r="219">
          <cell r="C219">
            <v>3101010073</v>
          </cell>
          <cell r="D219" t="str">
            <v>Down Pipe Sira Pin(Fan)</v>
          </cell>
          <cell r="E219" t="str">
            <v>Pcs</v>
          </cell>
        </row>
        <row r="220">
          <cell r="C220">
            <v>3101010122</v>
          </cell>
          <cell r="D220" t="str">
            <v>Neck - 5607</v>
          </cell>
          <cell r="E220" t="str">
            <v>Pcs</v>
          </cell>
        </row>
        <row r="221">
          <cell r="C221">
            <v>3101010035</v>
          </cell>
          <cell r="D221" t="str">
            <v>Capacitor 2.2 uF</v>
          </cell>
          <cell r="E221" t="str">
            <v>Pcs</v>
          </cell>
        </row>
        <row r="222">
          <cell r="C222">
            <v>3101010083</v>
          </cell>
          <cell r="D222" t="str">
            <v>Rubber Gasket (2401,3601)</v>
          </cell>
          <cell r="E222" t="str">
            <v>Pcs</v>
          </cell>
        </row>
        <row r="223">
          <cell r="C223">
            <v>3101010058</v>
          </cell>
          <cell r="D223" t="str">
            <v>Show Cap-Steel(small)-42mm</v>
          </cell>
          <cell r="E223" t="str">
            <v>Pcs</v>
          </cell>
        </row>
        <row r="224">
          <cell r="C224">
            <v>3201010028</v>
          </cell>
          <cell r="D224" t="str">
            <v>Body Carton -Hero (3601)-195x195x230mm</v>
          </cell>
          <cell r="E224" t="str">
            <v>Pcs</v>
          </cell>
        </row>
        <row r="225">
          <cell r="C225">
            <v>3201010038</v>
          </cell>
          <cell r="D225" t="str">
            <v>Body Poly 36``/24``-390x340mm (140/kg)-(Std.W.-0.003733 kg)</v>
          </cell>
          <cell r="E225" t="str">
            <v>KG</v>
          </cell>
        </row>
        <row r="226">
          <cell r="C226">
            <v>3201010008</v>
          </cell>
          <cell r="D226" t="str">
            <v>Body Sticker-3601</v>
          </cell>
          <cell r="E226" t="str">
            <v>Pcs</v>
          </cell>
        </row>
        <row r="227">
          <cell r="C227">
            <v>3201010021</v>
          </cell>
          <cell r="D227" t="str">
            <v>Cork Sheet -2401/3601</v>
          </cell>
          <cell r="E227" t="str">
            <v>Pcs</v>
          </cell>
        </row>
        <row r="228">
          <cell r="C228">
            <v>3201010018</v>
          </cell>
          <cell r="D228" t="str">
            <v>Guarantee Card -2401,3601</v>
          </cell>
          <cell r="E228" t="str">
            <v>Pcs</v>
          </cell>
        </row>
        <row r="229">
          <cell r="C229">
            <v>3201010029</v>
          </cell>
          <cell r="D229" t="str">
            <v>Body Carton -Super (2401)-185x185x267mm</v>
          </cell>
          <cell r="E229" t="str">
            <v>Pcs</v>
          </cell>
        </row>
        <row r="230">
          <cell r="C230">
            <v>3201010009</v>
          </cell>
          <cell r="D230" t="str">
            <v>Body Sticker-2401</v>
          </cell>
          <cell r="E230" t="str">
            <v>Pcs</v>
          </cell>
        </row>
        <row r="231">
          <cell r="C231">
            <v>3201010027</v>
          </cell>
          <cell r="D231" t="str">
            <v>Body Carton -Popular (4801)-264x262x200mm</v>
          </cell>
          <cell r="E231" t="str">
            <v>Pcs</v>
          </cell>
        </row>
        <row r="232">
          <cell r="C232">
            <v>3201010007</v>
          </cell>
          <cell r="D232" t="str">
            <v>Body Sticker-4801</v>
          </cell>
          <cell r="E232" t="str">
            <v>Pcs</v>
          </cell>
        </row>
        <row r="233">
          <cell r="C233">
            <v>3201010016</v>
          </cell>
          <cell r="D233" t="str">
            <v>Guarantee Card -4801</v>
          </cell>
          <cell r="E233" t="str">
            <v>Pcs</v>
          </cell>
        </row>
        <row r="234">
          <cell r="C234">
            <v>3201010057</v>
          </cell>
          <cell r="D234" t="str">
            <v>Body Carton - Crown (5607)</v>
          </cell>
          <cell r="E234" t="str">
            <v>Pcs</v>
          </cell>
        </row>
        <row r="235">
          <cell r="C235">
            <v>3201010059</v>
          </cell>
          <cell r="D235" t="str">
            <v>Body Sticker (5607)</v>
          </cell>
          <cell r="E235" t="str">
            <v>Pcs</v>
          </cell>
        </row>
        <row r="236">
          <cell r="C236">
            <v>3201010041</v>
          </cell>
          <cell r="D236" t="str">
            <v>Canopy Poly (320/kg)-(Std.W.- 0.001310 kg)</v>
          </cell>
          <cell r="E236" t="str">
            <v>KG</v>
          </cell>
        </row>
        <row r="237">
          <cell r="C237">
            <v>3201010061</v>
          </cell>
          <cell r="D237" t="str">
            <v>Cork Sheet - 5607</v>
          </cell>
          <cell r="E237" t="str">
            <v>Pcs</v>
          </cell>
        </row>
        <row r="238">
          <cell r="C238">
            <v>3201010042</v>
          </cell>
          <cell r="D238" t="str">
            <v>Down pipe Poly (350/kg)-(Std.W.- 0.001158 kg)</v>
          </cell>
          <cell r="E238" t="str">
            <v>KG</v>
          </cell>
        </row>
        <row r="239">
          <cell r="C239">
            <v>3201010060</v>
          </cell>
          <cell r="D239" t="str">
            <v>Guarantee Card - Crown (5607)</v>
          </cell>
          <cell r="E239" t="str">
            <v>Pcs</v>
          </cell>
        </row>
        <row r="240">
          <cell r="C240">
            <v>3201010023</v>
          </cell>
          <cell r="D240" t="str">
            <v>Body Carton Premium Gold (5603)</v>
          </cell>
          <cell r="E240" t="str">
            <v>Pcs</v>
          </cell>
        </row>
        <row r="241">
          <cell r="C241">
            <v>3201010051</v>
          </cell>
          <cell r="D241" t="str">
            <v>Body Sticker - 5603</v>
          </cell>
          <cell r="E241" t="str">
            <v>Pcs</v>
          </cell>
        </row>
        <row r="242">
          <cell r="C242">
            <v>3201010064</v>
          </cell>
          <cell r="D242" t="str">
            <v>Guarantee Card -5603</v>
          </cell>
          <cell r="E242" t="str">
            <v>Pcs</v>
          </cell>
        </row>
        <row r="243">
          <cell r="C243">
            <v>3201010026</v>
          </cell>
          <cell r="D243" t="str">
            <v>Body Carton -Speed king (5602) -220x220x208mm</v>
          </cell>
          <cell r="E243" t="str">
            <v>Pcs</v>
          </cell>
        </row>
        <row r="244">
          <cell r="C244">
            <v>3201010006</v>
          </cell>
          <cell r="D244" t="str">
            <v>Body Sticker Speed King</v>
          </cell>
          <cell r="E244" t="str">
            <v>Pcs</v>
          </cell>
        </row>
        <row r="245">
          <cell r="C245">
            <v>3201010020</v>
          </cell>
          <cell r="D245" t="str">
            <v>Cork Sheet -5602````</v>
          </cell>
          <cell r="E245" t="str">
            <v>Pcs</v>
          </cell>
        </row>
        <row r="246">
          <cell r="C246">
            <v>3201010017</v>
          </cell>
          <cell r="D246" t="str">
            <v>Guarantee Card Speed King</v>
          </cell>
          <cell r="E246" t="str">
            <v>Pcs</v>
          </cell>
        </row>
        <row r="247">
          <cell r="C247">
            <v>3201010052</v>
          </cell>
          <cell r="D247" t="str">
            <v>Speed King Hologram Sticker</v>
          </cell>
          <cell r="E247" t="str">
            <v>Pcs</v>
          </cell>
        </row>
        <row r="248">
          <cell r="C248">
            <v>3201010022</v>
          </cell>
          <cell r="D248" t="str">
            <v>Body Carton -Premium (5601)-263x264x213mm</v>
          </cell>
          <cell r="E248" t="str">
            <v>Pcs</v>
          </cell>
        </row>
        <row r="249">
          <cell r="C249">
            <v>3201010037</v>
          </cell>
          <cell r="D249" t="str">
            <v>Body Poly 56``/48``-445x380mm (105/kg)-(Std.W.-0.004987 kg)</v>
          </cell>
          <cell r="E249" t="str">
            <v>KG</v>
          </cell>
        </row>
        <row r="250">
          <cell r="C250">
            <v>3201010004</v>
          </cell>
          <cell r="D250" t="str">
            <v>Body Sticker-5601</v>
          </cell>
          <cell r="E250" t="str">
            <v>Pcs</v>
          </cell>
        </row>
        <row r="251">
          <cell r="C251">
            <v>3201010046</v>
          </cell>
          <cell r="D251" t="str">
            <v>Carton Tape - (W=60mm,L=200m, MEP Print)</v>
          </cell>
          <cell r="E251" t="str">
            <v>Mtr</v>
          </cell>
        </row>
        <row r="252">
          <cell r="C252">
            <v>3201010019</v>
          </cell>
          <cell r="D252" t="str">
            <v>Cork Sheet -5601````/4801````</v>
          </cell>
          <cell r="E252" t="str">
            <v>Pcs</v>
          </cell>
        </row>
        <row r="253">
          <cell r="C253">
            <v>3201010014</v>
          </cell>
          <cell r="D253" t="str">
            <v>Fan QC Sticker</v>
          </cell>
          <cell r="E253" t="str">
            <v>Pcs</v>
          </cell>
        </row>
        <row r="254">
          <cell r="C254">
            <v>3201010015</v>
          </cell>
          <cell r="D254" t="str">
            <v>Guarantee Card -5601</v>
          </cell>
          <cell r="E254" t="str">
            <v>Pcs</v>
          </cell>
        </row>
        <row r="255">
          <cell r="C255">
            <v>3201010062</v>
          </cell>
          <cell r="D255" t="str">
            <v>MEP Hologram Sticker</v>
          </cell>
          <cell r="E255" t="str">
            <v>Pcs</v>
          </cell>
        </row>
        <row r="256">
          <cell r="C256">
            <v>3201010003</v>
          </cell>
          <cell r="D256" t="str">
            <v>Tissue Paper</v>
          </cell>
          <cell r="E256" t="str">
            <v>Pcs</v>
          </cell>
        </row>
        <row r="257">
          <cell r="C257">
            <v>3201010024</v>
          </cell>
          <cell r="D257" t="str">
            <v>Body Carton Premium Plus (5606)</v>
          </cell>
          <cell r="E257" t="str">
            <v>Pcs</v>
          </cell>
        </row>
        <row r="258">
          <cell r="C258">
            <v>3201010005</v>
          </cell>
          <cell r="D258" t="str">
            <v>Body Sticker-Premium Plus(5606)</v>
          </cell>
          <cell r="E258" t="str">
            <v>Pcs</v>
          </cell>
        </row>
        <row r="259">
          <cell r="C259">
            <v>3201010069</v>
          </cell>
          <cell r="D259" t="str">
            <v>Guarantee Card -5606</v>
          </cell>
          <cell r="E259" t="str">
            <v>Pcs</v>
          </cell>
        </row>
        <row r="260">
          <cell r="C260" t="str">
            <v>SFG1010030</v>
          </cell>
          <cell r="D260" t="str">
            <v>Complete Armature 7 Circle 15mm</v>
          </cell>
          <cell r="E260" t="str">
            <v>Pcs</v>
          </cell>
        </row>
        <row r="261">
          <cell r="C261" t="str">
            <v>SFG1010070</v>
          </cell>
          <cell r="D261" t="str">
            <v>Complete Canopy Big - 4801, 5601, 5603</v>
          </cell>
          <cell r="E261" t="str">
            <v>Set</v>
          </cell>
        </row>
        <row r="262">
          <cell r="C262" t="str">
            <v>SFG1010064</v>
          </cell>
          <cell r="D262" t="str">
            <v>Complete Down Pipe 10 Inch- 4801, 5601, 5603 - Ivory</v>
          </cell>
          <cell r="E262" t="str">
            <v>Pcs</v>
          </cell>
        </row>
        <row r="263">
          <cell r="C263" t="str">
            <v>SFG1010042</v>
          </cell>
          <cell r="D263" t="str">
            <v>Complete Rotor 7 Circle 14.5mm</v>
          </cell>
          <cell r="E263" t="str">
            <v>Pcs</v>
          </cell>
        </row>
        <row r="264">
          <cell r="C264" t="str">
            <v>SFG1010082</v>
          </cell>
          <cell r="D264" t="str">
            <v>Completed Clamp with Accessories - 4801, 5601, 5603</v>
          </cell>
          <cell r="E264" t="str">
            <v>Set</v>
          </cell>
        </row>
        <row r="265">
          <cell r="C265" t="str">
            <v>SFG1010081</v>
          </cell>
          <cell r="D265" t="str">
            <v>MEP Fan Regulator - 3601, 4801, 5601, 5603</v>
          </cell>
          <cell r="E265" t="str">
            <v>Pcs</v>
          </cell>
        </row>
        <row r="266">
          <cell r="C266" t="str">
            <v>SFG1010017</v>
          </cell>
          <cell r="D266" t="str">
            <v>Painting Bottom Cover-5601 (232mm) - Ivory</v>
          </cell>
          <cell r="E266" t="str">
            <v>Pcs</v>
          </cell>
        </row>
        <row r="267">
          <cell r="C267" t="str">
            <v>SFG1010008</v>
          </cell>
          <cell r="D267" t="str">
            <v>Painting Top Cover-5601 (232mm) - Ivory</v>
          </cell>
          <cell r="E267" t="str">
            <v>Pcs</v>
          </cell>
        </row>
        <row r="268">
          <cell r="C268" t="str">
            <v>SFG1010029</v>
          </cell>
          <cell r="D268" t="str">
            <v>Complete Armature 6 Circle 15mm Black Sheet</v>
          </cell>
          <cell r="E268" t="str">
            <v>Pcs</v>
          </cell>
        </row>
        <row r="269">
          <cell r="C269" t="str">
            <v>SFG1010028</v>
          </cell>
          <cell r="D269" t="str">
            <v>Complete Armature 6 Circle 16mm</v>
          </cell>
          <cell r="E269" t="str">
            <v>Pcs</v>
          </cell>
        </row>
        <row r="270">
          <cell r="C270" t="str">
            <v>SFG1010069</v>
          </cell>
          <cell r="D270" t="str">
            <v>Complete Canopy Small-5602</v>
          </cell>
          <cell r="E270" t="str">
            <v>Pcs</v>
          </cell>
        </row>
        <row r="271">
          <cell r="C271" t="str">
            <v>SFG1010065</v>
          </cell>
          <cell r="D271" t="str">
            <v>Complete Down Pipe 10 Inch -(5602,3601,2401)- Ivory</v>
          </cell>
          <cell r="E271" t="str">
            <v>Pcs</v>
          </cell>
        </row>
        <row r="272">
          <cell r="C272" t="str">
            <v>SFG1010040</v>
          </cell>
          <cell r="D272" t="str">
            <v>Complete Rotor 6 Circle 15.5mm</v>
          </cell>
          <cell r="E272" t="str">
            <v>Pcs</v>
          </cell>
        </row>
        <row r="273">
          <cell r="C273" t="str">
            <v>SFG1010018</v>
          </cell>
          <cell r="D273" t="str">
            <v>Painting Bottom Cover-5602 (217mm) - Ivory</v>
          </cell>
          <cell r="E273" t="str">
            <v>Pcs</v>
          </cell>
        </row>
        <row r="274">
          <cell r="C274" t="str">
            <v>SFG1010009</v>
          </cell>
          <cell r="D274" t="str">
            <v>Painting Top Cover-5602 (217mm) - Ivory</v>
          </cell>
          <cell r="E274" t="str">
            <v>Pcs</v>
          </cell>
        </row>
        <row r="275">
          <cell r="C275" t="str">
            <v>SFG1010092</v>
          </cell>
          <cell r="D275" t="str">
            <v>Painting Bottom Cover-5603 (232mm) - Ivory</v>
          </cell>
          <cell r="E275" t="str">
            <v>Pcs</v>
          </cell>
        </row>
        <row r="276">
          <cell r="C276" t="str">
            <v>SFG1010090</v>
          </cell>
          <cell r="D276" t="str">
            <v>Painting Top Cover-5603 (232mm) - Ivory</v>
          </cell>
          <cell r="E276" t="str">
            <v>Pcs</v>
          </cell>
        </row>
        <row r="277">
          <cell r="C277" t="str">
            <v>SFG1010141</v>
          </cell>
          <cell r="D277" t="str">
            <v>Complete Armature 7 Circle 16mm -5606</v>
          </cell>
          <cell r="E277" t="str">
            <v>Pcs</v>
          </cell>
        </row>
        <row r="278">
          <cell r="C278" t="str">
            <v>SFG1010126</v>
          </cell>
          <cell r="D278" t="str">
            <v>Complete Rotor 7 Circle 15.5mm</v>
          </cell>
          <cell r="E278" t="str">
            <v>Pcs</v>
          </cell>
        </row>
        <row r="279">
          <cell r="C279" t="str">
            <v>SFG1010123</v>
          </cell>
          <cell r="D279" t="str">
            <v>Complete Armature 7 Circle 16mm -5607</v>
          </cell>
          <cell r="E279" t="str">
            <v>Pcs</v>
          </cell>
        </row>
        <row r="280">
          <cell r="C280" t="str">
            <v>SFG1010142</v>
          </cell>
          <cell r="D280" t="str">
            <v>Completed Clamp with Accessories - 5607</v>
          </cell>
          <cell r="E280" t="str">
            <v>Set</v>
          </cell>
        </row>
        <row r="281">
          <cell r="C281" t="str">
            <v>SFG1010119</v>
          </cell>
          <cell r="D281" t="str">
            <v>Fan Promotional Gang Regulator White (P512)</v>
          </cell>
          <cell r="E281" t="str">
            <v>Pcs</v>
          </cell>
        </row>
        <row r="282">
          <cell r="C282" t="str">
            <v>SFG1010134</v>
          </cell>
          <cell r="D282" t="str">
            <v>Painting Bottom Cover 5607 - Ivory</v>
          </cell>
          <cell r="E282" t="str">
            <v>Pcs</v>
          </cell>
        </row>
        <row r="283">
          <cell r="C283" t="str">
            <v>SFG1010133</v>
          </cell>
          <cell r="D283" t="str">
            <v>Painting Top Cover 5607 - Ivory</v>
          </cell>
          <cell r="E283" t="str">
            <v>Pcs</v>
          </cell>
        </row>
        <row r="284">
          <cell r="C284" t="str">
            <v>SFG1010016</v>
          </cell>
          <cell r="D284" t="str">
            <v>Painting Bottom Cover-4801 (220mm) - Ivory</v>
          </cell>
          <cell r="E284" t="str">
            <v>Pcs</v>
          </cell>
        </row>
        <row r="285">
          <cell r="C285" t="str">
            <v>SFG1010007</v>
          </cell>
          <cell r="D285" t="str">
            <v>Painting Top Cover-4801 (220mm) - Ivory</v>
          </cell>
          <cell r="E285" t="str">
            <v>Pcs</v>
          </cell>
        </row>
        <row r="286">
          <cell r="C286" t="str">
            <v>SFG1010027</v>
          </cell>
          <cell r="D286" t="str">
            <v>Complete Armature 5.5 Circle 16mm</v>
          </cell>
          <cell r="E286" t="str">
            <v>Pcs</v>
          </cell>
        </row>
        <row r="287">
          <cell r="C287" t="str">
            <v>SFG1010039</v>
          </cell>
          <cell r="D287" t="str">
            <v>Complete Rotor 5.5 Circle 15.5mm</v>
          </cell>
          <cell r="E287" t="str">
            <v>Pcs</v>
          </cell>
        </row>
        <row r="288">
          <cell r="C288" t="str">
            <v>SFG1010015</v>
          </cell>
          <cell r="D288" t="str">
            <v>Painting Bottom Cover-3601 (184mm) - Ivory</v>
          </cell>
          <cell r="E288" t="str">
            <v>Pcs</v>
          </cell>
        </row>
        <row r="289">
          <cell r="C289" t="str">
            <v>SFG1010006</v>
          </cell>
          <cell r="D289" t="str">
            <v>Painting Top Cover-3601 (184mm) - Ivory</v>
          </cell>
          <cell r="E289" t="str">
            <v>Pcs</v>
          </cell>
        </row>
        <row r="290">
          <cell r="C290" t="str">
            <v>SFG1010014</v>
          </cell>
          <cell r="D290" t="str">
            <v>Painting Bottom Cover-2401 (184mm) - Ivory</v>
          </cell>
          <cell r="E290" t="str">
            <v>Pcs</v>
          </cell>
        </row>
        <row r="291">
          <cell r="C291" t="str">
            <v>SFG1010005</v>
          </cell>
          <cell r="D291" t="str">
            <v>Painting Top Cover-2401 (184mm)- Ivory</v>
          </cell>
          <cell r="E291" t="str">
            <v>Pcs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Rejection Report 2025"/>
      <sheetName val="Armature Production Report"/>
      <sheetName val="Armature SFG Report Entry"/>
      <sheetName val="Armature SFG Report Display"/>
      <sheetName val="Super Wire Rejection Entry"/>
      <sheetName val="SFG Accessories"/>
      <sheetName val="Sheet5"/>
      <sheetName val="Market Return Memo Entry"/>
      <sheetName val="Mnth Market Return Prob. Report"/>
      <sheetName val="Armature Attendance"/>
      <sheetName val="Defect Fan Receive Other Sec."/>
      <sheetName val="entry report"/>
      <sheetName val="Daily Assembly Rejection Entry"/>
      <sheetName val="Daily Assembly Rejection Report"/>
      <sheetName val="Sheet3"/>
      <sheetName val="Sheet1"/>
    </sheetNames>
    <sheetDataSet>
      <sheetData sheetId="0"/>
      <sheetData sheetId="1"/>
      <sheetData sheetId="2"/>
      <sheetData sheetId="3">
        <row r="2256">
          <cell r="F2256">
            <v>8400</v>
          </cell>
          <cell r="G2256">
            <v>1800</v>
          </cell>
          <cell r="H2256">
            <v>1250</v>
          </cell>
          <cell r="I2256">
            <v>8950</v>
          </cell>
        </row>
        <row r="2257">
          <cell r="F2257">
            <v>1017</v>
          </cell>
          <cell r="G2257"/>
          <cell r="H2257"/>
          <cell r="I2257">
            <v>1017</v>
          </cell>
        </row>
        <row r="2258">
          <cell r="F2258">
            <v>9538</v>
          </cell>
          <cell r="G2258"/>
          <cell r="H2258"/>
          <cell r="I2258">
            <v>9538</v>
          </cell>
        </row>
        <row r="2259">
          <cell r="F2259">
            <v>96</v>
          </cell>
          <cell r="G2259"/>
          <cell r="H2259"/>
          <cell r="I2259">
            <v>96</v>
          </cell>
        </row>
        <row r="2260">
          <cell r="F2260">
            <v>257</v>
          </cell>
          <cell r="G2260"/>
          <cell r="H2260"/>
          <cell r="I2260">
            <v>257</v>
          </cell>
        </row>
        <row r="2261">
          <cell r="F2261">
            <v>8950</v>
          </cell>
          <cell r="G2261">
            <v>1790</v>
          </cell>
          <cell r="H2261">
            <v>1800</v>
          </cell>
          <cell r="I2261">
            <v>8940</v>
          </cell>
        </row>
        <row r="2262">
          <cell r="F2262">
            <v>1017</v>
          </cell>
          <cell r="G2262"/>
          <cell r="H2262"/>
          <cell r="I2262">
            <v>1017</v>
          </cell>
        </row>
        <row r="2263">
          <cell r="F2263">
            <v>9538</v>
          </cell>
          <cell r="G2263"/>
          <cell r="H2263"/>
          <cell r="I2263">
            <v>9538</v>
          </cell>
        </row>
        <row r="2264">
          <cell r="F2264">
            <v>96</v>
          </cell>
          <cell r="G2264"/>
          <cell r="H2264"/>
          <cell r="I2264">
            <v>96</v>
          </cell>
        </row>
        <row r="2265">
          <cell r="F2265">
            <v>257</v>
          </cell>
          <cell r="G2265"/>
          <cell r="H2265"/>
          <cell r="I2265">
            <v>257</v>
          </cell>
        </row>
        <row r="2266">
          <cell r="F2266">
            <v>8940</v>
          </cell>
          <cell r="G2266">
            <v>1790</v>
          </cell>
          <cell r="H2266">
            <v>240</v>
          </cell>
          <cell r="I2266">
            <v>10490</v>
          </cell>
        </row>
        <row r="2267">
          <cell r="F2267">
            <v>1017</v>
          </cell>
          <cell r="G2267"/>
          <cell r="H2267"/>
          <cell r="I2267">
            <v>1017</v>
          </cell>
        </row>
        <row r="2268">
          <cell r="F2268">
            <v>9538</v>
          </cell>
          <cell r="G2268"/>
          <cell r="H2268">
            <v>960</v>
          </cell>
          <cell r="I2268">
            <v>8578</v>
          </cell>
        </row>
        <row r="2269">
          <cell r="F2269">
            <v>96</v>
          </cell>
          <cell r="G2269"/>
          <cell r="H2269"/>
          <cell r="I2269">
            <v>96</v>
          </cell>
        </row>
        <row r="2270">
          <cell r="F2270">
            <v>257</v>
          </cell>
          <cell r="G2270"/>
          <cell r="H2270"/>
          <cell r="I2270">
            <v>257</v>
          </cell>
        </row>
        <row r="2271">
          <cell r="F2271">
            <v>10319</v>
          </cell>
          <cell r="G2271">
            <v>1580</v>
          </cell>
          <cell r="H2271"/>
          <cell r="I2271">
            <v>11899</v>
          </cell>
        </row>
        <row r="2272">
          <cell r="F2272">
            <v>1017</v>
          </cell>
          <cell r="G2272"/>
          <cell r="H2272"/>
          <cell r="I2272">
            <v>1017</v>
          </cell>
        </row>
        <row r="2273">
          <cell r="F2273">
            <v>8578</v>
          </cell>
          <cell r="G2273"/>
          <cell r="H2273">
            <v>1430</v>
          </cell>
          <cell r="I2273">
            <v>7148</v>
          </cell>
        </row>
        <row r="2274">
          <cell r="F2274">
            <v>96</v>
          </cell>
          <cell r="G2274">
            <v>200</v>
          </cell>
          <cell r="H2274"/>
          <cell r="I2274">
            <v>296</v>
          </cell>
        </row>
        <row r="2275">
          <cell r="F2275">
            <v>257</v>
          </cell>
          <cell r="G2275"/>
          <cell r="H2275"/>
          <cell r="I2275">
            <v>257</v>
          </cell>
        </row>
        <row r="2276">
          <cell r="F2276">
            <v>11899</v>
          </cell>
          <cell r="G2276"/>
          <cell r="H2276"/>
          <cell r="I2276">
            <v>11899</v>
          </cell>
        </row>
        <row r="2277">
          <cell r="F2277">
            <v>1017</v>
          </cell>
          <cell r="G2277"/>
          <cell r="H2277"/>
          <cell r="I2277">
            <v>1017</v>
          </cell>
        </row>
        <row r="2278">
          <cell r="F2278">
            <v>7148</v>
          </cell>
          <cell r="G2278"/>
          <cell r="H2278"/>
          <cell r="I2278">
            <v>7148</v>
          </cell>
        </row>
        <row r="2279">
          <cell r="F2279">
            <v>296</v>
          </cell>
          <cell r="G2279"/>
          <cell r="H2279"/>
          <cell r="I2279">
            <v>296</v>
          </cell>
        </row>
        <row r="2280">
          <cell r="F2280">
            <v>257</v>
          </cell>
          <cell r="G2280"/>
          <cell r="H2280"/>
          <cell r="I2280">
            <v>257</v>
          </cell>
        </row>
        <row r="2281">
          <cell r="F2281">
            <v>11899</v>
          </cell>
          <cell r="G2281">
            <v>1790</v>
          </cell>
          <cell r="H2281"/>
          <cell r="I2281">
            <v>13689</v>
          </cell>
        </row>
        <row r="2282">
          <cell r="F2282">
            <v>1017</v>
          </cell>
          <cell r="G2282"/>
          <cell r="H2282"/>
          <cell r="I2282">
            <v>1017</v>
          </cell>
        </row>
        <row r="2283">
          <cell r="F2283">
            <v>7148</v>
          </cell>
          <cell r="G2283"/>
          <cell r="H2283">
            <v>1850</v>
          </cell>
          <cell r="I2283">
            <v>5298</v>
          </cell>
        </row>
        <row r="2284">
          <cell r="F2284">
            <v>296</v>
          </cell>
          <cell r="G2284"/>
          <cell r="H2284"/>
          <cell r="I2284">
            <v>296</v>
          </cell>
        </row>
        <row r="2285">
          <cell r="F2285">
            <v>257</v>
          </cell>
          <cell r="G2285"/>
          <cell r="H2285"/>
          <cell r="I2285">
            <v>257</v>
          </cell>
        </row>
        <row r="2286">
          <cell r="F2286">
            <v>13689</v>
          </cell>
          <cell r="G2286">
            <v>1790</v>
          </cell>
          <cell r="H2286">
            <v>200</v>
          </cell>
          <cell r="I2286">
            <v>15279</v>
          </cell>
        </row>
        <row r="2287">
          <cell r="F2287">
            <v>1017</v>
          </cell>
          <cell r="G2287"/>
          <cell r="H2287"/>
          <cell r="I2287">
            <v>1017</v>
          </cell>
        </row>
        <row r="2288">
          <cell r="F2288">
            <v>5298</v>
          </cell>
          <cell r="G2288"/>
          <cell r="H2288">
            <v>900</v>
          </cell>
          <cell r="I2288">
            <v>4398</v>
          </cell>
        </row>
        <row r="2289">
          <cell r="F2289">
            <v>296</v>
          </cell>
          <cell r="G2289"/>
          <cell r="H2289"/>
          <cell r="I2289">
            <v>296</v>
          </cell>
        </row>
        <row r="2290">
          <cell r="F2290">
            <v>257</v>
          </cell>
          <cell r="G2290"/>
          <cell r="H2290"/>
          <cell r="I2290">
            <v>257</v>
          </cell>
        </row>
        <row r="2291">
          <cell r="F2291">
            <v>15279</v>
          </cell>
          <cell r="G2291">
            <v>1800</v>
          </cell>
          <cell r="H2291">
            <v>1700</v>
          </cell>
          <cell r="I2291">
            <v>15379</v>
          </cell>
        </row>
        <row r="2292">
          <cell r="F2292">
            <v>1017</v>
          </cell>
          <cell r="G2292"/>
          <cell r="H2292"/>
          <cell r="I2292">
            <v>1017</v>
          </cell>
        </row>
        <row r="2293">
          <cell r="F2293">
            <v>5685</v>
          </cell>
          <cell r="G2293"/>
          <cell r="H2293"/>
          <cell r="I2293">
            <v>5685</v>
          </cell>
        </row>
        <row r="2294">
          <cell r="F2294">
            <v>296</v>
          </cell>
          <cell r="G2294"/>
          <cell r="H2294"/>
          <cell r="I2294">
            <v>296</v>
          </cell>
        </row>
        <row r="2295">
          <cell r="F2295">
            <v>257</v>
          </cell>
          <cell r="G2295"/>
          <cell r="H2295"/>
          <cell r="I2295">
            <v>257</v>
          </cell>
        </row>
        <row r="2296">
          <cell r="F2296"/>
          <cell r="G2296"/>
          <cell r="H2296"/>
          <cell r="I2296">
            <v>0</v>
          </cell>
        </row>
        <row r="2297">
          <cell r="F2297"/>
          <cell r="G2297"/>
          <cell r="H2297"/>
          <cell r="I2297">
            <v>0</v>
          </cell>
        </row>
        <row r="2298">
          <cell r="F2298"/>
          <cell r="G2298"/>
          <cell r="H2298"/>
          <cell r="I2298">
            <v>0</v>
          </cell>
        </row>
        <row r="2299">
          <cell r="F2299"/>
          <cell r="G2299"/>
          <cell r="H2299"/>
          <cell r="I2299">
            <v>0</v>
          </cell>
        </row>
        <row r="2300">
          <cell r="F2300"/>
          <cell r="G2300"/>
          <cell r="H2300"/>
          <cell r="I2300">
            <v>0</v>
          </cell>
        </row>
        <row r="2301">
          <cell r="F2301"/>
          <cell r="G2301"/>
          <cell r="H2301"/>
          <cell r="I2301">
            <v>0</v>
          </cell>
        </row>
        <row r="2302">
          <cell r="F2302"/>
          <cell r="G2302"/>
          <cell r="H2302"/>
          <cell r="I2302">
            <v>0</v>
          </cell>
        </row>
        <row r="2303">
          <cell r="F2303"/>
          <cell r="G2303"/>
          <cell r="H2303"/>
          <cell r="I2303">
            <v>0</v>
          </cell>
        </row>
        <row r="2304">
          <cell r="F2304"/>
          <cell r="G2304"/>
          <cell r="H2304"/>
          <cell r="I2304">
            <v>0</v>
          </cell>
        </row>
        <row r="2305">
          <cell r="F2305"/>
          <cell r="G2305"/>
          <cell r="H2305"/>
          <cell r="I2305">
            <v>0</v>
          </cell>
        </row>
        <row r="2306">
          <cell r="F2306"/>
          <cell r="G2306"/>
          <cell r="H2306"/>
          <cell r="I2306">
            <v>0</v>
          </cell>
        </row>
        <row r="2307">
          <cell r="F2307"/>
          <cell r="G2307"/>
          <cell r="H2307"/>
          <cell r="I2307">
            <v>0</v>
          </cell>
        </row>
        <row r="2308">
          <cell r="F2308"/>
          <cell r="G2308"/>
          <cell r="H2308"/>
          <cell r="I2308">
            <v>0</v>
          </cell>
        </row>
        <row r="2309">
          <cell r="F2309"/>
          <cell r="G2309"/>
          <cell r="H2309"/>
          <cell r="I2309">
            <v>0</v>
          </cell>
        </row>
        <row r="2310">
          <cell r="F2310"/>
          <cell r="G2310"/>
          <cell r="H2310"/>
          <cell r="I2310">
            <v>0</v>
          </cell>
        </row>
        <row r="2311">
          <cell r="F2311"/>
          <cell r="G2311"/>
          <cell r="H2311"/>
          <cell r="I2311">
            <v>0</v>
          </cell>
        </row>
        <row r="2312">
          <cell r="F2312"/>
          <cell r="G2312"/>
          <cell r="H2312"/>
          <cell r="I2312">
            <v>0</v>
          </cell>
        </row>
        <row r="2313">
          <cell r="F2313"/>
          <cell r="G2313"/>
          <cell r="H2313"/>
          <cell r="I2313">
            <v>0</v>
          </cell>
        </row>
        <row r="2314">
          <cell r="F2314"/>
          <cell r="G2314"/>
          <cell r="H2314"/>
          <cell r="I2314">
            <v>0</v>
          </cell>
        </row>
        <row r="2315">
          <cell r="F2315"/>
          <cell r="G2315"/>
          <cell r="H2315"/>
          <cell r="I2315">
            <v>0</v>
          </cell>
        </row>
        <row r="2316">
          <cell r="F2316"/>
          <cell r="G2316"/>
          <cell r="H2316"/>
          <cell r="I2316">
            <v>0</v>
          </cell>
        </row>
        <row r="2317">
          <cell r="F2317"/>
          <cell r="G2317"/>
          <cell r="H2317"/>
          <cell r="I2317">
            <v>0</v>
          </cell>
        </row>
        <row r="2318">
          <cell r="F2318"/>
          <cell r="G2318"/>
          <cell r="H2318"/>
          <cell r="I2318">
            <v>0</v>
          </cell>
        </row>
        <row r="2319">
          <cell r="F2319"/>
          <cell r="G2319"/>
          <cell r="H2319"/>
          <cell r="I2319">
            <v>0</v>
          </cell>
        </row>
        <row r="2320">
          <cell r="F2320"/>
          <cell r="G2320"/>
          <cell r="H2320"/>
          <cell r="I2320">
            <v>0</v>
          </cell>
        </row>
        <row r="2321">
          <cell r="F2321"/>
          <cell r="G2321"/>
          <cell r="H2321"/>
          <cell r="I2321">
            <v>0</v>
          </cell>
        </row>
        <row r="2322">
          <cell r="F2322"/>
          <cell r="G2322"/>
          <cell r="H2322"/>
          <cell r="I2322">
            <v>0</v>
          </cell>
        </row>
        <row r="2323">
          <cell r="F2323"/>
          <cell r="G2323"/>
          <cell r="H2323"/>
          <cell r="I2323">
            <v>0</v>
          </cell>
        </row>
        <row r="2324">
          <cell r="F2324"/>
          <cell r="G2324"/>
          <cell r="H2324"/>
          <cell r="I2324">
            <v>0</v>
          </cell>
        </row>
        <row r="2325">
          <cell r="F2325"/>
          <cell r="G2325"/>
          <cell r="H2325"/>
          <cell r="I2325">
            <v>0</v>
          </cell>
        </row>
        <row r="2326">
          <cell r="F2326"/>
          <cell r="G2326"/>
          <cell r="H2326"/>
          <cell r="I2326">
            <v>0</v>
          </cell>
        </row>
        <row r="2327">
          <cell r="F2327"/>
          <cell r="G2327"/>
          <cell r="H2327"/>
          <cell r="I2327">
            <v>0</v>
          </cell>
        </row>
        <row r="2328">
          <cell r="F2328"/>
          <cell r="G2328"/>
          <cell r="H2328"/>
          <cell r="I2328">
            <v>0</v>
          </cell>
        </row>
        <row r="2329">
          <cell r="F2329"/>
          <cell r="G2329"/>
          <cell r="H2329"/>
          <cell r="I2329">
            <v>0</v>
          </cell>
        </row>
        <row r="2330">
          <cell r="F2330"/>
          <cell r="G2330"/>
          <cell r="H2330"/>
          <cell r="I2330">
            <v>0</v>
          </cell>
        </row>
        <row r="2331">
          <cell r="F2331"/>
          <cell r="G2331"/>
          <cell r="H2331"/>
          <cell r="I2331">
            <v>0</v>
          </cell>
        </row>
        <row r="2332">
          <cell r="F2332"/>
          <cell r="G2332"/>
          <cell r="H2332"/>
          <cell r="I2332">
            <v>0</v>
          </cell>
        </row>
        <row r="2333">
          <cell r="F2333"/>
          <cell r="G2333"/>
          <cell r="H2333"/>
          <cell r="I2333">
            <v>0</v>
          </cell>
        </row>
        <row r="2334">
          <cell r="F2334"/>
          <cell r="G2334"/>
          <cell r="H2334"/>
          <cell r="I2334">
            <v>0</v>
          </cell>
        </row>
        <row r="2335">
          <cell r="F2335"/>
          <cell r="G2335"/>
          <cell r="H2335"/>
          <cell r="I2335">
            <v>0</v>
          </cell>
        </row>
        <row r="2336">
          <cell r="F2336"/>
          <cell r="G2336"/>
          <cell r="H2336"/>
          <cell r="I2336">
            <v>0</v>
          </cell>
        </row>
        <row r="2337">
          <cell r="F2337"/>
          <cell r="G2337"/>
          <cell r="H2337"/>
          <cell r="I2337">
            <v>0</v>
          </cell>
        </row>
        <row r="2338">
          <cell r="F2338"/>
          <cell r="G2338"/>
          <cell r="H2338"/>
          <cell r="I2338">
            <v>0</v>
          </cell>
        </row>
        <row r="2339">
          <cell r="F2339"/>
          <cell r="G2339"/>
          <cell r="H2339"/>
          <cell r="I2339">
            <v>0</v>
          </cell>
        </row>
        <row r="2340">
          <cell r="F2340"/>
          <cell r="G2340"/>
          <cell r="H2340"/>
          <cell r="I2340">
            <v>0</v>
          </cell>
        </row>
        <row r="2341">
          <cell r="F2341"/>
          <cell r="G2341"/>
          <cell r="H2341"/>
          <cell r="I2341">
            <v>0</v>
          </cell>
        </row>
        <row r="2342">
          <cell r="F2342"/>
          <cell r="G2342"/>
          <cell r="H2342"/>
          <cell r="I2342">
            <v>0</v>
          </cell>
        </row>
        <row r="2343">
          <cell r="F2343"/>
          <cell r="G2343"/>
          <cell r="H2343"/>
          <cell r="I2343">
            <v>0</v>
          </cell>
        </row>
        <row r="2344">
          <cell r="F2344"/>
          <cell r="G2344"/>
          <cell r="H2344"/>
          <cell r="I2344">
            <v>0</v>
          </cell>
        </row>
        <row r="2345">
          <cell r="F2345"/>
          <cell r="G2345"/>
          <cell r="H2345"/>
          <cell r="I2345">
            <v>0</v>
          </cell>
        </row>
        <row r="2346">
          <cell r="F2346"/>
          <cell r="G2346"/>
          <cell r="H2346"/>
          <cell r="I2346">
            <v>0</v>
          </cell>
        </row>
        <row r="2347">
          <cell r="F2347"/>
          <cell r="G2347"/>
          <cell r="H2347"/>
          <cell r="I2347">
            <v>0</v>
          </cell>
        </row>
        <row r="2348">
          <cell r="F2348"/>
          <cell r="G2348"/>
          <cell r="H2348"/>
          <cell r="I2348">
            <v>0</v>
          </cell>
        </row>
        <row r="2349">
          <cell r="F2349"/>
          <cell r="G2349"/>
          <cell r="H2349"/>
          <cell r="I2349">
            <v>0</v>
          </cell>
        </row>
        <row r="2350">
          <cell r="F2350"/>
          <cell r="G2350"/>
          <cell r="H2350"/>
          <cell r="I2350">
            <v>0</v>
          </cell>
        </row>
        <row r="2351">
          <cell r="F2351"/>
          <cell r="G2351"/>
          <cell r="H2351"/>
          <cell r="I2351">
            <v>0</v>
          </cell>
        </row>
        <row r="2352">
          <cell r="F2352"/>
          <cell r="G2352"/>
          <cell r="H2352"/>
          <cell r="I2352">
            <v>0</v>
          </cell>
        </row>
        <row r="2353">
          <cell r="F2353"/>
          <cell r="G2353"/>
          <cell r="H2353"/>
          <cell r="I2353">
            <v>0</v>
          </cell>
        </row>
        <row r="2354">
          <cell r="F2354"/>
          <cell r="G2354"/>
          <cell r="H2354"/>
          <cell r="I2354">
            <v>0</v>
          </cell>
        </row>
        <row r="2355">
          <cell r="F2355"/>
          <cell r="G2355"/>
          <cell r="H2355"/>
          <cell r="I2355">
            <v>0</v>
          </cell>
        </row>
        <row r="2356">
          <cell r="F2356"/>
          <cell r="G2356"/>
          <cell r="H2356"/>
          <cell r="I2356">
            <v>0</v>
          </cell>
        </row>
        <row r="2357">
          <cell r="F2357"/>
          <cell r="G2357"/>
          <cell r="H2357"/>
          <cell r="I2357">
            <v>0</v>
          </cell>
        </row>
        <row r="2358">
          <cell r="F2358"/>
          <cell r="G2358"/>
          <cell r="H2358"/>
          <cell r="I2358">
            <v>0</v>
          </cell>
        </row>
        <row r="2359">
          <cell r="F2359"/>
          <cell r="G2359"/>
          <cell r="H2359"/>
          <cell r="I2359">
            <v>0</v>
          </cell>
        </row>
        <row r="2360">
          <cell r="F2360"/>
          <cell r="G2360"/>
          <cell r="H2360"/>
          <cell r="I2360">
            <v>0</v>
          </cell>
        </row>
        <row r="2361">
          <cell r="F2361"/>
          <cell r="G2361"/>
          <cell r="H2361"/>
          <cell r="I2361">
            <v>0</v>
          </cell>
        </row>
        <row r="2362">
          <cell r="F2362"/>
          <cell r="G2362"/>
          <cell r="H2362"/>
          <cell r="I2362">
            <v>0</v>
          </cell>
        </row>
        <row r="2363">
          <cell r="F2363"/>
          <cell r="G2363"/>
          <cell r="H2363"/>
          <cell r="I2363">
            <v>0</v>
          </cell>
        </row>
        <row r="2364">
          <cell r="F2364"/>
          <cell r="G2364"/>
          <cell r="H2364"/>
          <cell r="I2364">
            <v>0</v>
          </cell>
        </row>
        <row r="2365">
          <cell r="F2365"/>
          <cell r="G2365"/>
          <cell r="H2365"/>
          <cell r="I2365">
            <v>0</v>
          </cell>
        </row>
        <row r="2366">
          <cell r="F2366"/>
          <cell r="G2366"/>
          <cell r="H2366"/>
          <cell r="I2366">
            <v>0</v>
          </cell>
        </row>
        <row r="2367">
          <cell r="F2367"/>
          <cell r="G2367"/>
          <cell r="H2367"/>
          <cell r="I2367">
            <v>0</v>
          </cell>
        </row>
        <row r="2368">
          <cell r="F2368"/>
          <cell r="G2368"/>
          <cell r="H2368"/>
          <cell r="I2368">
            <v>0</v>
          </cell>
        </row>
        <row r="2369">
          <cell r="F2369"/>
          <cell r="G2369"/>
          <cell r="H2369"/>
          <cell r="I2369">
            <v>0</v>
          </cell>
        </row>
        <row r="2370">
          <cell r="F2370"/>
          <cell r="G2370"/>
          <cell r="H2370"/>
          <cell r="I2370">
            <v>0</v>
          </cell>
        </row>
        <row r="2371">
          <cell r="F2371"/>
          <cell r="G2371"/>
          <cell r="H2371"/>
          <cell r="I2371">
            <v>0</v>
          </cell>
        </row>
        <row r="2372">
          <cell r="F2372"/>
          <cell r="G2372"/>
          <cell r="H2372"/>
          <cell r="I2372">
            <v>0</v>
          </cell>
        </row>
        <row r="2373">
          <cell r="F2373"/>
          <cell r="G2373"/>
          <cell r="H2373"/>
          <cell r="I2373">
            <v>0</v>
          </cell>
        </row>
        <row r="2374">
          <cell r="F2374"/>
          <cell r="G2374"/>
          <cell r="H2374"/>
          <cell r="I2374">
            <v>0</v>
          </cell>
        </row>
        <row r="2375">
          <cell r="F2375"/>
          <cell r="G2375"/>
          <cell r="H2375"/>
          <cell r="I2375">
            <v>0</v>
          </cell>
        </row>
        <row r="2376">
          <cell r="F2376"/>
          <cell r="G2376"/>
          <cell r="H2376"/>
          <cell r="I2376">
            <v>0</v>
          </cell>
        </row>
        <row r="2377">
          <cell r="F2377"/>
          <cell r="G2377"/>
          <cell r="H2377"/>
          <cell r="I2377">
            <v>0</v>
          </cell>
        </row>
        <row r="2378">
          <cell r="F2378"/>
          <cell r="G2378"/>
          <cell r="H2378"/>
          <cell r="I2378">
            <v>0</v>
          </cell>
        </row>
        <row r="2379">
          <cell r="F2379"/>
          <cell r="G2379"/>
          <cell r="H2379"/>
          <cell r="I2379">
            <v>0</v>
          </cell>
        </row>
        <row r="2380">
          <cell r="F2380"/>
          <cell r="G2380"/>
          <cell r="H2380"/>
          <cell r="I2380">
            <v>0</v>
          </cell>
        </row>
        <row r="2381">
          <cell r="F2381"/>
          <cell r="G2381"/>
          <cell r="H2381"/>
          <cell r="I2381">
            <v>0</v>
          </cell>
        </row>
        <row r="2382">
          <cell r="F2382"/>
          <cell r="G2382"/>
          <cell r="H2382"/>
          <cell r="I2382">
            <v>0</v>
          </cell>
        </row>
        <row r="2383">
          <cell r="F2383"/>
          <cell r="G2383"/>
          <cell r="H2383"/>
          <cell r="I2383">
            <v>0</v>
          </cell>
        </row>
        <row r="2384">
          <cell r="F2384"/>
          <cell r="G2384"/>
          <cell r="H2384"/>
          <cell r="I2384">
            <v>0</v>
          </cell>
        </row>
        <row r="2385">
          <cell r="F2385"/>
          <cell r="G2385"/>
          <cell r="H2385"/>
          <cell r="I2385">
            <v>0</v>
          </cell>
        </row>
        <row r="2386">
          <cell r="F2386"/>
          <cell r="G2386"/>
          <cell r="H2386"/>
          <cell r="I2386">
            <v>0</v>
          </cell>
        </row>
        <row r="2387">
          <cell r="F2387"/>
          <cell r="G2387"/>
          <cell r="H2387"/>
          <cell r="I2387">
            <v>0</v>
          </cell>
        </row>
        <row r="2388">
          <cell r="F2388"/>
          <cell r="G2388"/>
          <cell r="H2388"/>
          <cell r="I2388">
            <v>0</v>
          </cell>
        </row>
        <row r="2389">
          <cell r="F2389"/>
          <cell r="G2389"/>
          <cell r="H2389"/>
          <cell r="I2389">
            <v>0</v>
          </cell>
        </row>
        <row r="2390">
          <cell r="F2390"/>
          <cell r="G2390"/>
          <cell r="H2390"/>
          <cell r="I2390">
            <v>0</v>
          </cell>
        </row>
        <row r="2391">
          <cell r="F2391"/>
          <cell r="G2391"/>
          <cell r="H2391"/>
          <cell r="I2391">
            <v>0</v>
          </cell>
        </row>
        <row r="2392">
          <cell r="F2392"/>
          <cell r="G2392"/>
          <cell r="H2392"/>
          <cell r="I2392">
            <v>0</v>
          </cell>
        </row>
        <row r="2393">
          <cell r="F2393"/>
          <cell r="G2393"/>
          <cell r="H2393"/>
          <cell r="I2393">
            <v>0</v>
          </cell>
        </row>
        <row r="2394">
          <cell r="F2394"/>
          <cell r="G2394"/>
          <cell r="H2394"/>
          <cell r="I2394">
            <v>0</v>
          </cell>
        </row>
        <row r="2395">
          <cell r="F2395"/>
          <cell r="G2395"/>
          <cell r="H2395"/>
          <cell r="I2395">
            <v>0</v>
          </cell>
        </row>
        <row r="2396">
          <cell r="F2396"/>
          <cell r="G2396"/>
          <cell r="H2396"/>
          <cell r="I2396">
            <v>0</v>
          </cell>
        </row>
        <row r="2397">
          <cell r="F2397"/>
          <cell r="G2397"/>
          <cell r="H2397"/>
          <cell r="I2397">
            <v>0</v>
          </cell>
        </row>
        <row r="2398">
          <cell r="F2398"/>
          <cell r="G2398"/>
          <cell r="H2398"/>
          <cell r="I2398">
            <v>0</v>
          </cell>
        </row>
        <row r="2399">
          <cell r="F2399"/>
          <cell r="G2399"/>
          <cell r="H2399"/>
          <cell r="I2399">
            <v>0</v>
          </cell>
        </row>
        <row r="2400">
          <cell r="F2400"/>
          <cell r="G2400"/>
          <cell r="H2400"/>
          <cell r="I2400">
            <v>0</v>
          </cell>
        </row>
        <row r="2401">
          <cell r="F2401"/>
          <cell r="G2401"/>
          <cell r="H2401"/>
          <cell r="I2401">
            <v>0</v>
          </cell>
        </row>
        <row r="2402">
          <cell r="F2402"/>
          <cell r="G2402"/>
          <cell r="H2402"/>
          <cell r="I2402">
            <v>0</v>
          </cell>
        </row>
        <row r="2403">
          <cell r="F2403"/>
          <cell r="G2403"/>
          <cell r="H2403"/>
          <cell r="I2403">
            <v>0</v>
          </cell>
        </row>
        <row r="2404">
          <cell r="F2404"/>
          <cell r="G2404"/>
          <cell r="H2404"/>
          <cell r="I2404">
            <v>0</v>
          </cell>
        </row>
        <row r="2405">
          <cell r="F2405"/>
          <cell r="G2405"/>
          <cell r="H2405"/>
          <cell r="I2405">
            <v>0</v>
          </cell>
        </row>
        <row r="2406">
          <cell r="F2406"/>
          <cell r="G2406"/>
          <cell r="H2406"/>
          <cell r="I2406">
            <v>0</v>
          </cell>
        </row>
        <row r="2407">
          <cell r="F2407"/>
          <cell r="G2407"/>
          <cell r="H2407"/>
          <cell r="I2407">
            <v>0</v>
          </cell>
        </row>
        <row r="2408">
          <cell r="F2408"/>
          <cell r="G2408"/>
          <cell r="H2408"/>
          <cell r="I2408">
            <v>0</v>
          </cell>
        </row>
        <row r="2409">
          <cell r="F2409"/>
          <cell r="G2409"/>
          <cell r="H2409"/>
          <cell r="I2409">
            <v>0</v>
          </cell>
        </row>
        <row r="2410">
          <cell r="F2410"/>
          <cell r="G2410"/>
          <cell r="H2410"/>
          <cell r="I2410">
            <v>0</v>
          </cell>
        </row>
        <row r="2411">
          <cell r="F2411"/>
          <cell r="G2411"/>
          <cell r="H2411"/>
          <cell r="I2411">
            <v>0</v>
          </cell>
        </row>
        <row r="2412">
          <cell r="F2412"/>
          <cell r="G2412"/>
          <cell r="H2412"/>
          <cell r="I2412">
            <v>0</v>
          </cell>
        </row>
        <row r="2413">
          <cell r="F2413"/>
          <cell r="G2413"/>
          <cell r="H2413"/>
          <cell r="I2413">
            <v>0</v>
          </cell>
        </row>
        <row r="2414">
          <cell r="F2414"/>
          <cell r="G2414"/>
          <cell r="H2414"/>
          <cell r="I2414">
            <v>0</v>
          </cell>
        </row>
        <row r="2415">
          <cell r="F2415"/>
          <cell r="G2415"/>
          <cell r="H2415"/>
          <cell r="I2415">
            <v>0</v>
          </cell>
        </row>
        <row r="2416">
          <cell r="F2416"/>
          <cell r="G2416"/>
          <cell r="H2416"/>
          <cell r="I2416">
            <v>0</v>
          </cell>
        </row>
        <row r="2417">
          <cell r="F2417"/>
          <cell r="G2417"/>
          <cell r="H2417"/>
          <cell r="I2417">
            <v>0</v>
          </cell>
        </row>
        <row r="2418">
          <cell r="F2418"/>
          <cell r="G2418"/>
          <cell r="H2418"/>
          <cell r="I2418">
            <v>0</v>
          </cell>
        </row>
        <row r="2419">
          <cell r="F2419"/>
          <cell r="G2419"/>
          <cell r="H2419"/>
          <cell r="I2419">
            <v>0</v>
          </cell>
        </row>
        <row r="2420">
          <cell r="F2420"/>
          <cell r="G2420"/>
          <cell r="H2420"/>
          <cell r="I2420">
            <v>0</v>
          </cell>
        </row>
        <row r="2421">
          <cell r="F2421"/>
          <cell r="G2421"/>
          <cell r="H2421"/>
          <cell r="I2421">
            <v>0</v>
          </cell>
        </row>
        <row r="2422">
          <cell r="F2422"/>
          <cell r="G2422"/>
          <cell r="H2422"/>
          <cell r="I2422">
            <v>0</v>
          </cell>
        </row>
        <row r="2423">
          <cell r="F2423"/>
          <cell r="G2423"/>
          <cell r="H2423"/>
          <cell r="I2423">
            <v>0</v>
          </cell>
        </row>
        <row r="2424">
          <cell r="F2424"/>
          <cell r="G2424"/>
          <cell r="H2424"/>
          <cell r="I2424">
            <v>0</v>
          </cell>
        </row>
        <row r="2425">
          <cell r="F2425"/>
          <cell r="G2425"/>
          <cell r="H2425"/>
          <cell r="I2425">
            <v>0</v>
          </cell>
        </row>
        <row r="2426">
          <cell r="F2426"/>
          <cell r="G2426"/>
          <cell r="H2426"/>
          <cell r="I2426">
            <v>0</v>
          </cell>
        </row>
        <row r="2427">
          <cell r="F2427"/>
          <cell r="G2427"/>
          <cell r="H2427"/>
          <cell r="I2427">
            <v>0</v>
          </cell>
        </row>
        <row r="2428">
          <cell r="F2428"/>
          <cell r="G2428"/>
          <cell r="H2428"/>
          <cell r="I2428">
            <v>0</v>
          </cell>
        </row>
        <row r="2429">
          <cell r="F2429"/>
          <cell r="G2429"/>
          <cell r="H2429"/>
          <cell r="I2429">
            <v>0</v>
          </cell>
        </row>
        <row r="2430">
          <cell r="F2430"/>
          <cell r="G2430"/>
          <cell r="H2430"/>
          <cell r="I2430">
            <v>0</v>
          </cell>
        </row>
        <row r="2431">
          <cell r="F2431"/>
          <cell r="G2431"/>
          <cell r="H2431"/>
          <cell r="I2431">
            <v>0</v>
          </cell>
        </row>
        <row r="2432">
          <cell r="F2432"/>
          <cell r="G2432"/>
          <cell r="H2432"/>
          <cell r="I2432">
            <v>0</v>
          </cell>
        </row>
        <row r="2433">
          <cell r="F2433"/>
          <cell r="G2433"/>
          <cell r="H2433"/>
          <cell r="I2433">
            <v>0</v>
          </cell>
        </row>
        <row r="2434">
          <cell r="F2434"/>
          <cell r="G2434"/>
          <cell r="H2434"/>
          <cell r="I2434">
            <v>0</v>
          </cell>
        </row>
        <row r="2435">
          <cell r="F2435"/>
          <cell r="G2435"/>
          <cell r="H2435"/>
          <cell r="I2435">
            <v>0</v>
          </cell>
        </row>
        <row r="2436">
          <cell r="F2436"/>
          <cell r="G2436"/>
          <cell r="H2436"/>
          <cell r="I2436">
            <v>0</v>
          </cell>
        </row>
        <row r="2437">
          <cell r="F2437"/>
          <cell r="G2437"/>
          <cell r="H2437"/>
          <cell r="I2437">
            <v>0</v>
          </cell>
        </row>
        <row r="2438">
          <cell r="F2438"/>
          <cell r="G2438"/>
          <cell r="H2438"/>
          <cell r="I2438">
            <v>0</v>
          </cell>
        </row>
        <row r="2439">
          <cell r="F2439"/>
          <cell r="G2439"/>
          <cell r="H2439"/>
          <cell r="I2439">
            <v>0</v>
          </cell>
        </row>
        <row r="2440">
          <cell r="F2440"/>
          <cell r="G2440"/>
          <cell r="H2440"/>
          <cell r="I2440">
            <v>0</v>
          </cell>
        </row>
        <row r="2441">
          <cell r="F2441"/>
          <cell r="G2441"/>
          <cell r="H2441"/>
          <cell r="I2441">
            <v>0</v>
          </cell>
        </row>
        <row r="2442">
          <cell r="F2442"/>
          <cell r="G2442"/>
          <cell r="H2442"/>
          <cell r="I2442">
            <v>0</v>
          </cell>
        </row>
        <row r="2443">
          <cell r="F2443"/>
          <cell r="G2443"/>
          <cell r="H2443"/>
          <cell r="I2443">
            <v>0</v>
          </cell>
        </row>
        <row r="2444">
          <cell r="F2444"/>
          <cell r="G2444"/>
          <cell r="H2444"/>
          <cell r="I2444">
            <v>0</v>
          </cell>
        </row>
        <row r="2445">
          <cell r="F2445"/>
          <cell r="G2445"/>
          <cell r="H2445"/>
          <cell r="I2445">
            <v>0</v>
          </cell>
        </row>
        <row r="2446">
          <cell r="F2446"/>
          <cell r="G2446"/>
          <cell r="H2446"/>
          <cell r="I2446">
            <v>0</v>
          </cell>
        </row>
        <row r="2447">
          <cell r="F2447"/>
          <cell r="G2447"/>
          <cell r="H2447"/>
          <cell r="I2447">
            <v>0</v>
          </cell>
        </row>
        <row r="2448">
          <cell r="F2448"/>
          <cell r="G2448"/>
          <cell r="H2448"/>
          <cell r="I2448">
            <v>0</v>
          </cell>
        </row>
        <row r="2449">
          <cell r="F2449"/>
          <cell r="G2449"/>
          <cell r="H2449"/>
          <cell r="I2449">
            <v>0</v>
          </cell>
        </row>
        <row r="2450">
          <cell r="F2450"/>
          <cell r="G2450"/>
          <cell r="H2450"/>
          <cell r="I2450">
            <v>0</v>
          </cell>
        </row>
        <row r="2451">
          <cell r="F2451"/>
          <cell r="G2451"/>
          <cell r="H2451"/>
          <cell r="I2451">
            <v>0</v>
          </cell>
        </row>
        <row r="2452">
          <cell r="F2452"/>
          <cell r="G2452"/>
          <cell r="H2452"/>
          <cell r="I2452">
            <v>0</v>
          </cell>
        </row>
        <row r="2453">
          <cell r="F2453"/>
          <cell r="G2453"/>
          <cell r="H2453"/>
          <cell r="I2453">
            <v>0</v>
          </cell>
        </row>
        <row r="2454">
          <cell r="F2454"/>
          <cell r="G2454"/>
          <cell r="H2454"/>
          <cell r="I2454">
            <v>0</v>
          </cell>
        </row>
        <row r="2455">
          <cell r="F2455"/>
          <cell r="G2455"/>
          <cell r="H2455"/>
          <cell r="I2455">
            <v>0</v>
          </cell>
        </row>
        <row r="2456">
          <cell r="F2456"/>
          <cell r="G2456"/>
          <cell r="H2456"/>
          <cell r="I2456">
            <v>0</v>
          </cell>
        </row>
        <row r="2457">
          <cell r="F2457"/>
          <cell r="G2457"/>
          <cell r="H2457"/>
          <cell r="I2457">
            <v>0</v>
          </cell>
        </row>
        <row r="2458">
          <cell r="F2458"/>
          <cell r="G2458"/>
          <cell r="H2458"/>
          <cell r="I2458">
            <v>0</v>
          </cell>
        </row>
        <row r="2459">
          <cell r="F2459"/>
          <cell r="G2459"/>
          <cell r="H2459"/>
          <cell r="I2459">
            <v>0</v>
          </cell>
        </row>
        <row r="2460">
          <cell r="F2460"/>
          <cell r="G2460"/>
          <cell r="H2460"/>
          <cell r="I2460">
            <v>0</v>
          </cell>
        </row>
        <row r="2461">
          <cell r="F2461"/>
          <cell r="G2461"/>
          <cell r="H2461"/>
          <cell r="I2461">
            <v>0</v>
          </cell>
        </row>
        <row r="2462">
          <cell r="F2462"/>
          <cell r="G2462"/>
          <cell r="H2462"/>
          <cell r="I2462">
            <v>0</v>
          </cell>
        </row>
        <row r="2463">
          <cell r="F2463"/>
          <cell r="G2463"/>
          <cell r="H2463"/>
          <cell r="I2463">
            <v>0</v>
          </cell>
        </row>
        <row r="2464">
          <cell r="F2464"/>
          <cell r="G2464"/>
          <cell r="H2464"/>
          <cell r="I2464">
            <v>0</v>
          </cell>
        </row>
        <row r="2465">
          <cell r="F2465"/>
          <cell r="G2465"/>
          <cell r="H2465"/>
          <cell r="I2465">
            <v>0</v>
          </cell>
        </row>
        <row r="2466">
          <cell r="F2466"/>
          <cell r="G2466"/>
          <cell r="H2466"/>
          <cell r="I2466">
            <v>0</v>
          </cell>
        </row>
        <row r="2467">
          <cell r="F2467"/>
          <cell r="G2467"/>
          <cell r="H2467"/>
          <cell r="I2467">
            <v>0</v>
          </cell>
        </row>
        <row r="2468">
          <cell r="F2468"/>
          <cell r="G2468"/>
          <cell r="H2468"/>
          <cell r="I2468">
            <v>0</v>
          </cell>
        </row>
        <row r="2469">
          <cell r="F2469"/>
          <cell r="G2469"/>
          <cell r="H2469"/>
          <cell r="I2469">
            <v>0</v>
          </cell>
        </row>
        <row r="2470">
          <cell r="F2470"/>
          <cell r="G2470"/>
          <cell r="H2470"/>
          <cell r="I2470">
            <v>0</v>
          </cell>
        </row>
        <row r="2471">
          <cell r="F2471"/>
          <cell r="G2471"/>
          <cell r="H2471"/>
          <cell r="I2471">
            <v>0</v>
          </cell>
        </row>
        <row r="2472">
          <cell r="F2472"/>
          <cell r="G2472"/>
          <cell r="H2472"/>
          <cell r="I2472">
            <v>0</v>
          </cell>
        </row>
        <row r="2473">
          <cell r="F2473"/>
          <cell r="G2473"/>
          <cell r="H2473"/>
          <cell r="I2473">
            <v>0</v>
          </cell>
        </row>
        <row r="2474">
          <cell r="F2474"/>
          <cell r="G2474"/>
          <cell r="H2474"/>
          <cell r="I2474">
            <v>0</v>
          </cell>
        </row>
        <row r="2475">
          <cell r="F2475"/>
          <cell r="G2475"/>
          <cell r="H2475"/>
          <cell r="I2475">
            <v>0</v>
          </cell>
        </row>
        <row r="2476">
          <cell r="F2476"/>
          <cell r="G2476"/>
          <cell r="H2476"/>
          <cell r="I2476">
            <v>0</v>
          </cell>
        </row>
        <row r="2477">
          <cell r="F2477"/>
          <cell r="G2477"/>
          <cell r="H2477"/>
          <cell r="I2477">
            <v>0</v>
          </cell>
        </row>
        <row r="2478">
          <cell r="F2478"/>
          <cell r="G2478"/>
          <cell r="H2478"/>
          <cell r="I2478">
            <v>0</v>
          </cell>
        </row>
        <row r="2479">
          <cell r="F2479"/>
          <cell r="G2479"/>
          <cell r="H2479"/>
          <cell r="I2479">
            <v>0</v>
          </cell>
        </row>
        <row r="2480">
          <cell r="F2480"/>
          <cell r="G2480"/>
          <cell r="H2480"/>
          <cell r="I2480">
            <v>0</v>
          </cell>
        </row>
        <row r="2481">
          <cell r="F2481"/>
          <cell r="G2481"/>
          <cell r="H2481"/>
          <cell r="I2481">
            <v>0</v>
          </cell>
        </row>
        <row r="2482">
          <cell r="F2482"/>
          <cell r="G2482"/>
          <cell r="H2482"/>
          <cell r="I2482">
            <v>0</v>
          </cell>
        </row>
        <row r="2483">
          <cell r="F2483"/>
          <cell r="G2483"/>
          <cell r="H2483"/>
          <cell r="I2483">
            <v>0</v>
          </cell>
        </row>
        <row r="2484">
          <cell r="F2484"/>
          <cell r="G2484"/>
          <cell r="H2484"/>
          <cell r="I2484">
            <v>0</v>
          </cell>
        </row>
        <row r="2485">
          <cell r="F2485"/>
          <cell r="G2485"/>
          <cell r="H2485"/>
          <cell r="I2485">
            <v>0</v>
          </cell>
        </row>
        <row r="2486">
          <cell r="F2486"/>
          <cell r="G2486"/>
          <cell r="H2486"/>
          <cell r="I2486">
            <v>0</v>
          </cell>
        </row>
        <row r="2487">
          <cell r="F2487"/>
          <cell r="G2487"/>
          <cell r="H2487"/>
          <cell r="I2487">
            <v>0</v>
          </cell>
        </row>
        <row r="2488">
          <cell r="F2488"/>
          <cell r="G2488"/>
          <cell r="H2488"/>
          <cell r="I2488">
            <v>0</v>
          </cell>
        </row>
        <row r="2489">
          <cell r="F2489"/>
          <cell r="G2489"/>
          <cell r="H2489"/>
          <cell r="I2489">
            <v>0</v>
          </cell>
        </row>
        <row r="2490">
          <cell r="F2490"/>
          <cell r="G2490"/>
          <cell r="H2490"/>
          <cell r="I2490">
            <v>0</v>
          </cell>
        </row>
        <row r="2491">
          <cell r="F2491"/>
          <cell r="G2491"/>
          <cell r="H2491"/>
          <cell r="I2491">
            <v>0</v>
          </cell>
        </row>
        <row r="2492">
          <cell r="F2492"/>
          <cell r="G2492"/>
          <cell r="H2492"/>
          <cell r="I2492">
            <v>0</v>
          </cell>
        </row>
        <row r="2493">
          <cell r="F2493"/>
          <cell r="G2493"/>
          <cell r="H2493"/>
          <cell r="I2493">
            <v>0</v>
          </cell>
        </row>
        <row r="2494">
          <cell r="F2494"/>
          <cell r="G2494"/>
          <cell r="H2494"/>
          <cell r="I2494">
            <v>0</v>
          </cell>
        </row>
        <row r="2495">
          <cell r="F2495"/>
          <cell r="G2495"/>
          <cell r="H2495"/>
          <cell r="I2495">
            <v>0</v>
          </cell>
        </row>
        <row r="2496">
          <cell r="F2496"/>
          <cell r="G2496"/>
          <cell r="H2496"/>
          <cell r="I2496">
            <v>0</v>
          </cell>
        </row>
        <row r="2497">
          <cell r="F2497"/>
          <cell r="G2497"/>
          <cell r="H2497"/>
          <cell r="I2497">
            <v>0</v>
          </cell>
        </row>
        <row r="2498">
          <cell r="F2498"/>
          <cell r="G2498"/>
          <cell r="H2498"/>
          <cell r="I2498">
            <v>0</v>
          </cell>
        </row>
        <row r="2499">
          <cell r="F2499"/>
          <cell r="G2499"/>
          <cell r="H2499"/>
          <cell r="I2499">
            <v>0</v>
          </cell>
        </row>
        <row r="2500">
          <cell r="F2500"/>
          <cell r="G2500"/>
          <cell r="H2500"/>
          <cell r="I2500">
            <v>0</v>
          </cell>
        </row>
        <row r="2501">
          <cell r="F2501"/>
          <cell r="G2501"/>
          <cell r="H2501"/>
          <cell r="I2501">
            <v>0</v>
          </cell>
        </row>
        <row r="2502">
          <cell r="F2502"/>
          <cell r="G2502"/>
          <cell r="H2502"/>
          <cell r="I2502">
            <v>0</v>
          </cell>
        </row>
        <row r="2503">
          <cell r="F2503"/>
          <cell r="G2503"/>
          <cell r="H2503"/>
          <cell r="I2503">
            <v>0</v>
          </cell>
        </row>
        <row r="2504">
          <cell r="F2504"/>
          <cell r="G2504"/>
          <cell r="H2504"/>
          <cell r="I2504">
            <v>0</v>
          </cell>
        </row>
        <row r="2505">
          <cell r="F2505"/>
          <cell r="G2505"/>
          <cell r="H2505"/>
          <cell r="I2505">
            <v>0</v>
          </cell>
        </row>
        <row r="2506">
          <cell r="F2506"/>
          <cell r="G2506"/>
          <cell r="H2506"/>
          <cell r="I2506">
            <v>0</v>
          </cell>
        </row>
        <row r="2507">
          <cell r="F2507"/>
          <cell r="G2507"/>
          <cell r="H2507"/>
          <cell r="I2507">
            <v>0</v>
          </cell>
        </row>
        <row r="2508">
          <cell r="F2508"/>
          <cell r="G2508"/>
          <cell r="H2508"/>
          <cell r="I2508">
            <v>0</v>
          </cell>
        </row>
        <row r="2509">
          <cell r="F2509"/>
          <cell r="G2509"/>
          <cell r="H2509"/>
          <cell r="I2509">
            <v>0</v>
          </cell>
        </row>
        <row r="2510">
          <cell r="F2510"/>
          <cell r="G2510"/>
          <cell r="H2510"/>
          <cell r="I2510">
            <v>0</v>
          </cell>
        </row>
        <row r="2511">
          <cell r="F2511"/>
          <cell r="G2511"/>
          <cell r="H2511"/>
          <cell r="I2511">
            <v>0</v>
          </cell>
        </row>
        <row r="2512">
          <cell r="F2512"/>
          <cell r="G2512"/>
          <cell r="H2512"/>
          <cell r="I2512">
            <v>0</v>
          </cell>
        </row>
        <row r="2513">
          <cell r="F2513"/>
          <cell r="G2513"/>
          <cell r="H2513"/>
          <cell r="I2513">
            <v>0</v>
          </cell>
        </row>
        <row r="2514">
          <cell r="F2514"/>
          <cell r="G2514"/>
          <cell r="H2514"/>
          <cell r="I2514">
            <v>0</v>
          </cell>
        </row>
        <row r="2515">
          <cell r="F2515"/>
          <cell r="G2515"/>
          <cell r="H2515"/>
          <cell r="I2515">
            <v>0</v>
          </cell>
        </row>
        <row r="2516">
          <cell r="F2516"/>
          <cell r="G2516"/>
          <cell r="H2516"/>
          <cell r="I2516">
            <v>0</v>
          </cell>
        </row>
        <row r="2517">
          <cell r="F2517"/>
          <cell r="G2517"/>
          <cell r="H2517"/>
          <cell r="I2517">
            <v>0</v>
          </cell>
        </row>
        <row r="2518">
          <cell r="F2518"/>
          <cell r="G2518"/>
          <cell r="H2518"/>
          <cell r="I2518">
            <v>0</v>
          </cell>
        </row>
        <row r="2519">
          <cell r="F2519"/>
          <cell r="G2519"/>
          <cell r="H2519"/>
          <cell r="I2519">
            <v>0</v>
          </cell>
        </row>
        <row r="2520">
          <cell r="F2520"/>
          <cell r="G2520"/>
          <cell r="H2520"/>
          <cell r="I2520">
            <v>0</v>
          </cell>
        </row>
        <row r="2521">
          <cell r="F2521"/>
          <cell r="G2521"/>
          <cell r="H2521"/>
          <cell r="I2521">
            <v>0</v>
          </cell>
        </row>
        <row r="2522">
          <cell r="F2522"/>
          <cell r="G2522"/>
          <cell r="H2522"/>
          <cell r="I2522">
            <v>0</v>
          </cell>
        </row>
        <row r="2523">
          <cell r="F2523"/>
          <cell r="G2523"/>
          <cell r="H2523"/>
          <cell r="I2523">
            <v>0</v>
          </cell>
        </row>
        <row r="2524">
          <cell r="F2524"/>
          <cell r="G2524"/>
          <cell r="H2524"/>
          <cell r="I2524">
            <v>0</v>
          </cell>
        </row>
        <row r="2525">
          <cell r="F2525"/>
          <cell r="G2525"/>
          <cell r="H2525"/>
          <cell r="I2525">
            <v>0</v>
          </cell>
        </row>
        <row r="2526">
          <cell r="F2526"/>
          <cell r="G2526"/>
          <cell r="H2526"/>
          <cell r="I2526">
            <v>0</v>
          </cell>
        </row>
        <row r="2527">
          <cell r="F2527"/>
          <cell r="G2527"/>
          <cell r="H2527"/>
          <cell r="I2527">
            <v>0</v>
          </cell>
        </row>
        <row r="2528">
          <cell r="F2528"/>
          <cell r="G2528"/>
          <cell r="H2528"/>
          <cell r="I2528">
            <v>0</v>
          </cell>
        </row>
        <row r="2529">
          <cell r="F2529"/>
          <cell r="G2529"/>
          <cell r="H2529"/>
          <cell r="I2529">
            <v>0</v>
          </cell>
        </row>
        <row r="2530">
          <cell r="F2530"/>
          <cell r="G2530"/>
          <cell r="H2530"/>
          <cell r="I2530">
            <v>0</v>
          </cell>
        </row>
        <row r="2531">
          <cell r="F2531"/>
          <cell r="G2531"/>
          <cell r="H2531"/>
          <cell r="I2531">
            <v>0</v>
          </cell>
        </row>
        <row r="2532">
          <cell r="F2532"/>
          <cell r="G2532"/>
          <cell r="H2532"/>
          <cell r="I2532">
            <v>0</v>
          </cell>
        </row>
        <row r="2533">
          <cell r="F2533"/>
          <cell r="G2533"/>
          <cell r="H2533"/>
          <cell r="I2533">
            <v>0</v>
          </cell>
        </row>
        <row r="2534">
          <cell r="F2534"/>
          <cell r="G2534"/>
          <cell r="H2534"/>
          <cell r="I2534">
            <v>0</v>
          </cell>
        </row>
        <row r="2535">
          <cell r="F2535"/>
          <cell r="G2535"/>
          <cell r="H2535"/>
          <cell r="I2535">
            <v>0</v>
          </cell>
        </row>
        <row r="2536">
          <cell r="F2536"/>
          <cell r="G2536"/>
          <cell r="H2536"/>
          <cell r="I2536">
            <v>0</v>
          </cell>
        </row>
        <row r="2537">
          <cell r="F2537"/>
          <cell r="G2537"/>
          <cell r="H2537"/>
          <cell r="I2537">
            <v>0</v>
          </cell>
        </row>
        <row r="2538">
          <cell r="F2538"/>
          <cell r="G2538"/>
          <cell r="H2538"/>
          <cell r="I2538">
            <v>0</v>
          </cell>
        </row>
        <row r="2539">
          <cell r="F2539"/>
          <cell r="G2539"/>
          <cell r="H2539"/>
          <cell r="I2539">
            <v>0</v>
          </cell>
        </row>
        <row r="2540">
          <cell r="F2540"/>
          <cell r="G2540"/>
          <cell r="H2540"/>
          <cell r="I2540">
            <v>0</v>
          </cell>
        </row>
        <row r="2541">
          <cell r="F2541"/>
          <cell r="G2541"/>
          <cell r="H2541"/>
          <cell r="I2541">
            <v>0</v>
          </cell>
        </row>
        <row r="2542">
          <cell r="F2542"/>
          <cell r="G2542"/>
          <cell r="H2542"/>
          <cell r="I2542">
            <v>0</v>
          </cell>
        </row>
        <row r="2543">
          <cell r="F2543"/>
          <cell r="G2543"/>
          <cell r="H2543"/>
          <cell r="I2543">
            <v>0</v>
          </cell>
        </row>
        <row r="2544">
          <cell r="F2544"/>
          <cell r="G2544"/>
          <cell r="H2544"/>
          <cell r="I2544">
            <v>0</v>
          </cell>
        </row>
        <row r="2545">
          <cell r="F2545"/>
          <cell r="G2545"/>
          <cell r="H2545"/>
          <cell r="I2545">
            <v>0</v>
          </cell>
        </row>
        <row r="2546">
          <cell r="F2546"/>
          <cell r="G2546"/>
          <cell r="H2546"/>
          <cell r="I2546">
            <v>0</v>
          </cell>
        </row>
        <row r="2547">
          <cell r="F2547"/>
          <cell r="G2547"/>
          <cell r="H2547"/>
          <cell r="I2547">
            <v>0</v>
          </cell>
        </row>
        <row r="2548">
          <cell r="F2548"/>
          <cell r="G2548"/>
          <cell r="H2548"/>
          <cell r="I2548">
            <v>0</v>
          </cell>
        </row>
        <row r="2549">
          <cell r="F2549"/>
          <cell r="G2549"/>
          <cell r="H2549"/>
          <cell r="I2549">
            <v>0</v>
          </cell>
        </row>
        <row r="2550">
          <cell r="F2550"/>
          <cell r="G2550"/>
          <cell r="H2550"/>
          <cell r="I2550">
            <v>0</v>
          </cell>
        </row>
        <row r="2551">
          <cell r="F2551"/>
          <cell r="G2551"/>
          <cell r="H2551"/>
          <cell r="I2551">
            <v>0</v>
          </cell>
        </row>
        <row r="2552">
          <cell r="F2552"/>
          <cell r="G2552"/>
          <cell r="H2552"/>
          <cell r="I2552">
            <v>0</v>
          </cell>
        </row>
        <row r="2553">
          <cell r="F2553"/>
          <cell r="G2553"/>
          <cell r="H2553"/>
          <cell r="I2553">
            <v>0</v>
          </cell>
        </row>
        <row r="2554">
          <cell r="F2554"/>
          <cell r="G2554"/>
          <cell r="H2554"/>
          <cell r="I2554">
            <v>0</v>
          </cell>
        </row>
        <row r="2555">
          <cell r="F2555"/>
          <cell r="G2555"/>
          <cell r="H2555"/>
          <cell r="I2555">
            <v>0</v>
          </cell>
        </row>
        <row r="2556">
          <cell r="F2556"/>
          <cell r="G2556"/>
          <cell r="H2556"/>
          <cell r="I2556">
            <v>0</v>
          </cell>
        </row>
        <row r="2557">
          <cell r="F2557"/>
          <cell r="G2557"/>
          <cell r="H2557"/>
          <cell r="I2557">
            <v>0</v>
          </cell>
        </row>
        <row r="2558">
          <cell r="F2558"/>
          <cell r="G2558"/>
          <cell r="H2558"/>
          <cell r="I2558">
            <v>0</v>
          </cell>
        </row>
        <row r="2559">
          <cell r="F2559"/>
          <cell r="G2559"/>
          <cell r="H2559"/>
          <cell r="I2559">
            <v>0</v>
          </cell>
        </row>
        <row r="2560">
          <cell r="F2560"/>
          <cell r="G2560"/>
          <cell r="H2560"/>
          <cell r="I2560">
            <v>0</v>
          </cell>
        </row>
        <row r="2561">
          <cell r="F2561"/>
          <cell r="G2561"/>
          <cell r="H2561"/>
          <cell r="I2561">
            <v>0</v>
          </cell>
        </row>
        <row r="2562">
          <cell r="F2562"/>
          <cell r="G2562"/>
          <cell r="H2562"/>
          <cell r="I2562">
            <v>0</v>
          </cell>
        </row>
        <row r="2563">
          <cell r="F2563"/>
          <cell r="G2563"/>
          <cell r="H2563"/>
          <cell r="I2563">
            <v>0</v>
          </cell>
        </row>
        <row r="2564">
          <cell r="F2564"/>
          <cell r="G2564"/>
          <cell r="H2564"/>
          <cell r="I2564">
            <v>0</v>
          </cell>
        </row>
        <row r="2565">
          <cell r="F2565"/>
          <cell r="G2565"/>
          <cell r="H2565"/>
          <cell r="I2565">
            <v>0</v>
          </cell>
        </row>
        <row r="2566">
          <cell r="F2566"/>
          <cell r="G2566"/>
          <cell r="H2566"/>
          <cell r="I2566">
            <v>0</v>
          </cell>
        </row>
        <row r="2567">
          <cell r="F2567"/>
          <cell r="G2567"/>
          <cell r="H2567"/>
          <cell r="I2567">
            <v>0</v>
          </cell>
        </row>
        <row r="2568">
          <cell r="F2568"/>
          <cell r="G2568"/>
          <cell r="H2568"/>
          <cell r="I2568">
            <v>0</v>
          </cell>
        </row>
        <row r="2569">
          <cell r="F2569"/>
          <cell r="G2569"/>
          <cell r="H2569"/>
          <cell r="I2569">
            <v>0</v>
          </cell>
        </row>
        <row r="2570">
          <cell r="F2570"/>
          <cell r="G2570"/>
          <cell r="H2570"/>
          <cell r="I2570">
            <v>0</v>
          </cell>
        </row>
        <row r="2571">
          <cell r="F2571"/>
          <cell r="G2571"/>
          <cell r="H2571"/>
          <cell r="I2571">
            <v>0</v>
          </cell>
        </row>
        <row r="2572">
          <cell r="F2572"/>
          <cell r="G2572"/>
          <cell r="H2572"/>
          <cell r="I2572">
            <v>0</v>
          </cell>
        </row>
        <row r="2573">
          <cell r="F2573"/>
          <cell r="G2573"/>
          <cell r="H2573"/>
          <cell r="I2573">
            <v>0</v>
          </cell>
        </row>
        <row r="2574">
          <cell r="F2574"/>
          <cell r="G2574"/>
          <cell r="H2574"/>
          <cell r="I2574">
            <v>0</v>
          </cell>
        </row>
        <row r="2575">
          <cell r="F2575"/>
          <cell r="G2575"/>
          <cell r="H2575"/>
          <cell r="I2575">
            <v>0</v>
          </cell>
        </row>
        <row r="2576">
          <cell r="F2576"/>
          <cell r="G2576"/>
          <cell r="H2576"/>
          <cell r="I2576">
            <v>0</v>
          </cell>
        </row>
        <row r="2577">
          <cell r="F2577"/>
          <cell r="G2577"/>
          <cell r="H2577"/>
          <cell r="I2577">
            <v>0</v>
          </cell>
        </row>
        <row r="2578">
          <cell r="F2578"/>
          <cell r="G2578"/>
          <cell r="H2578"/>
          <cell r="I2578">
            <v>0</v>
          </cell>
        </row>
        <row r="2579">
          <cell r="F2579"/>
          <cell r="G2579"/>
          <cell r="H2579"/>
          <cell r="I2579">
            <v>0</v>
          </cell>
        </row>
        <row r="2580">
          <cell r="F2580"/>
          <cell r="G2580"/>
          <cell r="H2580"/>
          <cell r="I2580">
            <v>0</v>
          </cell>
        </row>
        <row r="2581">
          <cell r="F2581"/>
          <cell r="G2581"/>
          <cell r="H2581"/>
          <cell r="I2581">
            <v>0</v>
          </cell>
        </row>
        <row r="2582">
          <cell r="F2582"/>
          <cell r="G2582"/>
          <cell r="H2582"/>
          <cell r="I2582">
            <v>0</v>
          </cell>
        </row>
        <row r="2583">
          <cell r="F2583"/>
          <cell r="G2583"/>
          <cell r="H2583"/>
          <cell r="I2583">
            <v>0</v>
          </cell>
        </row>
        <row r="2584">
          <cell r="F2584"/>
          <cell r="G2584"/>
          <cell r="H2584"/>
          <cell r="I2584">
            <v>0</v>
          </cell>
        </row>
        <row r="2585">
          <cell r="F2585"/>
          <cell r="G2585"/>
          <cell r="H2585"/>
          <cell r="I2585">
            <v>0</v>
          </cell>
        </row>
        <row r="2586">
          <cell r="F2586"/>
          <cell r="G2586"/>
          <cell r="H2586"/>
          <cell r="I2586">
            <v>0</v>
          </cell>
        </row>
        <row r="2587">
          <cell r="F2587"/>
          <cell r="G2587"/>
          <cell r="H2587"/>
          <cell r="I2587">
            <v>0</v>
          </cell>
        </row>
        <row r="2588">
          <cell r="F2588"/>
          <cell r="G2588"/>
          <cell r="H2588"/>
          <cell r="I2588">
            <v>0</v>
          </cell>
        </row>
        <row r="2589">
          <cell r="F2589"/>
          <cell r="G2589"/>
          <cell r="H2589"/>
          <cell r="I2589">
            <v>0</v>
          </cell>
        </row>
        <row r="2590">
          <cell r="F2590"/>
          <cell r="G2590"/>
          <cell r="H2590"/>
          <cell r="I2590">
            <v>0</v>
          </cell>
        </row>
        <row r="2591">
          <cell r="F2591"/>
          <cell r="G2591"/>
          <cell r="H2591"/>
          <cell r="I2591">
            <v>0</v>
          </cell>
        </row>
        <row r="2592">
          <cell r="F2592"/>
          <cell r="G2592"/>
          <cell r="H2592"/>
          <cell r="I2592">
            <v>0</v>
          </cell>
        </row>
        <row r="2593">
          <cell r="F2593"/>
          <cell r="G2593"/>
          <cell r="H2593"/>
          <cell r="I2593">
            <v>0</v>
          </cell>
        </row>
        <row r="2594">
          <cell r="F2594"/>
          <cell r="G2594"/>
          <cell r="H2594"/>
          <cell r="I2594">
            <v>0</v>
          </cell>
        </row>
        <row r="2595">
          <cell r="F2595"/>
          <cell r="G2595"/>
          <cell r="H2595"/>
          <cell r="I2595">
            <v>0</v>
          </cell>
        </row>
        <row r="2596">
          <cell r="F2596"/>
          <cell r="G2596"/>
          <cell r="H2596"/>
          <cell r="I2596">
            <v>0</v>
          </cell>
        </row>
        <row r="2597">
          <cell r="F2597"/>
          <cell r="G2597"/>
          <cell r="H2597"/>
          <cell r="I2597">
            <v>0</v>
          </cell>
        </row>
        <row r="2598">
          <cell r="F2598"/>
          <cell r="G2598"/>
          <cell r="H2598"/>
          <cell r="I2598">
            <v>0</v>
          </cell>
        </row>
        <row r="2599">
          <cell r="F2599"/>
          <cell r="G2599"/>
          <cell r="H2599"/>
          <cell r="I2599">
            <v>0</v>
          </cell>
        </row>
        <row r="2600">
          <cell r="F2600"/>
          <cell r="G2600"/>
          <cell r="H2600"/>
          <cell r="I2600">
            <v>0</v>
          </cell>
        </row>
        <row r="2601">
          <cell r="F2601"/>
          <cell r="G2601"/>
          <cell r="H2601"/>
          <cell r="I2601">
            <v>0</v>
          </cell>
        </row>
        <row r="2602">
          <cell r="F2602"/>
          <cell r="G2602"/>
          <cell r="H2602"/>
          <cell r="I2602">
            <v>0</v>
          </cell>
        </row>
        <row r="2603">
          <cell r="F2603"/>
          <cell r="G2603"/>
          <cell r="H2603"/>
          <cell r="I2603">
            <v>0</v>
          </cell>
        </row>
        <row r="2604">
          <cell r="F2604"/>
          <cell r="G2604"/>
          <cell r="H2604"/>
          <cell r="I2604">
            <v>0</v>
          </cell>
        </row>
        <row r="2605">
          <cell r="F2605"/>
          <cell r="G2605"/>
          <cell r="H2605"/>
          <cell r="I2605">
            <v>0</v>
          </cell>
        </row>
        <row r="2606">
          <cell r="F2606"/>
          <cell r="G2606"/>
          <cell r="H2606"/>
          <cell r="I2606">
            <v>0</v>
          </cell>
        </row>
        <row r="2607">
          <cell r="F2607"/>
          <cell r="G2607"/>
          <cell r="H2607"/>
          <cell r="I2607">
            <v>0</v>
          </cell>
        </row>
        <row r="2608">
          <cell r="F2608"/>
          <cell r="G2608"/>
          <cell r="H2608"/>
          <cell r="I2608">
            <v>0</v>
          </cell>
        </row>
        <row r="2609">
          <cell r="F2609"/>
          <cell r="G2609"/>
          <cell r="H2609"/>
          <cell r="I2609">
            <v>0</v>
          </cell>
        </row>
        <row r="2610">
          <cell r="F2610"/>
          <cell r="G2610"/>
          <cell r="H2610"/>
          <cell r="I2610">
            <v>0</v>
          </cell>
        </row>
        <row r="2611">
          <cell r="F2611"/>
          <cell r="G2611"/>
          <cell r="H2611"/>
          <cell r="I2611">
            <v>0</v>
          </cell>
        </row>
        <row r="2612">
          <cell r="F2612"/>
          <cell r="G2612"/>
          <cell r="H2612"/>
          <cell r="I2612">
            <v>0</v>
          </cell>
        </row>
        <row r="2613">
          <cell r="F2613"/>
          <cell r="G2613"/>
          <cell r="H2613"/>
          <cell r="I2613">
            <v>0</v>
          </cell>
        </row>
        <row r="2614">
          <cell r="F2614"/>
          <cell r="G2614"/>
          <cell r="H2614"/>
          <cell r="I2614">
            <v>0</v>
          </cell>
        </row>
        <row r="2615">
          <cell r="F2615"/>
          <cell r="G2615"/>
          <cell r="H2615"/>
          <cell r="I2615">
            <v>0</v>
          </cell>
        </row>
        <row r="2616">
          <cell r="F2616"/>
          <cell r="G2616"/>
          <cell r="H2616"/>
          <cell r="I2616">
            <v>0</v>
          </cell>
        </row>
        <row r="2617">
          <cell r="F2617"/>
          <cell r="G2617"/>
          <cell r="H2617"/>
          <cell r="I2617">
            <v>0</v>
          </cell>
        </row>
        <row r="2618">
          <cell r="F2618"/>
          <cell r="G2618"/>
          <cell r="H2618"/>
          <cell r="I2618">
            <v>0</v>
          </cell>
        </row>
        <row r="2619">
          <cell r="F2619"/>
          <cell r="G2619"/>
          <cell r="H2619"/>
          <cell r="I2619">
            <v>0</v>
          </cell>
        </row>
        <row r="2620">
          <cell r="F2620"/>
          <cell r="G2620"/>
          <cell r="H2620"/>
          <cell r="I2620">
            <v>0</v>
          </cell>
        </row>
        <row r="2621">
          <cell r="F2621"/>
          <cell r="G2621"/>
          <cell r="H2621"/>
          <cell r="I2621">
            <v>0</v>
          </cell>
        </row>
        <row r="2622">
          <cell r="F2622"/>
          <cell r="G2622"/>
          <cell r="H2622"/>
          <cell r="I2622">
            <v>0</v>
          </cell>
        </row>
        <row r="2623">
          <cell r="F2623"/>
          <cell r="G2623"/>
          <cell r="H2623"/>
          <cell r="I2623">
            <v>0</v>
          </cell>
        </row>
        <row r="2624">
          <cell r="F2624"/>
          <cell r="G2624"/>
          <cell r="H2624"/>
          <cell r="I2624">
            <v>0</v>
          </cell>
        </row>
        <row r="2625">
          <cell r="F2625"/>
          <cell r="G2625"/>
          <cell r="H2625"/>
          <cell r="I2625">
            <v>0</v>
          </cell>
        </row>
        <row r="2626">
          <cell r="F2626"/>
          <cell r="G2626"/>
          <cell r="H2626"/>
          <cell r="I2626">
            <v>0</v>
          </cell>
        </row>
        <row r="2627">
          <cell r="F2627"/>
          <cell r="G2627"/>
          <cell r="H2627"/>
          <cell r="I2627">
            <v>0</v>
          </cell>
        </row>
        <row r="2628">
          <cell r="F2628"/>
          <cell r="G2628"/>
          <cell r="H2628"/>
          <cell r="I2628">
            <v>0</v>
          </cell>
        </row>
        <row r="2629">
          <cell r="F2629"/>
          <cell r="G2629"/>
          <cell r="H2629"/>
          <cell r="I2629">
            <v>0</v>
          </cell>
        </row>
        <row r="2630">
          <cell r="F2630"/>
          <cell r="G2630"/>
          <cell r="H2630"/>
          <cell r="I2630">
            <v>0</v>
          </cell>
        </row>
        <row r="2631">
          <cell r="F2631"/>
          <cell r="G2631"/>
          <cell r="H2631"/>
          <cell r="I2631">
            <v>0</v>
          </cell>
        </row>
        <row r="2632">
          <cell r="F2632"/>
          <cell r="G2632"/>
          <cell r="H2632"/>
          <cell r="I2632">
            <v>0</v>
          </cell>
        </row>
        <row r="2633">
          <cell r="F2633"/>
          <cell r="G2633"/>
          <cell r="H2633"/>
          <cell r="I2633">
            <v>0</v>
          </cell>
        </row>
        <row r="2634">
          <cell r="F2634"/>
          <cell r="G2634"/>
          <cell r="H2634"/>
          <cell r="I2634">
            <v>0</v>
          </cell>
        </row>
        <row r="2635">
          <cell r="F2635"/>
          <cell r="G2635"/>
          <cell r="H2635"/>
          <cell r="I2635">
            <v>0</v>
          </cell>
        </row>
        <row r="2636">
          <cell r="F2636"/>
          <cell r="G2636"/>
          <cell r="H2636"/>
          <cell r="I2636">
            <v>0</v>
          </cell>
        </row>
        <row r="2637">
          <cell r="F2637"/>
          <cell r="G2637"/>
          <cell r="H2637"/>
          <cell r="I2637">
            <v>0</v>
          </cell>
        </row>
        <row r="2638">
          <cell r="F2638"/>
          <cell r="G2638"/>
          <cell r="H2638"/>
          <cell r="I2638">
            <v>0</v>
          </cell>
        </row>
        <row r="2639">
          <cell r="F2639"/>
          <cell r="G2639"/>
          <cell r="H2639"/>
          <cell r="I2639">
            <v>0</v>
          </cell>
        </row>
        <row r="2640">
          <cell r="F2640"/>
          <cell r="G2640"/>
          <cell r="H2640"/>
          <cell r="I2640">
            <v>0</v>
          </cell>
        </row>
        <row r="2641">
          <cell r="F2641"/>
          <cell r="G2641"/>
          <cell r="H2641"/>
          <cell r="I2641">
            <v>0</v>
          </cell>
        </row>
        <row r="2642">
          <cell r="F2642"/>
          <cell r="G2642"/>
          <cell r="H2642"/>
          <cell r="I2642">
            <v>0</v>
          </cell>
        </row>
        <row r="2643">
          <cell r="F2643"/>
          <cell r="G2643"/>
          <cell r="H2643"/>
          <cell r="I2643">
            <v>0</v>
          </cell>
        </row>
        <row r="2644">
          <cell r="F2644"/>
          <cell r="G2644"/>
          <cell r="H2644"/>
          <cell r="I2644">
            <v>0</v>
          </cell>
        </row>
        <row r="2645">
          <cell r="F2645"/>
          <cell r="G2645"/>
          <cell r="H2645"/>
          <cell r="I2645">
            <v>0</v>
          </cell>
        </row>
        <row r="2646">
          <cell r="F2646"/>
          <cell r="G2646"/>
          <cell r="H2646"/>
          <cell r="I2646">
            <v>0</v>
          </cell>
        </row>
        <row r="2647">
          <cell r="F2647"/>
          <cell r="G2647"/>
          <cell r="H2647"/>
          <cell r="I2647">
            <v>0</v>
          </cell>
        </row>
        <row r="2648">
          <cell r="F2648"/>
          <cell r="G2648"/>
          <cell r="H2648"/>
          <cell r="I2648">
            <v>0</v>
          </cell>
        </row>
        <row r="2649">
          <cell r="F2649"/>
          <cell r="G2649"/>
          <cell r="H2649"/>
          <cell r="I2649">
            <v>0</v>
          </cell>
        </row>
        <row r="2650">
          <cell r="F2650"/>
          <cell r="G2650"/>
          <cell r="H2650"/>
          <cell r="I2650">
            <v>0</v>
          </cell>
        </row>
        <row r="2651">
          <cell r="F2651"/>
          <cell r="G2651"/>
          <cell r="H2651"/>
          <cell r="I2651">
            <v>0</v>
          </cell>
        </row>
        <row r="2652">
          <cell r="F2652"/>
          <cell r="G2652"/>
          <cell r="H2652"/>
          <cell r="I2652">
            <v>0</v>
          </cell>
        </row>
        <row r="2653">
          <cell r="F2653"/>
          <cell r="G2653"/>
          <cell r="H2653"/>
          <cell r="I2653">
            <v>0</v>
          </cell>
        </row>
        <row r="2654">
          <cell r="F2654"/>
          <cell r="G2654"/>
          <cell r="H2654"/>
          <cell r="I2654">
            <v>0</v>
          </cell>
        </row>
        <row r="2655">
          <cell r="F2655"/>
          <cell r="G2655"/>
          <cell r="H2655"/>
          <cell r="I2655">
            <v>0</v>
          </cell>
        </row>
        <row r="2656">
          <cell r="F2656"/>
          <cell r="G2656"/>
          <cell r="H2656"/>
          <cell r="I2656">
            <v>0</v>
          </cell>
        </row>
        <row r="2657">
          <cell r="F2657"/>
          <cell r="G2657"/>
          <cell r="H2657"/>
          <cell r="I2657">
            <v>0</v>
          </cell>
        </row>
        <row r="2658">
          <cell r="F2658"/>
          <cell r="G2658"/>
          <cell r="H2658"/>
          <cell r="I2658">
            <v>0</v>
          </cell>
        </row>
        <row r="2659">
          <cell r="F2659"/>
          <cell r="G2659"/>
          <cell r="H2659"/>
          <cell r="I2659">
            <v>0</v>
          </cell>
        </row>
        <row r="2660">
          <cell r="F2660"/>
          <cell r="G2660"/>
          <cell r="H2660"/>
          <cell r="I2660">
            <v>0</v>
          </cell>
        </row>
        <row r="2661">
          <cell r="F2661"/>
          <cell r="G2661"/>
          <cell r="H2661"/>
          <cell r="I2661">
            <v>0</v>
          </cell>
        </row>
        <row r="2662">
          <cell r="F2662"/>
          <cell r="G2662"/>
          <cell r="H2662"/>
          <cell r="I2662">
            <v>0</v>
          </cell>
        </row>
        <row r="2663">
          <cell r="F2663"/>
          <cell r="G2663"/>
          <cell r="H2663"/>
          <cell r="I2663">
            <v>0</v>
          </cell>
        </row>
        <row r="2664">
          <cell r="F2664"/>
          <cell r="G2664"/>
          <cell r="H2664"/>
          <cell r="I2664">
            <v>0</v>
          </cell>
        </row>
        <row r="2665">
          <cell r="F2665"/>
          <cell r="G2665"/>
          <cell r="H2665"/>
          <cell r="I2665">
            <v>0</v>
          </cell>
        </row>
        <row r="2666">
          <cell r="F2666"/>
          <cell r="G2666"/>
          <cell r="H2666"/>
          <cell r="I2666">
            <v>0</v>
          </cell>
        </row>
        <row r="2667">
          <cell r="F2667"/>
          <cell r="G2667"/>
          <cell r="H2667"/>
          <cell r="I2667">
            <v>0</v>
          </cell>
        </row>
        <row r="2668">
          <cell r="F2668"/>
          <cell r="G2668"/>
          <cell r="H2668"/>
          <cell r="I2668">
            <v>0</v>
          </cell>
        </row>
        <row r="2669">
          <cell r="F2669"/>
          <cell r="G2669"/>
          <cell r="H2669"/>
          <cell r="I2669">
            <v>0</v>
          </cell>
        </row>
        <row r="2670">
          <cell r="F2670"/>
          <cell r="G2670"/>
          <cell r="H2670"/>
          <cell r="I2670">
            <v>0</v>
          </cell>
        </row>
        <row r="2671">
          <cell r="F2671"/>
          <cell r="G2671"/>
          <cell r="H2671"/>
          <cell r="I2671">
            <v>0</v>
          </cell>
        </row>
        <row r="2672">
          <cell r="F2672"/>
          <cell r="G2672"/>
          <cell r="H2672"/>
          <cell r="I2672">
            <v>0</v>
          </cell>
        </row>
        <row r="2673">
          <cell r="F2673"/>
          <cell r="G2673"/>
          <cell r="H2673"/>
          <cell r="I2673">
            <v>0</v>
          </cell>
        </row>
        <row r="2674">
          <cell r="F2674"/>
          <cell r="G2674"/>
          <cell r="H2674"/>
          <cell r="I2674">
            <v>0</v>
          </cell>
        </row>
        <row r="2675">
          <cell r="F2675"/>
          <cell r="G2675"/>
          <cell r="H2675"/>
          <cell r="I2675">
            <v>0</v>
          </cell>
        </row>
        <row r="2676">
          <cell r="F2676"/>
          <cell r="G2676"/>
          <cell r="H2676"/>
          <cell r="I2676">
            <v>0</v>
          </cell>
        </row>
        <row r="2677">
          <cell r="F2677"/>
          <cell r="G2677"/>
          <cell r="H2677"/>
          <cell r="I2677">
            <v>0</v>
          </cell>
        </row>
        <row r="2678">
          <cell r="F2678"/>
          <cell r="G2678"/>
          <cell r="H2678"/>
          <cell r="I2678">
            <v>0</v>
          </cell>
        </row>
        <row r="2679">
          <cell r="F2679"/>
          <cell r="G2679"/>
          <cell r="H2679"/>
          <cell r="I2679">
            <v>0</v>
          </cell>
        </row>
        <row r="2680">
          <cell r="F2680"/>
          <cell r="G2680"/>
          <cell r="H2680"/>
          <cell r="I2680">
            <v>0</v>
          </cell>
        </row>
        <row r="2681">
          <cell r="F2681"/>
          <cell r="G2681"/>
          <cell r="H2681"/>
          <cell r="I2681">
            <v>0</v>
          </cell>
        </row>
        <row r="2682">
          <cell r="F2682"/>
          <cell r="G2682"/>
          <cell r="H2682"/>
          <cell r="I2682">
            <v>0</v>
          </cell>
        </row>
        <row r="2683">
          <cell r="F2683"/>
          <cell r="G2683"/>
          <cell r="H2683"/>
          <cell r="I2683">
            <v>0</v>
          </cell>
        </row>
        <row r="2684">
          <cell r="F2684"/>
          <cell r="G2684"/>
          <cell r="H2684"/>
          <cell r="I2684">
            <v>0</v>
          </cell>
        </row>
        <row r="2685">
          <cell r="F2685"/>
          <cell r="G2685"/>
          <cell r="H2685"/>
          <cell r="I2685">
            <v>0</v>
          </cell>
        </row>
        <row r="2686">
          <cell r="F2686"/>
          <cell r="G2686"/>
          <cell r="H2686"/>
          <cell r="I2686">
            <v>0</v>
          </cell>
        </row>
        <row r="2687">
          <cell r="F2687"/>
          <cell r="G2687"/>
          <cell r="H2687"/>
          <cell r="I2687">
            <v>0</v>
          </cell>
        </row>
        <row r="2688">
          <cell r="F2688"/>
          <cell r="G2688"/>
          <cell r="H2688"/>
          <cell r="I2688">
            <v>0</v>
          </cell>
        </row>
        <row r="2689">
          <cell r="F2689"/>
          <cell r="G2689"/>
          <cell r="H2689"/>
          <cell r="I2689">
            <v>0</v>
          </cell>
        </row>
        <row r="2690">
          <cell r="F2690"/>
          <cell r="G2690"/>
          <cell r="H2690"/>
          <cell r="I2690">
            <v>0</v>
          </cell>
        </row>
        <row r="2691">
          <cell r="F2691"/>
          <cell r="G2691"/>
          <cell r="H2691"/>
          <cell r="I2691">
            <v>0</v>
          </cell>
        </row>
        <row r="2692">
          <cell r="F2692"/>
          <cell r="G2692"/>
          <cell r="H2692"/>
          <cell r="I2692">
            <v>0</v>
          </cell>
        </row>
        <row r="2693">
          <cell r="F2693"/>
          <cell r="G2693"/>
          <cell r="H2693"/>
          <cell r="I2693">
            <v>0</v>
          </cell>
        </row>
        <row r="2694">
          <cell r="F2694"/>
          <cell r="G2694"/>
          <cell r="H2694"/>
          <cell r="I2694">
            <v>0</v>
          </cell>
        </row>
        <row r="2695">
          <cell r="F2695"/>
          <cell r="G2695"/>
          <cell r="H2695"/>
          <cell r="I2695">
            <v>0</v>
          </cell>
        </row>
        <row r="2696">
          <cell r="F2696"/>
          <cell r="G2696"/>
          <cell r="H2696"/>
          <cell r="I2696">
            <v>0</v>
          </cell>
        </row>
        <row r="2697">
          <cell r="F2697"/>
          <cell r="G2697"/>
          <cell r="H2697"/>
          <cell r="I2697">
            <v>0</v>
          </cell>
        </row>
        <row r="2698">
          <cell r="F2698"/>
          <cell r="G2698"/>
          <cell r="H2698"/>
          <cell r="I2698">
            <v>0</v>
          </cell>
        </row>
        <row r="2699">
          <cell r="F2699"/>
          <cell r="G2699"/>
          <cell r="H2699"/>
          <cell r="I2699">
            <v>0</v>
          </cell>
        </row>
        <row r="2700">
          <cell r="F2700"/>
          <cell r="G2700"/>
          <cell r="H2700"/>
          <cell r="I2700">
            <v>0</v>
          </cell>
        </row>
        <row r="2701">
          <cell r="F2701"/>
          <cell r="G2701"/>
          <cell r="H2701"/>
          <cell r="I2701">
            <v>0</v>
          </cell>
        </row>
        <row r="2702">
          <cell r="F2702"/>
          <cell r="G2702"/>
          <cell r="H2702"/>
          <cell r="I2702">
            <v>0</v>
          </cell>
        </row>
        <row r="2703">
          <cell r="F2703"/>
          <cell r="G2703"/>
          <cell r="H2703"/>
          <cell r="I2703">
            <v>0</v>
          </cell>
        </row>
        <row r="2704">
          <cell r="F2704"/>
          <cell r="G2704"/>
          <cell r="H2704"/>
          <cell r="I2704">
            <v>0</v>
          </cell>
        </row>
        <row r="2705">
          <cell r="F2705"/>
          <cell r="G2705"/>
          <cell r="H2705"/>
          <cell r="I2705">
            <v>0</v>
          </cell>
        </row>
        <row r="2706">
          <cell r="F2706"/>
          <cell r="G2706"/>
          <cell r="H2706"/>
          <cell r="I2706">
            <v>0</v>
          </cell>
        </row>
        <row r="2707">
          <cell r="F2707"/>
          <cell r="G2707"/>
          <cell r="H2707"/>
          <cell r="I2707">
            <v>0</v>
          </cell>
        </row>
        <row r="2708">
          <cell r="F2708"/>
          <cell r="G2708"/>
          <cell r="H2708"/>
          <cell r="I2708">
            <v>0</v>
          </cell>
        </row>
        <row r="2709">
          <cell r="F2709"/>
          <cell r="G2709"/>
          <cell r="H2709"/>
          <cell r="I2709">
            <v>0</v>
          </cell>
        </row>
        <row r="2710">
          <cell r="F2710"/>
          <cell r="G2710"/>
          <cell r="H2710"/>
          <cell r="I2710">
            <v>0</v>
          </cell>
        </row>
        <row r="2711">
          <cell r="F2711"/>
          <cell r="G2711"/>
          <cell r="H2711"/>
          <cell r="I2711">
            <v>0</v>
          </cell>
        </row>
        <row r="2712">
          <cell r="F2712"/>
          <cell r="G2712"/>
          <cell r="H2712"/>
          <cell r="I2712">
            <v>0</v>
          </cell>
        </row>
        <row r="2713">
          <cell r="F2713"/>
          <cell r="G2713"/>
          <cell r="H2713"/>
          <cell r="I2713">
            <v>0</v>
          </cell>
        </row>
        <row r="2714">
          <cell r="F2714"/>
          <cell r="G2714"/>
          <cell r="H2714"/>
          <cell r="I2714">
            <v>0</v>
          </cell>
        </row>
        <row r="2715">
          <cell r="F2715"/>
          <cell r="G2715"/>
          <cell r="H2715"/>
          <cell r="I2715">
            <v>0</v>
          </cell>
        </row>
        <row r="2716">
          <cell r="F2716"/>
          <cell r="G2716"/>
          <cell r="H2716"/>
          <cell r="I2716">
            <v>0</v>
          </cell>
        </row>
        <row r="2717">
          <cell r="F2717"/>
          <cell r="G2717"/>
          <cell r="H2717"/>
          <cell r="I2717">
            <v>0</v>
          </cell>
        </row>
        <row r="2718">
          <cell r="F2718"/>
          <cell r="G2718"/>
          <cell r="H2718"/>
          <cell r="I2718">
            <v>0</v>
          </cell>
        </row>
        <row r="2719">
          <cell r="F2719"/>
          <cell r="G2719"/>
          <cell r="H2719"/>
          <cell r="I2719">
            <v>0</v>
          </cell>
        </row>
        <row r="2720">
          <cell r="F2720"/>
          <cell r="G2720"/>
          <cell r="H2720"/>
          <cell r="I2720">
            <v>0</v>
          </cell>
        </row>
        <row r="2721">
          <cell r="F2721"/>
          <cell r="G2721"/>
          <cell r="H2721"/>
          <cell r="I2721">
            <v>0</v>
          </cell>
        </row>
        <row r="2722">
          <cell r="F2722"/>
          <cell r="G2722"/>
          <cell r="H2722"/>
          <cell r="I2722">
            <v>0</v>
          </cell>
        </row>
        <row r="2723">
          <cell r="F2723"/>
          <cell r="G2723"/>
          <cell r="H2723"/>
          <cell r="I2723">
            <v>0</v>
          </cell>
        </row>
        <row r="2724">
          <cell r="F2724"/>
          <cell r="G2724"/>
          <cell r="H2724"/>
          <cell r="I2724">
            <v>0</v>
          </cell>
        </row>
        <row r="2725">
          <cell r="F2725"/>
          <cell r="G2725"/>
          <cell r="H2725"/>
          <cell r="I2725">
            <v>0</v>
          </cell>
        </row>
        <row r="2726">
          <cell r="F2726"/>
          <cell r="G2726"/>
          <cell r="H2726"/>
          <cell r="I2726">
            <v>0</v>
          </cell>
        </row>
        <row r="2727">
          <cell r="F2727"/>
          <cell r="G2727"/>
          <cell r="H2727"/>
          <cell r="I2727">
            <v>0</v>
          </cell>
        </row>
        <row r="2728">
          <cell r="F2728"/>
          <cell r="G2728"/>
          <cell r="H2728"/>
          <cell r="I2728">
            <v>0</v>
          </cell>
        </row>
        <row r="2729">
          <cell r="F2729"/>
          <cell r="G2729"/>
          <cell r="H2729"/>
          <cell r="I2729">
            <v>0</v>
          </cell>
        </row>
        <row r="2730">
          <cell r="F2730"/>
          <cell r="G2730"/>
          <cell r="H2730"/>
          <cell r="I2730">
            <v>0</v>
          </cell>
        </row>
        <row r="2731">
          <cell r="F2731"/>
          <cell r="G2731"/>
          <cell r="H2731"/>
          <cell r="I2731">
            <v>0</v>
          </cell>
        </row>
        <row r="2732">
          <cell r="F2732"/>
          <cell r="G2732"/>
          <cell r="H2732"/>
          <cell r="I2732">
            <v>0</v>
          </cell>
        </row>
        <row r="2733">
          <cell r="F2733"/>
          <cell r="G2733"/>
          <cell r="H2733"/>
          <cell r="I2733">
            <v>0</v>
          </cell>
        </row>
        <row r="2734">
          <cell r="F2734"/>
          <cell r="G2734"/>
          <cell r="H2734"/>
          <cell r="I2734">
            <v>0</v>
          </cell>
        </row>
        <row r="2735">
          <cell r="F2735"/>
          <cell r="G2735"/>
          <cell r="H2735"/>
          <cell r="I2735">
            <v>0</v>
          </cell>
        </row>
        <row r="2736">
          <cell r="F2736"/>
          <cell r="G2736"/>
          <cell r="H2736"/>
          <cell r="I2736">
            <v>0</v>
          </cell>
        </row>
        <row r="2737">
          <cell r="F2737"/>
          <cell r="G2737"/>
          <cell r="H2737"/>
          <cell r="I2737">
            <v>0</v>
          </cell>
        </row>
        <row r="2738">
          <cell r="F2738"/>
          <cell r="G2738"/>
          <cell r="H2738"/>
          <cell r="I2738">
            <v>0</v>
          </cell>
        </row>
        <row r="2739">
          <cell r="F2739"/>
          <cell r="G2739"/>
          <cell r="H2739"/>
          <cell r="I2739">
            <v>0</v>
          </cell>
        </row>
        <row r="2740">
          <cell r="F2740"/>
          <cell r="G2740"/>
          <cell r="H2740"/>
          <cell r="I2740">
            <v>0</v>
          </cell>
        </row>
        <row r="2741">
          <cell r="F2741"/>
          <cell r="G2741"/>
          <cell r="H2741"/>
          <cell r="I2741">
            <v>0</v>
          </cell>
        </row>
        <row r="2742">
          <cell r="F2742"/>
          <cell r="G2742"/>
          <cell r="H2742"/>
          <cell r="I2742">
            <v>0</v>
          </cell>
        </row>
        <row r="2743">
          <cell r="F2743"/>
          <cell r="G2743"/>
          <cell r="H2743"/>
          <cell r="I2743">
            <v>0</v>
          </cell>
        </row>
        <row r="2744">
          <cell r="F2744"/>
          <cell r="G2744"/>
          <cell r="H2744"/>
          <cell r="I2744">
            <v>0</v>
          </cell>
        </row>
        <row r="2745">
          <cell r="F2745"/>
          <cell r="G2745"/>
          <cell r="H2745"/>
          <cell r="I2745">
            <v>0</v>
          </cell>
        </row>
        <row r="2746">
          <cell r="F2746"/>
          <cell r="G2746"/>
          <cell r="H2746"/>
          <cell r="I2746">
            <v>0</v>
          </cell>
        </row>
        <row r="2747">
          <cell r="F2747"/>
          <cell r="G2747"/>
          <cell r="H2747"/>
          <cell r="I2747">
            <v>0</v>
          </cell>
        </row>
        <row r="2748">
          <cell r="F2748"/>
          <cell r="G2748"/>
          <cell r="H2748"/>
          <cell r="I2748">
            <v>0</v>
          </cell>
        </row>
        <row r="2749">
          <cell r="F2749"/>
          <cell r="G2749"/>
          <cell r="H2749"/>
          <cell r="I2749">
            <v>0</v>
          </cell>
        </row>
        <row r="2750">
          <cell r="F2750"/>
          <cell r="G2750"/>
          <cell r="H2750"/>
          <cell r="I2750">
            <v>0</v>
          </cell>
        </row>
        <row r="2751">
          <cell r="F2751"/>
          <cell r="G2751"/>
          <cell r="H2751"/>
          <cell r="I2751">
            <v>0</v>
          </cell>
        </row>
        <row r="2752">
          <cell r="F2752"/>
          <cell r="G2752"/>
          <cell r="H2752"/>
          <cell r="I2752">
            <v>0</v>
          </cell>
        </row>
        <row r="2753">
          <cell r="F2753"/>
          <cell r="G2753"/>
          <cell r="H2753"/>
          <cell r="I2753">
            <v>0</v>
          </cell>
        </row>
        <row r="2754">
          <cell r="F2754"/>
          <cell r="G2754"/>
          <cell r="H2754"/>
          <cell r="I2754">
            <v>0</v>
          </cell>
        </row>
        <row r="2755">
          <cell r="F2755"/>
          <cell r="G2755"/>
          <cell r="H2755"/>
          <cell r="I2755">
            <v>0</v>
          </cell>
        </row>
        <row r="2756">
          <cell r="F2756"/>
          <cell r="G2756"/>
          <cell r="H2756"/>
          <cell r="I2756">
            <v>0</v>
          </cell>
        </row>
        <row r="2757">
          <cell r="F2757"/>
          <cell r="G2757"/>
          <cell r="H2757"/>
          <cell r="I2757">
            <v>0</v>
          </cell>
        </row>
        <row r="2758">
          <cell r="F2758"/>
          <cell r="G2758"/>
          <cell r="H2758"/>
          <cell r="I2758">
            <v>0</v>
          </cell>
        </row>
        <row r="2759">
          <cell r="F2759"/>
          <cell r="G2759"/>
          <cell r="H2759"/>
          <cell r="I2759">
            <v>0</v>
          </cell>
        </row>
        <row r="2760">
          <cell r="F2760"/>
          <cell r="G2760"/>
          <cell r="H2760"/>
          <cell r="I2760">
            <v>0</v>
          </cell>
        </row>
        <row r="2761">
          <cell r="F2761"/>
          <cell r="G2761"/>
          <cell r="H2761"/>
          <cell r="I2761">
            <v>0</v>
          </cell>
        </row>
        <row r="2762">
          <cell r="F2762"/>
          <cell r="G2762"/>
          <cell r="H2762"/>
          <cell r="I2762">
            <v>0</v>
          </cell>
        </row>
        <row r="2763">
          <cell r="F2763"/>
          <cell r="G2763"/>
          <cell r="H2763"/>
          <cell r="I2763">
            <v>0</v>
          </cell>
        </row>
        <row r="2764">
          <cell r="F2764"/>
          <cell r="G2764"/>
          <cell r="H2764"/>
          <cell r="I2764">
            <v>0</v>
          </cell>
        </row>
        <row r="2765">
          <cell r="F2765"/>
          <cell r="G2765"/>
          <cell r="H2765"/>
          <cell r="I2765">
            <v>0</v>
          </cell>
        </row>
        <row r="2766">
          <cell r="F2766"/>
          <cell r="G2766"/>
          <cell r="H2766"/>
          <cell r="I2766">
            <v>0</v>
          </cell>
        </row>
        <row r="2767">
          <cell r="F2767"/>
          <cell r="G2767"/>
          <cell r="H2767"/>
          <cell r="I2767">
            <v>0</v>
          </cell>
        </row>
        <row r="2768">
          <cell r="F2768"/>
          <cell r="G2768"/>
          <cell r="H2768"/>
          <cell r="I2768">
            <v>0</v>
          </cell>
        </row>
        <row r="2769">
          <cell r="F2769"/>
          <cell r="G2769"/>
          <cell r="H2769"/>
          <cell r="I2769">
            <v>0</v>
          </cell>
        </row>
        <row r="2770">
          <cell r="F2770"/>
          <cell r="G2770"/>
          <cell r="H2770"/>
          <cell r="I2770">
            <v>0</v>
          </cell>
        </row>
        <row r="2771">
          <cell r="F2771"/>
          <cell r="G2771"/>
          <cell r="H2771"/>
          <cell r="I2771">
            <v>0</v>
          </cell>
        </row>
        <row r="2772">
          <cell r="F2772"/>
          <cell r="G2772"/>
          <cell r="H2772"/>
          <cell r="I2772">
            <v>0</v>
          </cell>
        </row>
        <row r="2773">
          <cell r="F2773"/>
          <cell r="G2773"/>
          <cell r="H2773"/>
          <cell r="I2773">
            <v>0</v>
          </cell>
        </row>
        <row r="2774">
          <cell r="F2774"/>
          <cell r="G2774"/>
          <cell r="H2774"/>
          <cell r="I2774">
            <v>0</v>
          </cell>
        </row>
        <row r="2775">
          <cell r="F2775"/>
          <cell r="G2775"/>
          <cell r="H2775"/>
          <cell r="I2775">
            <v>0</v>
          </cell>
        </row>
        <row r="2776">
          <cell r="F2776"/>
          <cell r="G2776"/>
          <cell r="H2776"/>
          <cell r="I2776">
            <v>0</v>
          </cell>
        </row>
        <row r="2777">
          <cell r="F2777"/>
          <cell r="G2777"/>
          <cell r="H2777"/>
          <cell r="I2777">
            <v>0</v>
          </cell>
        </row>
        <row r="2778">
          <cell r="F2778"/>
          <cell r="G2778"/>
          <cell r="H2778"/>
          <cell r="I2778">
            <v>0</v>
          </cell>
        </row>
        <row r="2779">
          <cell r="F2779"/>
          <cell r="G2779"/>
          <cell r="H2779"/>
          <cell r="I2779">
            <v>0</v>
          </cell>
        </row>
        <row r="2780">
          <cell r="F2780"/>
          <cell r="G2780"/>
          <cell r="H2780"/>
          <cell r="I2780">
            <v>0</v>
          </cell>
        </row>
        <row r="2781">
          <cell r="F2781"/>
          <cell r="G2781"/>
          <cell r="H2781"/>
          <cell r="I2781">
            <v>0</v>
          </cell>
        </row>
        <row r="2782">
          <cell r="F2782"/>
          <cell r="G2782"/>
          <cell r="H2782"/>
          <cell r="I2782">
            <v>0</v>
          </cell>
        </row>
        <row r="2783">
          <cell r="F2783"/>
          <cell r="G2783"/>
          <cell r="H2783"/>
          <cell r="I2783">
            <v>0</v>
          </cell>
        </row>
        <row r="2784">
          <cell r="F2784"/>
          <cell r="G2784"/>
          <cell r="H2784"/>
          <cell r="I2784">
            <v>0</v>
          </cell>
        </row>
        <row r="2785">
          <cell r="F2785"/>
          <cell r="G2785"/>
          <cell r="H2785"/>
          <cell r="I2785">
            <v>0</v>
          </cell>
        </row>
        <row r="2786">
          <cell r="F2786"/>
          <cell r="G2786"/>
          <cell r="H2786"/>
          <cell r="I2786">
            <v>0</v>
          </cell>
        </row>
        <row r="2787">
          <cell r="F2787"/>
          <cell r="G2787"/>
          <cell r="H2787"/>
          <cell r="I2787">
            <v>0</v>
          </cell>
        </row>
        <row r="2788">
          <cell r="F2788"/>
          <cell r="G2788"/>
          <cell r="H2788"/>
          <cell r="I2788">
            <v>0</v>
          </cell>
        </row>
        <row r="2789">
          <cell r="F2789"/>
          <cell r="G2789"/>
          <cell r="H2789"/>
          <cell r="I2789">
            <v>0</v>
          </cell>
        </row>
        <row r="2790">
          <cell r="F2790"/>
          <cell r="G2790"/>
          <cell r="H2790"/>
          <cell r="I2790">
            <v>0</v>
          </cell>
        </row>
        <row r="2791">
          <cell r="F2791"/>
          <cell r="G2791"/>
          <cell r="H2791"/>
          <cell r="I2791">
            <v>0</v>
          </cell>
        </row>
        <row r="2792">
          <cell r="F2792"/>
          <cell r="G2792"/>
          <cell r="H2792"/>
          <cell r="I2792">
            <v>0</v>
          </cell>
        </row>
        <row r="2793">
          <cell r="F2793"/>
          <cell r="G2793"/>
          <cell r="H2793"/>
          <cell r="I2793">
            <v>0</v>
          </cell>
        </row>
        <row r="2794">
          <cell r="F2794"/>
          <cell r="G2794"/>
          <cell r="H2794"/>
          <cell r="I2794">
            <v>0</v>
          </cell>
        </row>
        <row r="2795">
          <cell r="F2795"/>
          <cell r="G2795"/>
          <cell r="H2795"/>
          <cell r="I2795">
            <v>0</v>
          </cell>
        </row>
        <row r="2796">
          <cell r="F2796"/>
          <cell r="G2796"/>
          <cell r="H2796"/>
          <cell r="I2796">
            <v>0</v>
          </cell>
        </row>
        <row r="2797">
          <cell r="F2797"/>
          <cell r="G2797"/>
          <cell r="H2797"/>
          <cell r="I2797">
            <v>0</v>
          </cell>
        </row>
        <row r="2798">
          <cell r="F2798"/>
          <cell r="G2798"/>
          <cell r="H2798"/>
          <cell r="I2798">
            <v>0</v>
          </cell>
        </row>
        <row r="2799">
          <cell r="F2799"/>
          <cell r="G2799"/>
          <cell r="H2799"/>
          <cell r="I2799">
            <v>0</v>
          </cell>
        </row>
        <row r="2800">
          <cell r="F2800"/>
          <cell r="G2800"/>
          <cell r="H2800"/>
          <cell r="I2800">
            <v>0</v>
          </cell>
        </row>
        <row r="2801">
          <cell r="F2801"/>
          <cell r="G2801"/>
          <cell r="H2801"/>
          <cell r="I2801">
            <v>0</v>
          </cell>
        </row>
        <row r="2802">
          <cell r="F2802"/>
          <cell r="G2802"/>
          <cell r="H2802"/>
          <cell r="I2802">
            <v>0</v>
          </cell>
        </row>
        <row r="2803">
          <cell r="F2803"/>
          <cell r="G2803"/>
          <cell r="H2803"/>
          <cell r="I2803">
            <v>0</v>
          </cell>
        </row>
        <row r="2804">
          <cell r="F2804"/>
          <cell r="G2804"/>
          <cell r="H2804"/>
          <cell r="I2804">
            <v>0</v>
          </cell>
        </row>
        <row r="2805">
          <cell r="F2805"/>
          <cell r="G2805"/>
          <cell r="H2805"/>
          <cell r="I2805">
            <v>0</v>
          </cell>
        </row>
        <row r="2806">
          <cell r="F2806"/>
          <cell r="G2806"/>
          <cell r="H2806"/>
          <cell r="I2806">
            <v>0</v>
          </cell>
        </row>
        <row r="2807">
          <cell r="F2807"/>
          <cell r="G2807"/>
          <cell r="H2807"/>
          <cell r="I2807">
            <v>0</v>
          </cell>
        </row>
        <row r="2808">
          <cell r="F2808"/>
          <cell r="G2808"/>
          <cell r="H2808"/>
          <cell r="I2808">
            <v>0</v>
          </cell>
        </row>
        <row r="2809">
          <cell r="F2809"/>
          <cell r="G2809"/>
          <cell r="H2809"/>
          <cell r="I2809">
            <v>0</v>
          </cell>
        </row>
        <row r="2810">
          <cell r="F2810"/>
          <cell r="G2810"/>
          <cell r="H2810"/>
          <cell r="I2810">
            <v>0</v>
          </cell>
        </row>
        <row r="2811">
          <cell r="F2811"/>
          <cell r="G2811"/>
          <cell r="H2811"/>
          <cell r="I2811">
            <v>0</v>
          </cell>
        </row>
        <row r="2812">
          <cell r="F2812"/>
          <cell r="G2812"/>
          <cell r="H2812"/>
          <cell r="I2812">
            <v>0</v>
          </cell>
        </row>
        <row r="2813">
          <cell r="F2813"/>
          <cell r="G2813"/>
          <cell r="H2813"/>
          <cell r="I2813">
            <v>0</v>
          </cell>
        </row>
        <row r="2814">
          <cell r="F2814"/>
          <cell r="G2814"/>
          <cell r="H2814"/>
          <cell r="I2814">
            <v>0</v>
          </cell>
        </row>
        <row r="2815">
          <cell r="F2815"/>
          <cell r="G2815"/>
          <cell r="H2815"/>
          <cell r="I2815">
            <v>0</v>
          </cell>
        </row>
        <row r="2816">
          <cell r="F2816"/>
          <cell r="G2816"/>
          <cell r="H2816"/>
          <cell r="I2816">
            <v>0</v>
          </cell>
        </row>
        <row r="2817">
          <cell r="F2817"/>
          <cell r="G2817"/>
          <cell r="H2817"/>
          <cell r="I2817">
            <v>0</v>
          </cell>
        </row>
        <row r="2818">
          <cell r="F2818"/>
          <cell r="G2818"/>
          <cell r="H2818"/>
          <cell r="I2818">
            <v>0</v>
          </cell>
        </row>
        <row r="2819">
          <cell r="F2819"/>
          <cell r="G2819"/>
          <cell r="H2819"/>
          <cell r="I2819">
            <v>0</v>
          </cell>
        </row>
        <row r="2820">
          <cell r="F2820"/>
          <cell r="G2820"/>
          <cell r="H2820"/>
          <cell r="I2820">
            <v>0</v>
          </cell>
        </row>
        <row r="2821">
          <cell r="F2821"/>
          <cell r="G2821"/>
          <cell r="H2821"/>
          <cell r="I2821">
            <v>0</v>
          </cell>
        </row>
        <row r="2822">
          <cell r="F2822"/>
          <cell r="G2822"/>
          <cell r="H2822"/>
          <cell r="I2822">
            <v>0</v>
          </cell>
        </row>
        <row r="2823">
          <cell r="F2823"/>
          <cell r="G2823"/>
          <cell r="H2823"/>
          <cell r="I2823">
            <v>0</v>
          </cell>
        </row>
        <row r="2824">
          <cell r="F2824"/>
          <cell r="G2824"/>
          <cell r="H2824"/>
          <cell r="I2824">
            <v>0</v>
          </cell>
        </row>
        <row r="2825">
          <cell r="F2825"/>
          <cell r="G2825"/>
          <cell r="H2825"/>
          <cell r="I2825">
            <v>0</v>
          </cell>
        </row>
        <row r="2826">
          <cell r="F2826"/>
          <cell r="G2826"/>
          <cell r="H2826"/>
          <cell r="I2826">
            <v>0</v>
          </cell>
        </row>
        <row r="2827">
          <cell r="F2827"/>
          <cell r="G2827"/>
          <cell r="H2827"/>
          <cell r="I2827">
            <v>0</v>
          </cell>
        </row>
        <row r="2828">
          <cell r="F2828"/>
          <cell r="G2828"/>
          <cell r="H2828"/>
          <cell r="I2828">
            <v>0</v>
          </cell>
        </row>
        <row r="2829">
          <cell r="F2829"/>
          <cell r="G2829"/>
          <cell r="H2829"/>
          <cell r="I2829">
            <v>0</v>
          </cell>
        </row>
        <row r="2830">
          <cell r="F2830"/>
          <cell r="G2830"/>
          <cell r="H2830"/>
          <cell r="I2830">
            <v>0</v>
          </cell>
        </row>
        <row r="2831">
          <cell r="F2831"/>
          <cell r="G2831"/>
          <cell r="H2831"/>
          <cell r="I2831">
            <v>0</v>
          </cell>
        </row>
        <row r="2832">
          <cell r="F2832"/>
          <cell r="G2832"/>
          <cell r="H2832"/>
          <cell r="I2832">
            <v>0</v>
          </cell>
        </row>
        <row r="2833">
          <cell r="F2833"/>
          <cell r="G2833"/>
          <cell r="H2833"/>
          <cell r="I2833">
            <v>0</v>
          </cell>
        </row>
        <row r="2834">
          <cell r="F2834"/>
          <cell r="G2834"/>
          <cell r="H2834"/>
          <cell r="I2834">
            <v>0</v>
          </cell>
        </row>
        <row r="2835">
          <cell r="F2835"/>
          <cell r="G2835"/>
          <cell r="H2835"/>
          <cell r="I2835">
            <v>0</v>
          </cell>
        </row>
        <row r="2836">
          <cell r="F2836"/>
          <cell r="G2836"/>
          <cell r="H2836"/>
          <cell r="I2836">
            <v>0</v>
          </cell>
        </row>
        <row r="2837">
          <cell r="F2837"/>
          <cell r="G2837"/>
          <cell r="H2837"/>
          <cell r="I2837">
            <v>0</v>
          </cell>
        </row>
        <row r="2838">
          <cell r="F2838"/>
          <cell r="G2838"/>
          <cell r="H2838"/>
          <cell r="I2838">
            <v>0</v>
          </cell>
        </row>
        <row r="2839">
          <cell r="F2839"/>
          <cell r="G2839"/>
          <cell r="H2839"/>
          <cell r="I2839">
            <v>0</v>
          </cell>
        </row>
        <row r="2840">
          <cell r="F2840"/>
          <cell r="G2840"/>
          <cell r="H2840"/>
          <cell r="I2840">
            <v>0</v>
          </cell>
        </row>
        <row r="2841">
          <cell r="F2841"/>
          <cell r="G2841"/>
          <cell r="H2841"/>
          <cell r="I2841">
            <v>0</v>
          </cell>
        </row>
        <row r="2842">
          <cell r="F2842"/>
          <cell r="G2842"/>
          <cell r="H2842"/>
          <cell r="I2842">
            <v>0</v>
          </cell>
        </row>
        <row r="2843">
          <cell r="F2843"/>
          <cell r="G2843"/>
          <cell r="H2843"/>
          <cell r="I2843">
            <v>0</v>
          </cell>
        </row>
        <row r="2844">
          <cell r="F2844"/>
          <cell r="G2844"/>
          <cell r="H2844"/>
          <cell r="I2844">
            <v>0</v>
          </cell>
        </row>
        <row r="2845">
          <cell r="F2845"/>
          <cell r="G2845"/>
          <cell r="H2845"/>
          <cell r="I2845">
            <v>0</v>
          </cell>
        </row>
        <row r="2846">
          <cell r="F2846"/>
          <cell r="G2846"/>
          <cell r="H2846"/>
          <cell r="I2846">
            <v>0</v>
          </cell>
        </row>
        <row r="2847">
          <cell r="F2847"/>
          <cell r="G2847"/>
          <cell r="H2847"/>
          <cell r="I2847">
            <v>0</v>
          </cell>
        </row>
        <row r="2848">
          <cell r="F2848"/>
          <cell r="G2848"/>
          <cell r="H2848"/>
          <cell r="I2848">
            <v>0</v>
          </cell>
        </row>
        <row r="2849">
          <cell r="F2849"/>
          <cell r="G2849"/>
          <cell r="H2849"/>
          <cell r="I2849">
            <v>0</v>
          </cell>
        </row>
        <row r="2850">
          <cell r="F2850"/>
          <cell r="G2850"/>
          <cell r="H2850"/>
          <cell r="I2850">
            <v>0</v>
          </cell>
        </row>
        <row r="2851">
          <cell r="F2851"/>
          <cell r="G2851"/>
          <cell r="H2851"/>
          <cell r="I2851">
            <v>0</v>
          </cell>
        </row>
        <row r="2852">
          <cell r="F2852"/>
          <cell r="G2852"/>
          <cell r="H2852"/>
          <cell r="I2852">
            <v>0</v>
          </cell>
        </row>
        <row r="2853">
          <cell r="F2853"/>
          <cell r="G2853"/>
          <cell r="H2853"/>
          <cell r="I2853">
            <v>0</v>
          </cell>
        </row>
        <row r="2854">
          <cell r="F2854"/>
          <cell r="G2854"/>
          <cell r="H2854"/>
          <cell r="I2854">
            <v>0</v>
          </cell>
        </row>
        <row r="2855">
          <cell r="F2855"/>
          <cell r="G2855"/>
          <cell r="H2855"/>
          <cell r="I2855">
            <v>0</v>
          </cell>
        </row>
        <row r="2856">
          <cell r="F2856"/>
          <cell r="G2856"/>
          <cell r="H2856"/>
          <cell r="I2856">
            <v>0</v>
          </cell>
        </row>
        <row r="2857">
          <cell r="F2857"/>
          <cell r="G2857"/>
          <cell r="H2857"/>
          <cell r="I2857">
            <v>0</v>
          </cell>
        </row>
        <row r="2858">
          <cell r="F2858"/>
          <cell r="G2858"/>
          <cell r="H2858"/>
          <cell r="I2858">
            <v>0</v>
          </cell>
        </row>
        <row r="2859">
          <cell r="F2859"/>
          <cell r="G2859"/>
          <cell r="H2859"/>
          <cell r="I2859">
            <v>0</v>
          </cell>
        </row>
        <row r="2860">
          <cell r="F2860"/>
          <cell r="G2860"/>
          <cell r="H2860"/>
          <cell r="I2860">
            <v>0</v>
          </cell>
        </row>
        <row r="2861">
          <cell r="F2861"/>
          <cell r="G2861"/>
          <cell r="H2861"/>
          <cell r="I2861">
            <v>0</v>
          </cell>
        </row>
        <row r="2862">
          <cell r="F2862"/>
          <cell r="G2862"/>
          <cell r="H2862"/>
          <cell r="I2862">
            <v>0</v>
          </cell>
        </row>
        <row r="2863">
          <cell r="F2863"/>
          <cell r="G2863"/>
          <cell r="H2863"/>
          <cell r="I2863">
            <v>0</v>
          </cell>
        </row>
        <row r="2864">
          <cell r="F2864"/>
          <cell r="G2864"/>
          <cell r="H2864"/>
          <cell r="I2864">
            <v>0</v>
          </cell>
        </row>
        <row r="2865">
          <cell r="F2865"/>
          <cell r="G2865"/>
          <cell r="H2865"/>
          <cell r="I2865">
            <v>0</v>
          </cell>
        </row>
        <row r="2866">
          <cell r="F2866"/>
          <cell r="G2866"/>
          <cell r="H2866"/>
          <cell r="I2866">
            <v>0</v>
          </cell>
        </row>
        <row r="2867">
          <cell r="F2867"/>
          <cell r="G2867"/>
          <cell r="H2867"/>
          <cell r="I2867">
            <v>0</v>
          </cell>
        </row>
        <row r="2868">
          <cell r="F2868"/>
          <cell r="G2868"/>
          <cell r="H2868"/>
          <cell r="I2868">
            <v>0</v>
          </cell>
        </row>
        <row r="2869">
          <cell r="F2869"/>
          <cell r="G2869"/>
          <cell r="H2869"/>
          <cell r="I2869">
            <v>0</v>
          </cell>
        </row>
        <row r="2870">
          <cell r="F2870"/>
          <cell r="G2870"/>
          <cell r="H2870"/>
          <cell r="I2870">
            <v>0</v>
          </cell>
        </row>
        <row r="2871">
          <cell r="F2871"/>
          <cell r="G2871"/>
          <cell r="H2871"/>
          <cell r="I2871">
            <v>0</v>
          </cell>
        </row>
        <row r="2872">
          <cell r="F2872"/>
          <cell r="G2872"/>
          <cell r="H2872"/>
          <cell r="I2872">
            <v>0</v>
          </cell>
        </row>
        <row r="2873">
          <cell r="F2873"/>
          <cell r="G2873"/>
          <cell r="H2873"/>
          <cell r="I2873">
            <v>0</v>
          </cell>
        </row>
        <row r="2874">
          <cell r="F2874"/>
          <cell r="G2874"/>
          <cell r="H2874"/>
          <cell r="I2874">
            <v>0</v>
          </cell>
        </row>
        <row r="2875">
          <cell r="F2875"/>
          <cell r="G2875"/>
          <cell r="H2875"/>
          <cell r="I2875">
            <v>0</v>
          </cell>
        </row>
        <row r="2876">
          <cell r="F2876"/>
          <cell r="G2876"/>
          <cell r="H2876"/>
          <cell r="I2876">
            <v>0</v>
          </cell>
        </row>
        <row r="2877">
          <cell r="F2877"/>
          <cell r="G2877"/>
          <cell r="H2877"/>
          <cell r="I2877">
            <v>0</v>
          </cell>
        </row>
        <row r="2878">
          <cell r="F2878"/>
          <cell r="G2878"/>
          <cell r="H2878"/>
          <cell r="I2878">
            <v>0</v>
          </cell>
        </row>
        <row r="2879">
          <cell r="F2879"/>
          <cell r="G2879"/>
          <cell r="H2879"/>
          <cell r="I2879">
            <v>0</v>
          </cell>
        </row>
        <row r="2880">
          <cell r="F2880"/>
          <cell r="G2880"/>
          <cell r="H2880"/>
          <cell r="I2880">
            <v>0</v>
          </cell>
        </row>
        <row r="2881">
          <cell r="F2881"/>
          <cell r="G2881"/>
          <cell r="H2881"/>
          <cell r="I2881">
            <v>0</v>
          </cell>
        </row>
        <row r="2882">
          <cell r="F2882"/>
          <cell r="G2882"/>
          <cell r="H2882"/>
          <cell r="I2882">
            <v>0</v>
          </cell>
        </row>
        <row r="2883">
          <cell r="F2883"/>
          <cell r="G2883"/>
          <cell r="H2883"/>
          <cell r="I2883">
            <v>0</v>
          </cell>
        </row>
        <row r="2884">
          <cell r="F2884"/>
          <cell r="G2884"/>
          <cell r="H2884"/>
          <cell r="I2884">
            <v>0</v>
          </cell>
        </row>
        <row r="2885">
          <cell r="F2885"/>
          <cell r="G2885"/>
          <cell r="H2885"/>
          <cell r="I2885">
            <v>0</v>
          </cell>
        </row>
        <row r="2886">
          <cell r="F2886"/>
          <cell r="G2886"/>
          <cell r="H2886"/>
          <cell r="I2886">
            <v>0</v>
          </cell>
        </row>
        <row r="2887">
          <cell r="F2887"/>
          <cell r="G2887"/>
          <cell r="H2887"/>
          <cell r="I2887">
            <v>0</v>
          </cell>
        </row>
        <row r="2888">
          <cell r="F2888"/>
          <cell r="G2888"/>
          <cell r="H2888"/>
          <cell r="I2888">
            <v>0</v>
          </cell>
        </row>
        <row r="2889">
          <cell r="F2889"/>
          <cell r="G2889"/>
          <cell r="H2889"/>
          <cell r="I2889">
            <v>0</v>
          </cell>
        </row>
        <row r="2890">
          <cell r="F2890"/>
          <cell r="G2890"/>
          <cell r="H2890"/>
          <cell r="I2890">
            <v>0</v>
          </cell>
        </row>
        <row r="2891">
          <cell r="F2891"/>
          <cell r="G2891"/>
          <cell r="H2891"/>
          <cell r="I2891">
            <v>0</v>
          </cell>
        </row>
        <row r="2892">
          <cell r="F2892"/>
          <cell r="G2892"/>
          <cell r="H2892"/>
          <cell r="I2892">
            <v>0</v>
          </cell>
        </row>
        <row r="2893">
          <cell r="F2893"/>
          <cell r="G2893"/>
          <cell r="H2893"/>
          <cell r="I2893">
            <v>0</v>
          </cell>
        </row>
        <row r="2894">
          <cell r="F2894"/>
          <cell r="G2894"/>
          <cell r="H2894"/>
          <cell r="I2894">
            <v>0</v>
          </cell>
        </row>
        <row r="2895">
          <cell r="F2895"/>
          <cell r="G2895"/>
          <cell r="H2895"/>
          <cell r="I2895">
            <v>0</v>
          </cell>
        </row>
        <row r="2896">
          <cell r="F2896"/>
          <cell r="G2896"/>
          <cell r="H2896"/>
          <cell r="I2896">
            <v>0</v>
          </cell>
        </row>
        <row r="2897">
          <cell r="F2897"/>
          <cell r="G2897"/>
          <cell r="H2897"/>
          <cell r="I2897">
            <v>0</v>
          </cell>
        </row>
        <row r="2898">
          <cell r="F2898"/>
          <cell r="G2898"/>
          <cell r="H2898"/>
          <cell r="I2898">
            <v>0</v>
          </cell>
        </row>
        <row r="2899">
          <cell r="F2899"/>
          <cell r="G2899"/>
          <cell r="H2899"/>
          <cell r="I2899">
            <v>0</v>
          </cell>
        </row>
        <row r="2900">
          <cell r="F2900"/>
          <cell r="G2900"/>
          <cell r="H2900"/>
          <cell r="I2900">
            <v>0</v>
          </cell>
        </row>
        <row r="2901">
          <cell r="F2901"/>
          <cell r="G2901"/>
          <cell r="H2901"/>
          <cell r="I2901">
            <v>0</v>
          </cell>
        </row>
        <row r="2902">
          <cell r="F2902"/>
          <cell r="G2902"/>
          <cell r="H2902"/>
          <cell r="I2902">
            <v>0</v>
          </cell>
        </row>
        <row r="2903">
          <cell r="F2903"/>
          <cell r="G2903"/>
          <cell r="H2903"/>
          <cell r="I2903">
            <v>0</v>
          </cell>
        </row>
        <row r="2904">
          <cell r="F2904"/>
          <cell r="G2904"/>
          <cell r="H2904"/>
          <cell r="I2904">
            <v>0</v>
          </cell>
        </row>
        <row r="2905">
          <cell r="F2905"/>
          <cell r="G2905"/>
          <cell r="H2905"/>
          <cell r="I2905">
            <v>0</v>
          </cell>
        </row>
        <row r="2906">
          <cell r="F2906"/>
          <cell r="G2906"/>
          <cell r="H2906"/>
          <cell r="I2906">
            <v>0</v>
          </cell>
        </row>
        <row r="2907">
          <cell r="F2907"/>
          <cell r="G2907"/>
          <cell r="H2907"/>
          <cell r="I2907">
            <v>0</v>
          </cell>
        </row>
        <row r="2908">
          <cell r="F2908"/>
          <cell r="G2908"/>
          <cell r="H2908"/>
          <cell r="I2908">
            <v>0</v>
          </cell>
        </row>
        <row r="2909">
          <cell r="F2909"/>
          <cell r="G2909"/>
          <cell r="H2909"/>
          <cell r="I2909">
            <v>0</v>
          </cell>
        </row>
        <row r="2910">
          <cell r="F2910"/>
          <cell r="G2910"/>
          <cell r="H2910"/>
          <cell r="I2910">
            <v>0</v>
          </cell>
        </row>
        <row r="2911">
          <cell r="F2911"/>
          <cell r="G2911"/>
          <cell r="H2911"/>
          <cell r="I2911">
            <v>0</v>
          </cell>
        </row>
        <row r="2912">
          <cell r="F2912"/>
          <cell r="G2912"/>
          <cell r="H2912"/>
          <cell r="I2912">
            <v>0</v>
          </cell>
        </row>
        <row r="2913">
          <cell r="F2913"/>
          <cell r="G2913"/>
          <cell r="H2913"/>
          <cell r="I2913">
            <v>0</v>
          </cell>
        </row>
        <row r="2914">
          <cell r="F2914"/>
          <cell r="G2914"/>
          <cell r="H2914"/>
          <cell r="I2914">
            <v>0</v>
          </cell>
        </row>
        <row r="2915">
          <cell r="F2915"/>
          <cell r="G2915"/>
          <cell r="H2915"/>
          <cell r="I2915">
            <v>0</v>
          </cell>
        </row>
        <row r="2916">
          <cell r="F2916"/>
          <cell r="G2916"/>
          <cell r="H2916"/>
          <cell r="I2916">
            <v>0</v>
          </cell>
        </row>
        <row r="2917">
          <cell r="F2917"/>
          <cell r="G2917"/>
          <cell r="H2917"/>
          <cell r="I2917">
            <v>0</v>
          </cell>
        </row>
        <row r="2918">
          <cell r="F2918"/>
          <cell r="G2918"/>
          <cell r="H2918"/>
          <cell r="I2918">
            <v>0</v>
          </cell>
        </row>
        <row r="2919">
          <cell r="F2919"/>
          <cell r="G2919"/>
          <cell r="H2919"/>
          <cell r="I2919">
            <v>0</v>
          </cell>
        </row>
        <row r="2920">
          <cell r="F2920"/>
          <cell r="G2920"/>
          <cell r="H2920"/>
          <cell r="I2920">
            <v>0</v>
          </cell>
        </row>
        <row r="2921">
          <cell r="F2921"/>
          <cell r="G2921"/>
          <cell r="H2921"/>
          <cell r="I2921">
            <v>0</v>
          </cell>
        </row>
        <row r="2922">
          <cell r="F2922"/>
          <cell r="G2922"/>
          <cell r="H2922"/>
          <cell r="I2922">
            <v>0</v>
          </cell>
        </row>
        <row r="2923">
          <cell r="F2923"/>
          <cell r="G2923"/>
          <cell r="H2923"/>
          <cell r="I2923">
            <v>0</v>
          </cell>
        </row>
        <row r="2924">
          <cell r="F2924"/>
          <cell r="G2924"/>
          <cell r="H2924"/>
          <cell r="I2924">
            <v>0</v>
          </cell>
        </row>
        <row r="2925">
          <cell r="F2925"/>
          <cell r="G2925"/>
          <cell r="H2925"/>
          <cell r="I2925">
            <v>0</v>
          </cell>
        </row>
        <row r="2926">
          <cell r="F2926"/>
          <cell r="G2926"/>
          <cell r="H2926"/>
          <cell r="I2926">
            <v>0</v>
          </cell>
        </row>
        <row r="2927">
          <cell r="F2927"/>
          <cell r="G2927"/>
          <cell r="H2927"/>
          <cell r="I2927">
            <v>0</v>
          </cell>
        </row>
        <row r="2928">
          <cell r="F2928"/>
          <cell r="G2928"/>
          <cell r="H2928"/>
          <cell r="I2928">
            <v>0</v>
          </cell>
        </row>
        <row r="2929">
          <cell r="F2929"/>
          <cell r="G2929"/>
          <cell r="H2929"/>
          <cell r="I2929">
            <v>0</v>
          </cell>
        </row>
        <row r="2930">
          <cell r="F2930"/>
          <cell r="G2930"/>
          <cell r="H2930"/>
          <cell r="I2930">
            <v>0</v>
          </cell>
        </row>
        <row r="2931">
          <cell r="F2931"/>
          <cell r="G2931"/>
          <cell r="H2931"/>
          <cell r="I2931">
            <v>0</v>
          </cell>
        </row>
        <row r="2932">
          <cell r="F2932"/>
          <cell r="G2932"/>
          <cell r="H2932"/>
          <cell r="I2932">
            <v>0</v>
          </cell>
        </row>
        <row r="2933">
          <cell r="F2933"/>
          <cell r="G2933"/>
          <cell r="H2933"/>
          <cell r="I2933">
            <v>0</v>
          </cell>
        </row>
        <row r="2934">
          <cell r="F2934"/>
          <cell r="G2934"/>
          <cell r="H2934"/>
          <cell r="I2934">
            <v>0</v>
          </cell>
        </row>
        <row r="2935">
          <cell r="F2935"/>
          <cell r="G2935"/>
          <cell r="H2935"/>
          <cell r="I2935">
            <v>0</v>
          </cell>
        </row>
        <row r="2936">
          <cell r="F2936"/>
          <cell r="G2936"/>
          <cell r="H2936"/>
          <cell r="I2936">
            <v>0</v>
          </cell>
        </row>
        <row r="2937">
          <cell r="F2937"/>
          <cell r="G2937"/>
          <cell r="H2937"/>
          <cell r="I2937">
            <v>0</v>
          </cell>
        </row>
        <row r="2938">
          <cell r="F2938"/>
          <cell r="G2938"/>
          <cell r="H2938"/>
          <cell r="I2938">
            <v>0</v>
          </cell>
        </row>
        <row r="2939">
          <cell r="F2939"/>
          <cell r="G2939"/>
          <cell r="H2939"/>
          <cell r="I2939">
            <v>0</v>
          </cell>
        </row>
        <row r="2940">
          <cell r="F2940"/>
          <cell r="G2940"/>
          <cell r="H2940"/>
          <cell r="I2940">
            <v>0</v>
          </cell>
        </row>
        <row r="2941">
          <cell r="F2941"/>
          <cell r="G2941"/>
          <cell r="H2941"/>
          <cell r="I2941">
            <v>0</v>
          </cell>
        </row>
        <row r="2942">
          <cell r="F2942"/>
          <cell r="G2942"/>
          <cell r="H2942"/>
          <cell r="I2942">
            <v>0</v>
          </cell>
        </row>
        <row r="2943">
          <cell r="F2943"/>
          <cell r="G2943"/>
          <cell r="H2943"/>
          <cell r="I2943">
            <v>0</v>
          </cell>
        </row>
        <row r="2944">
          <cell r="F2944"/>
          <cell r="G2944"/>
          <cell r="H2944"/>
          <cell r="I2944">
            <v>0</v>
          </cell>
        </row>
        <row r="2945">
          <cell r="F2945"/>
          <cell r="G2945"/>
          <cell r="H2945"/>
          <cell r="I2945">
            <v>0</v>
          </cell>
        </row>
        <row r="2946">
          <cell r="F2946"/>
          <cell r="G2946"/>
          <cell r="H2946"/>
          <cell r="I2946">
            <v>0</v>
          </cell>
        </row>
        <row r="2947">
          <cell r="F2947"/>
          <cell r="G2947"/>
          <cell r="H2947"/>
          <cell r="I2947">
            <v>0</v>
          </cell>
        </row>
        <row r="2948">
          <cell r="F2948"/>
          <cell r="G2948"/>
          <cell r="H2948"/>
          <cell r="I2948">
            <v>0</v>
          </cell>
        </row>
        <row r="2949">
          <cell r="F2949"/>
          <cell r="G2949"/>
          <cell r="H2949"/>
          <cell r="I2949">
            <v>0</v>
          </cell>
        </row>
        <row r="2950">
          <cell r="F2950"/>
          <cell r="G2950"/>
          <cell r="H2950"/>
          <cell r="I2950">
            <v>0</v>
          </cell>
        </row>
        <row r="2951">
          <cell r="F2951"/>
          <cell r="G2951"/>
          <cell r="H2951"/>
          <cell r="I2951">
            <v>0</v>
          </cell>
        </row>
        <row r="2952">
          <cell r="F2952"/>
          <cell r="G2952"/>
          <cell r="H2952"/>
          <cell r="I2952">
            <v>0</v>
          </cell>
        </row>
        <row r="2953">
          <cell r="F2953"/>
          <cell r="G2953"/>
          <cell r="H2953"/>
          <cell r="I2953">
            <v>0</v>
          </cell>
        </row>
        <row r="2954">
          <cell r="F2954"/>
          <cell r="G2954"/>
          <cell r="H2954"/>
          <cell r="I2954">
            <v>0</v>
          </cell>
        </row>
        <row r="2955">
          <cell r="F2955"/>
          <cell r="G2955"/>
          <cell r="H2955"/>
          <cell r="I2955">
            <v>0</v>
          </cell>
        </row>
        <row r="2956">
          <cell r="F2956"/>
          <cell r="G2956"/>
          <cell r="H2956"/>
          <cell r="I2956">
            <v>0</v>
          </cell>
        </row>
        <row r="2957">
          <cell r="F2957"/>
          <cell r="G2957"/>
          <cell r="H2957"/>
          <cell r="I2957">
            <v>0</v>
          </cell>
        </row>
        <row r="2958">
          <cell r="F2958"/>
          <cell r="G2958"/>
          <cell r="H2958"/>
          <cell r="I2958">
            <v>0</v>
          </cell>
        </row>
        <row r="2959">
          <cell r="F2959"/>
          <cell r="G2959"/>
          <cell r="H2959"/>
          <cell r="I2959">
            <v>0</v>
          </cell>
        </row>
        <row r="2960">
          <cell r="F2960"/>
          <cell r="G2960"/>
          <cell r="H2960"/>
          <cell r="I2960">
            <v>0</v>
          </cell>
        </row>
      </sheetData>
      <sheetData sheetId="4"/>
      <sheetData sheetId="5"/>
      <sheetData sheetId="6">
        <row r="5">
          <cell r="E5">
            <v>7409</v>
          </cell>
          <cell r="F5">
            <v>960</v>
          </cell>
          <cell r="G5">
            <v>1700</v>
          </cell>
          <cell r="H5">
            <v>6669</v>
          </cell>
          <cell r="I5"/>
        </row>
        <row r="6">
          <cell r="E6">
            <v>7100</v>
          </cell>
          <cell r="F6">
            <v>0</v>
          </cell>
          <cell r="G6">
            <v>0</v>
          </cell>
          <cell r="H6">
            <v>7100</v>
          </cell>
          <cell r="I6"/>
        </row>
        <row r="7">
          <cell r="E7">
            <v>3417</v>
          </cell>
          <cell r="F7">
            <v>2530</v>
          </cell>
          <cell r="G7">
            <v>1700</v>
          </cell>
          <cell r="H7">
            <v>4247</v>
          </cell>
          <cell r="I7"/>
        </row>
        <row r="8">
          <cell r="E8">
            <v>1280</v>
          </cell>
          <cell r="F8">
            <v>0</v>
          </cell>
          <cell r="G8">
            <v>0</v>
          </cell>
          <cell r="H8">
            <v>1280</v>
          </cell>
          <cell r="I8"/>
        </row>
        <row r="9">
          <cell r="E9">
            <v>6260</v>
          </cell>
          <cell r="F9">
            <v>580</v>
          </cell>
          <cell r="G9">
            <v>1700</v>
          </cell>
          <cell r="H9">
            <v>5140</v>
          </cell>
          <cell r="I9"/>
        </row>
        <row r="10">
          <cell r="E10">
            <v>6669</v>
          </cell>
          <cell r="F10">
            <v>2265</v>
          </cell>
          <cell r="G10">
            <v>965</v>
          </cell>
          <cell r="H10">
            <v>7969</v>
          </cell>
          <cell r="I10"/>
        </row>
        <row r="11">
          <cell r="E11">
            <v>7100</v>
          </cell>
          <cell r="F11">
            <v>0</v>
          </cell>
          <cell r="G11">
            <v>0</v>
          </cell>
          <cell r="H11">
            <v>7100</v>
          </cell>
          <cell r="I11"/>
        </row>
        <row r="12">
          <cell r="E12">
            <v>4247</v>
          </cell>
          <cell r="F12">
            <v>2810</v>
          </cell>
          <cell r="G12">
            <v>965</v>
          </cell>
          <cell r="H12">
            <v>6092</v>
          </cell>
          <cell r="I12"/>
        </row>
        <row r="13">
          <cell r="E13">
            <v>1280</v>
          </cell>
          <cell r="F13">
            <v>0</v>
          </cell>
          <cell r="G13">
            <v>0</v>
          </cell>
          <cell r="H13">
            <v>1280</v>
          </cell>
          <cell r="I13"/>
        </row>
        <row r="14">
          <cell r="E14">
            <v>5140</v>
          </cell>
          <cell r="F14">
            <v>800</v>
          </cell>
          <cell r="G14">
            <v>965</v>
          </cell>
          <cell r="H14">
            <v>4975</v>
          </cell>
          <cell r="I14"/>
        </row>
        <row r="15">
          <cell r="E15">
            <v>7969</v>
          </cell>
          <cell r="F15">
            <v>2350</v>
          </cell>
          <cell r="G15">
            <v>1417</v>
          </cell>
          <cell r="H15">
            <v>8902</v>
          </cell>
          <cell r="I15"/>
        </row>
        <row r="16">
          <cell r="E16">
            <v>7100</v>
          </cell>
          <cell r="F16">
            <v>0</v>
          </cell>
          <cell r="G16">
            <v>0</v>
          </cell>
          <cell r="H16">
            <v>7100</v>
          </cell>
          <cell r="I16"/>
        </row>
        <row r="17">
          <cell r="E17">
            <v>6092</v>
          </cell>
          <cell r="F17">
            <v>1960</v>
          </cell>
          <cell r="G17">
            <v>1417</v>
          </cell>
          <cell r="H17">
            <v>6635</v>
          </cell>
          <cell r="I17"/>
        </row>
        <row r="18">
          <cell r="E18">
            <v>1280</v>
          </cell>
          <cell r="F18">
            <v>0</v>
          </cell>
          <cell r="G18">
            <v>0</v>
          </cell>
          <cell r="H18">
            <v>1280</v>
          </cell>
          <cell r="I18"/>
        </row>
        <row r="19">
          <cell r="E19">
            <v>4975</v>
          </cell>
          <cell r="F19">
            <v>800</v>
          </cell>
          <cell r="G19">
            <v>1417</v>
          </cell>
          <cell r="H19">
            <v>4358</v>
          </cell>
          <cell r="I19"/>
        </row>
        <row r="20">
          <cell r="E20">
            <v>8902</v>
          </cell>
          <cell r="F20">
            <v>2084</v>
          </cell>
          <cell r="G20">
            <v>1700</v>
          </cell>
          <cell r="H20">
            <v>9286</v>
          </cell>
          <cell r="I20"/>
        </row>
        <row r="21">
          <cell r="E21">
            <v>7100</v>
          </cell>
          <cell r="F21">
            <v>0</v>
          </cell>
          <cell r="G21">
            <v>0</v>
          </cell>
          <cell r="H21">
            <v>7100</v>
          </cell>
          <cell r="I21"/>
        </row>
        <row r="22">
          <cell r="E22">
            <v>6635</v>
          </cell>
          <cell r="F22">
            <v>1740</v>
          </cell>
          <cell r="G22">
            <v>1700</v>
          </cell>
          <cell r="H22">
            <v>6675</v>
          </cell>
          <cell r="I22"/>
        </row>
        <row r="23">
          <cell r="E23">
            <v>1280</v>
          </cell>
          <cell r="F23">
            <v>0</v>
          </cell>
          <cell r="G23">
            <v>0</v>
          </cell>
          <cell r="H23">
            <v>1280</v>
          </cell>
          <cell r="I23"/>
        </row>
        <row r="24">
          <cell r="E24">
            <v>4358</v>
          </cell>
          <cell r="F24">
            <v>800</v>
          </cell>
          <cell r="G24">
            <v>1700</v>
          </cell>
          <cell r="H24">
            <v>3458</v>
          </cell>
          <cell r="I24"/>
        </row>
        <row r="25">
          <cell r="E25">
            <v>9286</v>
          </cell>
          <cell r="F25">
            <v>2355</v>
          </cell>
          <cell r="G25">
            <v>1000</v>
          </cell>
          <cell r="H25">
            <v>10641</v>
          </cell>
          <cell r="I25"/>
        </row>
        <row r="26">
          <cell r="E26">
            <v>7100</v>
          </cell>
          <cell r="F26">
            <v>0</v>
          </cell>
          <cell r="G26">
            <v>610</v>
          </cell>
          <cell r="H26">
            <v>6490</v>
          </cell>
          <cell r="I26"/>
        </row>
        <row r="27">
          <cell r="E27">
            <v>6675</v>
          </cell>
          <cell r="F27">
            <v>2360</v>
          </cell>
          <cell r="G27">
            <v>1610</v>
          </cell>
          <cell r="H27">
            <v>7425</v>
          </cell>
          <cell r="I27"/>
        </row>
        <row r="28">
          <cell r="E28">
            <v>1280</v>
          </cell>
          <cell r="F28">
            <v>0</v>
          </cell>
          <cell r="G28">
            <v>0</v>
          </cell>
          <cell r="H28">
            <v>1280</v>
          </cell>
          <cell r="I28"/>
        </row>
        <row r="29">
          <cell r="E29">
            <v>3458</v>
          </cell>
          <cell r="F29">
            <v>800</v>
          </cell>
          <cell r="G29">
            <v>1000</v>
          </cell>
          <cell r="H29">
            <v>3258</v>
          </cell>
          <cell r="I29"/>
        </row>
        <row r="30">
          <cell r="E30">
            <v>10400</v>
          </cell>
          <cell r="F30">
            <v>635</v>
          </cell>
          <cell r="G30">
            <v>0</v>
          </cell>
          <cell r="H30">
            <v>11035</v>
          </cell>
          <cell r="I30" t="str">
            <v>audit</v>
          </cell>
        </row>
        <row r="31">
          <cell r="E31">
            <v>6060</v>
          </cell>
          <cell r="F31">
            <v>1200</v>
          </cell>
          <cell r="G31">
            <v>1200</v>
          </cell>
          <cell r="H31">
            <v>6060</v>
          </cell>
          <cell r="I31"/>
        </row>
        <row r="32">
          <cell r="E32">
            <v>7490</v>
          </cell>
          <cell r="F32">
            <v>2165</v>
          </cell>
          <cell r="G32">
            <v>1200</v>
          </cell>
          <cell r="H32">
            <v>8455</v>
          </cell>
          <cell r="I32"/>
        </row>
        <row r="33">
          <cell r="E33">
            <v>1280</v>
          </cell>
          <cell r="F33">
            <v>0</v>
          </cell>
          <cell r="G33">
            <v>0</v>
          </cell>
          <cell r="H33">
            <v>1280</v>
          </cell>
          <cell r="I33"/>
        </row>
        <row r="34">
          <cell r="E34">
            <v>2580</v>
          </cell>
          <cell r="F34">
            <v>691</v>
          </cell>
          <cell r="G34">
            <v>0</v>
          </cell>
          <cell r="H34">
            <v>3271</v>
          </cell>
          <cell r="I34"/>
        </row>
        <row r="35">
          <cell r="E35"/>
          <cell r="F35"/>
          <cell r="G35"/>
          <cell r="H35">
            <v>0</v>
          </cell>
          <cell r="I35"/>
        </row>
        <row r="36">
          <cell r="E36"/>
          <cell r="F36"/>
          <cell r="G36"/>
          <cell r="H36">
            <v>0</v>
          </cell>
          <cell r="I36"/>
        </row>
        <row r="37">
          <cell r="E37"/>
          <cell r="F37"/>
          <cell r="G37"/>
          <cell r="H37">
            <v>0</v>
          </cell>
          <cell r="I37"/>
        </row>
        <row r="38">
          <cell r="E38"/>
          <cell r="F38"/>
          <cell r="G38"/>
          <cell r="H38">
            <v>0</v>
          </cell>
          <cell r="I38"/>
        </row>
        <row r="39">
          <cell r="E39"/>
          <cell r="F39"/>
          <cell r="G39"/>
          <cell r="H39">
            <v>0</v>
          </cell>
          <cell r="I39"/>
        </row>
        <row r="40">
          <cell r="E40">
            <v>11035</v>
          </cell>
          <cell r="F40">
            <v>0</v>
          </cell>
          <cell r="G40">
            <v>0</v>
          </cell>
          <cell r="H40">
            <v>11035</v>
          </cell>
          <cell r="I40"/>
        </row>
        <row r="41">
          <cell r="E41">
            <v>6060</v>
          </cell>
          <cell r="F41">
            <v>1824</v>
          </cell>
          <cell r="G41">
            <v>1400</v>
          </cell>
          <cell r="H41">
            <v>6484</v>
          </cell>
          <cell r="I41"/>
        </row>
        <row r="42">
          <cell r="E42">
            <v>8455</v>
          </cell>
          <cell r="F42">
            <v>3098</v>
          </cell>
          <cell r="G42">
            <v>1400</v>
          </cell>
          <cell r="H42">
            <v>10153</v>
          </cell>
          <cell r="I42"/>
        </row>
        <row r="43">
          <cell r="E43">
            <v>1280</v>
          </cell>
          <cell r="F43">
            <v>0</v>
          </cell>
          <cell r="G43">
            <v>0</v>
          </cell>
          <cell r="H43">
            <v>1280</v>
          </cell>
          <cell r="I43"/>
        </row>
        <row r="44">
          <cell r="E44">
            <v>3271</v>
          </cell>
          <cell r="F44">
            <v>706</v>
          </cell>
          <cell r="G44">
            <v>0</v>
          </cell>
          <cell r="H44">
            <v>3977</v>
          </cell>
          <cell r="I44"/>
        </row>
        <row r="45">
          <cell r="E45">
            <v>11035</v>
          </cell>
          <cell r="F45">
            <v>0</v>
          </cell>
          <cell r="G45">
            <v>0</v>
          </cell>
          <cell r="H45">
            <v>11035</v>
          </cell>
          <cell r="I45"/>
        </row>
        <row r="46">
          <cell r="E46">
            <v>6484</v>
          </cell>
          <cell r="F46">
            <v>2103</v>
          </cell>
          <cell r="G46">
            <v>1697</v>
          </cell>
          <cell r="H46">
            <v>6890</v>
          </cell>
          <cell r="I46"/>
        </row>
        <row r="47">
          <cell r="E47">
            <v>10153</v>
          </cell>
          <cell r="F47">
            <v>460</v>
          </cell>
          <cell r="G47">
            <v>1697</v>
          </cell>
          <cell r="H47">
            <v>8916</v>
          </cell>
          <cell r="I47"/>
        </row>
        <row r="48">
          <cell r="E48">
            <v>1280</v>
          </cell>
          <cell r="F48">
            <v>1280</v>
          </cell>
          <cell r="G48"/>
          <cell r="H48">
            <v>2560</v>
          </cell>
          <cell r="I48"/>
        </row>
        <row r="49">
          <cell r="E49">
            <v>3977</v>
          </cell>
          <cell r="F49">
            <v>755</v>
          </cell>
          <cell r="G49"/>
          <cell r="H49">
            <v>4732</v>
          </cell>
          <cell r="I49"/>
        </row>
        <row r="50">
          <cell r="E50"/>
          <cell r="F50"/>
          <cell r="G50"/>
          <cell r="H50">
            <v>0</v>
          </cell>
          <cell r="I50"/>
        </row>
        <row r="51">
          <cell r="E51"/>
          <cell r="F51"/>
          <cell r="G51"/>
          <cell r="H51">
            <v>0</v>
          </cell>
          <cell r="I51"/>
        </row>
        <row r="52">
          <cell r="E52"/>
          <cell r="F52"/>
          <cell r="G52"/>
          <cell r="H52">
            <v>0</v>
          </cell>
          <cell r="I52"/>
        </row>
        <row r="53">
          <cell r="E53"/>
          <cell r="F53"/>
          <cell r="G53"/>
          <cell r="H53">
            <v>0</v>
          </cell>
          <cell r="I53"/>
        </row>
        <row r="54">
          <cell r="E54"/>
          <cell r="F54"/>
          <cell r="G54"/>
          <cell r="H54">
            <v>0</v>
          </cell>
          <cell r="I54"/>
        </row>
        <row r="55">
          <cell r="E55"/>
          <cell r="F55"/>
          <cell r="G55"/>
          <cell r="H55">
            <v>0</v>
          </cell>
          <cell r="I55"/>
        </row>
        <row r="56">
          <cell r="E56"/>
          <cell r="F56"/>
          <cell r="G56"/>
          <cell r="H56">
            <v>0</v>
          </cell>
          <cell r="I56"/>
        </row>
        <row r="57">
          <cell r="E57"/>
          <cell r="F57"/>
          <cell r="G57"/>
          <cell r="H57">
            <v>0</v>
          </cell>
          <cell r="I57"/>
        </row>
        <row r="58">
          <cell r="E58"/>
          <cell r="F58"/>
          <cell r="G58"/>
          <cell r="H58">
            <v>0</v>
          </cell>
          <cell r="I58"/>
        </row>
        <row r="59">
          <cell r="E59"/>
          <cell r="F59"/>
          <cell r="G59"/>
          <cell r="H59">
            <v>0</v>
          </cell>
          <cell r="I59"/>
        </row>
        <row r="60">
          <cell r="E60"/>
          <cell r="F60"/>
          <cell r="G60"/>
          <cell r="H60">
            <v>0</v>
          </cell>
          <cell r="I60"/>
        </row>
        <row r="61">
          <cell r="E61"/>
          <cell r="F61"/>
          <cell r="G61"/>
          <cell r="H61">
            <v>0</v>
          </cell>
          <cell r="I61"/>
        </row>
        <row r="62">
          <cell r="E62"/>
          <cell r="F62"/>
          <cell r="G62"/>
          <cell r="H62">
            <v>0</v>
          </cell>
          <cell r="I62"/>
        </row>
        <row r="63">
          <cell r="E63"/>
          <cell r="F63"/>
          <cell r="G63"/>
          <cell r="H63">
            <v>0</v>
          </cell>
          <cell r="I63"/>
        </row>
        <row r="64">
          <cell r="E64"/>
          <cell r="F64"/>
          <cell r="G64"/>
          <cell r="H64">
            <v>0</v>
          </cell>
          <cell r="I64"/>
        </row>
        <row r="65">
          <cell r="E65"/>
          <cell r="F65"/>
          <cell r="G65"/>
          <cell r="H65">
            <v>0</v>
          </cell>
          <cell r="I65"/>
        </row>
        <row r="66">
          <cell r="E66"/>
          <cell r="F66"/>
          <cell r="G66"/>
          <cell r="H66">
            <v>0</v>
          </cell>
          <cell r="I66"/>
        </row>
        <row r="67">
          <cell r="E67"/>
          <cell r="F67"/>
          <cell r="G67"/>
          <cell r="H67">
            <v>0</v>
          </cell>
          <cell r="I67"/>
        </row>
        <row r="68">
          <cell r="E68"/>
          <cell r="F68"/>
          <cell r="G68"/>
          <cell r="H68">
            <v>0</v>
          </cell>
          <cell r="I68"/>
        </row>
        <row r="69">
          <cell r="E69"/>
          <cell r="F69"/>
          <cell r="G69"/>
          <cell r="H69">
            <v>0</v>
          </cell>
          <cell r="I69"/>
        </row>
        <row r="70">
          <cell r="E70"/>
          <cell r="F70"/>
          <cell r="G70"/>
          <cell r="H70">
            <v>0</v>
          </cell>
          <cell r="I70"/>
        </row>
        <row r="71">
          <cell r="E71"/>
          <cell r="F71"/>
          <cell r="G71"/>
          <cell r="H71">
            <v>0</v>
          </cell>
          <cell r="I71"/>
        </row>
        <row r="72">
          <cell r="E72"/>
          <cell r="F72"/>
          <cell r="G72"/>
          <cell r="H72">
            <v>0</v>
          </cell>
          <cell r="I72"/>
        </row>
        <row r="73">
          <cell r="E73"/>
          <cell r="F73"/>
          <cell r="G73"/>
          <cell r="H73">
            <v>0</v>
          </cell>
          <cell r="I73"/>
        </row>
        <row r="74">
          <cell r="E74"/>
          <cell r="F74"/>
          <cell r="G74"/>
          <cell r="H74">
            <v>0</v>
          </cell>
          <cell r="I74"/>
        </row>
        <row r="75">
          <cell r="E75"/>
          <cell r="F75"/>
          <cell r="G75"/>
          <cell r="H75">
            <v>0</v>
          </cell>
          <cell r="I75"/>
        </row>
        <row r="76">
          <cell r="E76"/>
          <cell r="F76"/>
          <cell r="G76"/>
          <cell r="H76">
            <v>0</v>
          </cell>
          <cell r="I76"/>
        </row>
        <row r="77">
          <cell r="E77"/>
          <cell r="F77"/>
          <cell r="G77"/>
          <cell r="H77">
            <v>0</v>
          </cell>
          <cell r="I77"/>
        </row>
        <row r="78">
          <cell r="E78"/>
          <cell r="F78"/>
          <cell r="G78"/>
          <cell r="H78">
            <v>0</v>
          </cell>
          <cell r="I78"/>
        </row>
        <row r="79">
          <cell r="E79"/>
          <cell r="F79"/>
          <cell r="G79"/>
          <cell r="H79">
            <v>0</v>
          </cell>
          <cell r="I79"/>
        </row>
        <row r="80">
          <cell r="E80"/>
          <cell r="F80"/>
          <cell r="G80"/>
          <cell r="H80">
            <v>0</v>
          </cell>
          <cell r="I80"/>
        </row>
        <row r="81">
          <cell r="E81"/>
          <cell r="F81"/>
          <cell r="G81"/>
          <cell r="H81">
            <v>0</v>
          </cell>
          <cell r="I81"/>
        </row>
        <row r="82">
          <cell r="E82"/>
          <cell r="F82"/>
          <cell r="G82"/>
          <cell r="H82">
            <v>0</v>
          </cell>
          <cell r="I82"/>
        </row>
        <row r="83">
          <cell r="E83"/>
          <cell r="F83"/>
          <cell r="G83"/>
          <cell r="H83">
            <v>0</v>
          </cell>
          <cell r="I83"/>
        </row>
        <row r="84">
          <cell r="E84"/>
          <cell r="F84"/>
          <cell r="G84"/>
          <cell r="H84">
            <v>0</v>
          </cell>
          <cell r="I84"/>
        </row>
        <row r="85">
          <cell r="E85"/>
          <cell r="F85"/>
          <cell r="G85"/>
          <cell r="H85">
            <v>0</v>
          </cell>
          <cell r="I85"/>
        </row>
        <row r="86">
          <cell r="E86"/>
          <cell r="F86"/>
          <cell r="G86"/>
          <cell r="H86">
            <v>0</v>
          </cell>
          <cell r="I86"/>
        </row>
        <row r="87">
          <cell r="E87"/>
          <cell r="F87"/>
          <cell r="G87"/>
          <cell r="H87">
            <v>0</v>
          </cell>
          <cell r="I87"/>
        </row>
        <row r="88">
          <cell r="E88"/>
          <cell r="F88"/>
          <cell r="G88"/>
          <cell r="H88">
            <v>0</v>
          </cell>
          <cell r="I88"/>
        </row>
        <row r="89">
          <cell r="E89"/>
          <cell r="F89"/>
          <cell r="G89"/>
          <cell r="H89">
            <v>0</v>
          </cell>
          <cell r="I89"/>
        </row>
        <row r="90">
          <cell r="E90"/>
          <cell r="F90"/>
          <cell r="G90"/>
          <cell r="H90">
            <v>0</v>
          </cell>
          <cell r="I90"/>
        </row>
        <row r="91">
          <cell r="E91"/>
          <cell r="F91"/>
          <cell r="G91"/>
          <cell r="H91">
            <v>0</v>
          </cell>
          <cell r="I91"/>
        </row>
        <row r="92">
          <cell r="E92"/>
          <cell r="F92"/>
          <cell r="G92"/>
          <cell r="H92">
            <v>0</v>
          </cell>
          <cell r="I92"/>
        </row>
        <row r="93">
          <cell r="E93"/>
          <cell r="F93"/>
          <cell r="G93"/>
          <cell r="H93">
            <v>0</v>
          </cell>
          <cell r="I93"/>
        </row>
        <row r="94">
          <cell r="E94"/>
          <cell r="F94"/>
          <cell r="G94"/>
          <cell r="H94">
            <v>0</v>
          </cell>
          <cell r="I94"/>
        </row>
        <row r="95">
          <cell r="E95"/>
          <cell r="F95"/>
          <cell r="G95"/>
          <cell r="H95">
            <v>0</v>
          </cell>
          <cell r="I95"/>
        </row>
        <row r="96">
          <cell r="E96"/>
          <cell r="F96"/>
          <cell r="G96"/>
          <cell r="H96">
            <v>0</v>
          </cell>
          <cell r="I96"/>
        </row>
        <row r="97">
          <cell r="E97"/>
          <cell r="F97"/>
          <cell r="G97"/>
          <cell r="H97">
            <v>0</v>
          </cell>
          <cell r="I97"/>
        </row>
        <row r="98">
          <cell r="E98"/>
          <cell r="F98"/>
          <cell r="G98"/>
          <cell r="H98">
            <v>0</v>
          </cell>
          <cell r="I98"/>
        </row>
        <row r="99">
          <cell r="E99"/>
          <cell r="F99"/>
          <cell r="G99"/>
          <cell r="H99">
            <v>0</v>
          </cell>
          <cell r="I99"/>
        </row>
        <row r="100">
          <cell r="E100"/>
          <cell r="F100"/>
          <cell r="G100"/>
          <cell r="H100">
            <v>0</v>
          </cell>
          <cell r="I100"/>
        </row>
        <row r="101">
          <cell r="E101"/>
          <cell r="F101"/>
          <cell r="G101"/>
          <cell r="H101">
            <v>0</v>
          </cell>
          <cell r="I101"/>
        </row>
        <row r="102">
          <cell r="E102"/>
          <cell r="F102"/>
          <cell r="G102"/>
          <cell r="H102">
            <v>0</v>
          </cell>
          <cell r="I102"/>
        </row>
        <row r="103">
          <cell r="E103"/>
          <cell r="F103"/>
          <cell r="G103"/>
          <cell r="H103">
            <v>0</v>
          </cell>
          <cell r="I103"/>
        </row>
        <row r="104">
          <cell r="E104"/>
          <cell r="F104"/>
          <cell r="G104"/>
          <cell r="H104">
            <v>0</v>
          </cell>
          <cell r="I104"/>
        </row>
        <row r="105">
          <cell r="E105"/>
          <cell r="F105"/>
          <cell r="G105"/>
          <cell r="H105">
            <v>0</v>
          </cell>
          <cell r="I105"/>
        </row>
        <row r="106">
          <cell r="E106"/>
          <cell r="F106"/>
          <cell r="G106"/>
          <cell r="H106">
            <v>0</v>
          </cell>
          <cell r="I106"/>
        </row>
        <row r="107">
          <cell r="E107"/>
          <cell r="F107"/>
          <cell r="G107"/>
          <cell r="H107">
            <v>0</v>
          </cell>
          <cell r="I107"/>
        </row>
        <row r="108">
          <cell r="E108"/>
          <cell r="F108"/>
          <cell r="G108"/>
          <cell r="H108">
            <v>0</v>
          </cell>
          <cell r="I108"/>
        </row>
        <row r="109">
          <cell r="E109"/>
          <cell r="F109"/>
          <cell r="G109"/>
          <cell r="H109">
            <v>0</v>
          </cell>
          <cell r="I109"/>
        </row>
        <row r="110">
          <cell r="E110"/>
          <cell r="F110"/>
          <cell r="G110"/>
          <cell r="H110">
            <v>0</v>
          </cell>
          <cell r="I110"/>
        </row>
        <row r="111">
          <cell r="E111"/>
          <cell r="F111"/>
          <cell r="G111"/>
          <cell r="H111">
            <v>0</v>
          </cell>
          <cell r="I111"/>
        </row>
        <row r="112">
          <cell r="E112"/>
          <cell r="F112"/>
          <cell r="G112"/>
          <cell r="H112">
            <v>0</v>
          </cell>
          <cell r="I112"/>
        </row>
        <row r="113">
          <cell r="E113"/>
          <cell r="F113"/>
          <cell r="G113"/>
          <cell r="H113">
            <v>0</v>
          </cell>
          <cell r="I113"/>
        </row>
        <row r="114">
          <cell r="E114"/>
          <cell r="F114"/>
          <cell r="G114"/>
          <cell r="H114">
            <v>0</v>
          </cell>
          <cell r="I114"/>
        </row>
        <row r="115">
          <cell r="E115"/>
          <cell r="F115"/>
          <cell r="G115"/>
          <cell r="H115">
            <v>0</v>
          </cell>
          <cell r="I115"/>
        </row>
        <row r="116">
          <cell r="E116"/>
          <cell r="F116"/>
          <cell r="G116"/>
          <cell r="H116">
            <v>0</v>
          </cell>
          <cell r="I116"/>
        </row>
        <row r="117">
          <cell r="E117"/>
          <cell r="F117"/>
          <cell r="G117"/>
          <cell r="H117">
            <v>0</v>
          </cell>
          <cell r="I117"/>
        </row>
        <row r="118">
          <cell r="E118"/>
          <cell r="F118"/>
          <cell r="G118"/>
          <cell r="H118">
            <v>0</v>
          </cell>
          <cell r="I118"/>
        </row>
        <row r="119">
          <cell r="E119"/>
          <cell r="F119"/>
          <cell r="G119"/>
          <cell r="H119">
            <v>0</v>
          </cell>
          <cell r="I119"/>
        </row>
        <row r="120">
          <cell r="E120"/>
          <cell r="F120"/>
          <cell r="G120"/>
          <cell r="H120">
            <v>0</v>
          </cell>
          <cell r="I120"/>
        </row>
        <row r="121">
          <cell r="E121"/>
          <cell r="F121"/>
          <cell r="G121"/>
          <cell r="H121">
            <v>0</v>
          </cell>
          <cell r="I121"/>
        </row>
        <row r="122">
          <cell r="E122"/>
          <cell r="F122"/>
          <cell r="G122"/>
          <cell r="H122">
            <v>0</v>
          </cell>
          <cell r="I122"/>
        </row>
        <row r="123">
          <cell r="E123"/>
          <cell r="F123"/>
          <cell r="G123"/>
          <cell r="H123">
            <v>0</v>
          </cell>
          <cell r="I123"/>
        </row>
        <row r="124">
          <cell r="E124"/>
          <cell r="F124"/>
          <cell r="G124"/>
          <cell r="H124">
            <v>0</v>
          </cell>
          <cell r="I124"/>
        </row>
        <row r="125">
          <cell r="E125"/>
          <cell r="F125"/>
          <cell r="G125"/>
          <cell r="H125">
            <v>0</v>
          </cell>
          <cell r="I125"/>
        </row>
        <row r="126">
          <cell r="E126"/>
          <cell r="F126"/>
          <cell r="G126"/>
          <cell r="H126">
            <v>0</v>
          </cell>
          <cell r="I126"/>
        </row>
        <row r="127">
          <cell r="E127"/>
          <cell r="F127"/>
          <cell r="G127"/>
          <cell r="H127">
            <v>0</v>
          </cell>
          <cell r="I127"/>
        </row>
        <row r="128">
          <cell r="E128"/>
          <cell r="F128"/>
          <cell r="G128"/>
          <cell r="H128">
            <v>0</v>
          </cell>
          <cell r="I128"/>
        </row>
        <row r="129">
          <cell r="E129"/>
          <cell r="F129"/>
          <cell r="G129"/>
          <cell r="H129">
            <v>0</v>
          </cell>
          <cell r="I129"/>
        </row>
        <row r="130">
          <cell r="E130"/>
          <cell r="F130"/>
          <cell r="G130"/>
          <cell r="H130">
            <v>0</v>
          </cell>
          <cell r="I130"/>
        </row>
        <row r="131">
          <cell r="E131"/>
          <cell r="F131"/>
          <cell r="G131"/>
          <cell r="H131">
            <v>0</v>
          </cell>
          <cell r="I131"/>
        </row>
        <row r="132">
          <cell r="E132"/>
          <cell r="F132"/>
          <cell r="G132"/>
          <cell r="H132">
            <v>0</v>
          </cell>
          <cell r="I132"/>
        </row>
        <row r="133">
          <cell r="E133"/>
          <cell r="F133"/>
          <cell r="G133"/>
          <cell r="H133">
            <v>0</v>
          </cell>
          <cell r="I133"/>
        </row>
        <row r="134">
          <cell r="E134"/>
          <cell r="F134"/>
          <cell r="G134"/>
          <cell r="H134">
            <v>0</v>
          </cell>
          <cell r="I134"/>
        </row>
        <row r="135">
          <cell r="E135"/>
          <cell r="F135"/>
          <cell r="G135"/>
          <cell r="H135">
            <v>0</v>
          </cell>
          <cell r="I135"/>
        </row>
        <row r="136">
          <cell r="E136"/>
          <cell r="F136"/>
          <cell r="G136"/>
          <cell r="H136">
            <v>0</v>
          </cell>
          <cell r="I136"/>
        </row>
        <row r="137">
          <cell r="E137"/>
          <cell r="F137"/>
          <cell r="G137"/>
          <cell r="H137">
            <v>0</v>
          </cell>
          <cell r="I137"/>
        </row>
        <row r="138">
          <cell r="E138"/>
          <cell r="F138"/>
          <cell r="G138"/>
          <cell r="H138">
            <v>0</v>
          </cell>
          <cell r="I138"/>
        </row>
        <row r="139">
          <cell r="E139"/>
          <cell r="F139"/>
          <cell r="G139"/>
          <cell r="H139">
            <v>0</v>
          </cell>
          <cell r="I139"/>
        </row>
        <row r="140">
          <cell r="E140"/>
          <cell r="F140"/>
          <cell r="G140"/>
          <cell r="H140">
            <v>0</v>
          </cell>
          <cell r="I140"/>
        </row>
        <row r="141">
          <cell r="E141"/>
          <cell r="F141"/>
          <cell r="G141"/>
          <cell r="H141">
            <v>0</v>
          </cell>
          <cell r="I141"/>
        </row>
        <row r="142">
          <cell r="E142"/>
          <cell r="F142"/>
          <cell r="G142"/>
          <cell r="H142">
            <v>0</v>
          </cell>
          <cell r="I142"/>
        </row>
        <row r="143">
          <cell r="E143"/>
          <cell r="F143"/>
          <cell r="G143"/>
          <cell r="H143">
            <v>0</v>
          </cell>
          <cell r="I143"/>
        </row>
        <row r="144">
          <cell r="E144"/>
          <cell r="F144"/>
          <cell r="G144"/>
          <cell r="H144">
            <v>0</v>
          </cell>
          <cell r="I144"/>
        </row>
        <row r="145">
          <cell r="E145"/>
          <cell r="F145"/>
          <cell r="G145"/>
          <cell r="H145">
            <v>0</v>
          </cell>
          <cell r="I145"/>
        </row>
        <row r="146">
          <cell r="E146"/>
          <cell r="F146"/>
          <cell r="G146"/>
          <cell r="H146">
            <v>0</v>
          </cell>
          <cell r="I146"/>
        </row>
        <row r="147">
          <cell r="E147"/>
          <cell r="F147"/>
          <cell r="G147"/>
          <cell r="H147">
            <v>0</v>
          </cell>
          <cell r="I147"/>
        </row>
        <row r="148">
          <cell r="E148"/>
          <cell r="F148"/>
          <cell r="G148"/>
          <cell r="H148">
            <v>0</v>
          </cell>
          <cell r="I148"/>
        </row>
        <row r="149">
          <cell r="E149"/>
          <cell r="F149"/>
          <cell r="G149"/>
          <cell r="H149">
            <v>0</v>
          </cell>
          <cell r="I149"/>
        </row>
        <row r="150">
          <cell r="E150"/>
          <cell r="F150"/>
          <cell r="G150"/>
          <cell r="H150">
            <v>0</v>
          </cell>
          <cell r="I150"/>
        </row>
        <row r="151">
          <cell r="E151"/>
          <cell r="F151"/>
          <cell r="G151"/>
          <cell r="H151">
            <v>0</v>
          </cell>
          <cell r="I151"/>
        </row>
        <row r="152">
          <cell r="E152"/>
          <cell r="F152"/>
          <cell r="G152"/>
          <cell r="H152">
            <v>0</v>
          </cell>
          <cell r="I152"/>
        </row>
        <row r="153">
          <cell r="E153"/>
          <cell r="F153"/>
          <cell r="G153"/>
          <cell r="H153">
            <v>0</v>
          </cell>
          <cell r="I153"/>
        </row>
        <row r="154">
          <cell r="E154"/>
          <cell r="F154"/>
          <cell r="G154"/>
          <cell r="H154">
            <v>0</v>
          </cell>
          <cell r="I154"/>
        </row>
        <row r="155">
          <cell r="E155"/>
          <cell r="F155"/>
          <cell r="G155"/>
          <cell r="H155">
            <v>0</v>
          </cell>
          <cell r="I155"/>
        </row>
        <row r="156">
          <cell r="E156"/>
          <cell r="F156"/>
          <cell r="G156"/>
          <cell r="H156">
            <v>0</v>
          </cell>
          <cell r="I156"/>
        </row>
        <row r="157">
          <cell r="E157"/>
          <cell r="F157"/>
          <cell r="G157"/>
          <cell r="H157">
            <v>0</v>
          </cell>
          <cell r="I157"/>
        </row>
        <row r="158">
          <cell r="E158"/>
          <cell r="F158"/>
          <cell r="G158"/>
          <cell r="H158">
            <v>0</v>
          </cell>
          <cell r="I158"/>
        </row>
        <row r="159">
          <cell r="E159"/>
          <cell r="F159"/>
          <cell r="G159"/>
          <cell r="H159">
            <v>0</v>
          </cell>
          <cell r="I159"/>
        </row>
        <row r="160">
          <cell r="E160"/>
          <cell r="F160"/>
          <cell r="G160"/>
          <cell r="H160">
            <v>0</v>
          </cell>
          <cell r="I160"/>
        </row>
        <row r="161">
          <cell r="E161"/>
          <cell r="F161"/>
          <cell r="G161"/>
          <cell r="H161">
            <v>0</v>
          </cell>
          <cell r="I161"/>
        </row>
        <row r="162">
          <cell r="E162"/>
          <cell r="F162"/>
          <cell r="G162"/>
          <cell r="H162">
            <v>0</v>
          </cell>
          <cell r="I162"/>
        </row>
        <row r="163">
          <cell r="E163"/>
          <cell r="F163"/>
          <cell r="G163"/>
          <cell r="H163">
            <v>0</v>
          </cell>
          <cell r="I163"/>
        </row>
        <row r="164">
          <cell r="E164"/>
          <cell r="F164"/>
          <cell r="G164"/>
          <cell r="H164">
            <v>0</v>
          </cell>
          <cell r="I164"/>
        </row>
        <row r="165">
          <cell r="E165"/>
          <cell r="F165"/>
          <cell r="G165"/>
          <cell r="H165">
            <v>0</v>
          </cell>
          <cell r="I165"/>
        </row>
        <row r="166">
          <cell r="E166"/>
          <cell r="F166"/>
          <cell r="G166"/>
          <cell r="H166">
            <v>0</v>
          </cell>
          <cell r="I166"/>
        </row>
        <row r="167">
          <cell r="E167"/>
          <cell r="F167"/>
          <cell r="G167"/>
          <cell r="H167">
            <v>0</v>
          </cell>
          <cell r="I167"/>
        </row>
        <row r="168">
          <cell r="E168"/>
          <cell r="F168"/>
          <cell r="G168"/>
          <cell r="H168">
            <v>0</v>
          </cell>
          <cell r="I168"/>
        </row>
        <row r="169">
          <cell r="E169"/>
          <cell r="F169"/>
          <cell r="G169"/>
          <cell r="H169">
            <v>0</v>
          </cell>
          <cell r="I169"/>
        </row>
        <row r="170">
          <cell r="E170"/>
          <cell r="F170"/>
          <cell r="G170"/>
          <cell r="H170">
            <v>0</v>
          </cell>
          <cell r="I170"/>
        </row>
        <row r="171">
          <cell r="E171"/>
          <cell r="F171"/>
          <cell r="G171"/>
          <cell r="H171">
            <v>0</v>
          </cell>
          <cell r="I171"/>
        </row>
        <row r="172">
          <cell r="E172"/>
          <cell r="F172"/>
          <cell r="G172"/>
          <cell r="H172">
            <v>0</v>
          </cell>
          <cell r="I172"/>
        </row>
        <row r="173">
          <cell r="E173"/>
          <cell r="F173"/>
          <cell r="G173"/>
          <cell r="H173">
            <v>0</v>
          </cell>
          <cell r="I173"/>
        </row>
        <row r="174">
          <cell r="E174"/>
          <cell r="F174"/>
          <cell r="G174"/>
          <cell r="H174">
            <v>0</v>
          </cell>
          <cell r="I174"/>
        </row>
        <row r="175">
          <cell r="E175"/>
          <cell r="F175"/>
          <cell r="G175"/>
          <cell r="H175">
            <v>0</v>
          </cell>
          <cell r="I175"/>
        </row>
        <row r="176">
          <cell r="E176"/>
          <cell r="F176"/>
          <cell r="G176"/>
          <cell r="H176">
            <v>0</v>
          </cell>
          <cell r="I176"/>
        </row>
        <row r="177">
          <cell r="E177"/>
          <cell r="F177"/>
          <cell r="G177"/>
          <cell r="H177">
            <v>0</v>
          </cell>
          <cell r="I177"/>
        </row>
        <row r="178">
          <cell r="E178"/>
          <cell r="F178"/>
          <cell r="G178"/>
          <cell r="H178">
            <v>0</v>
          </cell>
          <cell r="I178"/>
        </row>
        <row r="179">
          <cell r="E179"/>
          <cell r="F179"/>
          <cell r="G179"/>
          <cell r="H179">
            <v>0</v>
          </cell>
          <cell r="I179"/>
        </row>
        <row r="180">
          <cell r="E180"/>
          <cell r="F180"/>
          <cell r="G180"/>
          <cell r="H180">
            <v>0</v>
          </cell>
          <cell r="I180"/>
        </row>
        <row r="181">
          <cell r="E181"/>
          <cell r="F181"/>
          <cell r="G181"/>
          <cell r="H181">
            <v>0</v>
          </cell>
          <cell r="I181"/>
        </row>
        <row r="182">
          <cell r="E182"/>
          <cell r="F182"/>
          <cell r="G182"/>
          <cell r="H182">
            <v>0</v>
          </cell>
          <cell r="I182"/>
        </row>
        <row r="183">
          <cell r="E183"/>
          <cell r="F183"/>
          <cell r="G183"/>
          <cell r="H183">
            <v>0</v>
          </cell>
          <cell r="I183"/>
        </row>
        <row r="184">
          <cell r="E184"/>
          <cell r="F184"/>
          <cell r="G184"/>
          <cell r="H184">
            <v>0</v>
          </cell>
          <cell r="I184"/>
        </row>
        <row r="185">
          <cell r="E185"/>
          <cell r="F185"/>
          <cell r="G185"/>
          <cell r="H185">
            <v>0</v>
          </cell>
          <cell r="I185"/>
        </row>
        <row r="186">
          <cell r="E186"/>
          <cell r="F186"/>
          <cell r="G186"/>
          <cell r="H186">
            <v>0</v>
          </cell>
          <cell r="I186"/>
        </row>
        <row r="187">
          <cell r="E187"/>
          <cell r="F187"/>
          <cell r="G187"/>
          <cell r="H187">
            <v>0</v>
          </cell>
          <cell r="I187"/>
        </row>
        <row r="188">
          <cell r="E188"/>
          <cell r="F188"/>
          <cell r="G188"/>
          <cell r="H188">
            <v>0</v>
          </cell>
          <cell r="I188"/>
        </row>
        <row r="189">
          <cell r="E189"/>
          <cell r="F189"/>
          <cell r="G189"/>
          <cell r="H189">
            <v>0</v>
          </cell>
          <cell r="I189"/>
        </row>
        <row r="190">
          <cell r="E190"/>
          <cell r="F190"/>
          <cell r="G190"/>
          <cell r="H190">
            <v>0</v>
          </cell>
          <cell r="I190"/>
        </row>
        <row r="191">
          <cell r="E191"/>
          <cell r="F191"/>
          <cell r="G191"/>
          <cell r="H191">
            <v>0</v>
          </cell>
          <cell r="I191"/>
        </row>
        <row r="192">
          <cell r="E192"/>
          <cell r="F192"/>
          <cell r="G192"/>
          <cell r="H192">
            <v>0</v>
          </cell>
          <cell r="I192"/>
        </row>
        <row r="193">
          <cell r="E193"/>
          <cell r="F193"/>
          <cell r="G193"/>
          <cell r="H193">
            <v>0</v>
          </cell>
          <cell r="I193"/>
        </row>
        <row r="194">
          <cell r="E194"/>
          <cell r="F194"/>
          <cell r="G194"/>
          <cell r="H194">
            <v>0</v>
          </cell>
          <cell r="I194"/>
        </row>
        <row r="195">
          <cell r="E195"/>
          <cell r="F195"/>
          <cell r="G195"/>
          <cell r="H195">
            <v>0</v>
          </cell>
          <cell r="I195"/>
        </row>
        <row r="196">
          <cell r="E196"/>
          <cell r="F196"/>
          <cell r="G196"/>
          <cell r="H196">
            <v>0</v>
          </cell>
          <cell r="I196"/>
        </row>
        <row r="197">
          <cell r="E197"/>
          <cell r="F197"/>
          <cell r="G197"/>
          <cell r="H197">
            <v>0</v>
          </cell>
          <cell r="I197"/>
        </row>
        <row r="198">
          <cell r="E198"/>
          <cell r="F198"/>
          <cell r="G198"/>
          <cell r="H198">
            <v>0</v>
          </cell>
          <cell r="I198"/>
        </row>
        <row r="199">
          <cell r="E199"/>
          <cell r="F199"/>
          <cell r="G199"/>
          <cell r="H199">
            <v>0</v>
          </cell>
          <cell r="I199"/>
        </row>
        <row r="200">
          <cell r="E200"/>
          <cell r="F200"/>
          <cell r="G200"/>
          <cell r="H200">
            <v>0</v>
          </cell>
          <cell r="I200"/>
        </row>
        <row r="201">
          <cell r="E201"/>
          <cell r="F201"/>
          <cell r="G201"/>
          <cell r="H201">
            <v>0</v>
          </cell>
          <cell r="I201"/>
        </row>
        <row r="202">
          <cell r="E202"/>
          <cell r="F202"/>
          <cell r="G202"/>
          <cell r="H202">
            <v>0</v>
          </cell>
          <cell r="I202"/>
        </row>
        <row r="203">
          <cell r="E203"/>
          <cell r="F203"/>
          <cell r="G203"/>
          <cell r="H203">
            <v>0</v>
          </cell>
          <cell r="I203"/>
        </row>
        <row r="204">
          <cell r="E204"/>
          <cell r="F204"/>
          <cell r="G204"/>
          <cell r="H204">
            <v>0</v>
          </cell>
          <cell r="I204"/>
        </row>
        <row r="205">
          <cell r="E205"/>
          <cell r="F205"/>
          <cell r="G205"/>
          <cell r="H205">
            <v>0</v>
          </cell>
          <cell r="I205"/>
        </row>
        <row r="206">
          <cell r="E206"/>
          <cell r="F206"/>
          <cell r="G206"/>
          <cell r="H206">
            <v>0</v>
          </cell>
          <cell r="I206"/>
        </row>
        <row r="207">
          <cell r="E207"/>
          <cell r="F207"/>
          <cell r="G207"/>
          <cell r="H207">
            <v>0</v>
          </cell>
          <cell r="I207"/>
        </row>
        <row r="208">
          <cell r="E208"/>
          <cell r="F208"/>
          <cell r="G208"/>
          <cell r="H208">
            <v>0</v>
          </cell>
          <cell r="I208"/>
        </row>
        <row r="209">
          <cell r="E209"/>
          <cell r="F209"/>
          <cell r="G209"/>
          <cell r="H209">
            <v>0</v>
          </cell>
          <cell r="I209"/>
        </row>
        <row r="210">
          <cell r="E210"/>
          <cell r="F210"/>
          <cell r="G210"/>
          <cell r="H210">
            <v>0</v>
          </cell>
          <cell r="I210"/>
        </row>
        <row r="211">
          <cell r="E211"/>
          <cell r="F211"/>
          <cell r="G211"/>
          <cell r="H211">
            <v>0</v>
          </cell>
          <cell r="I211"/>
        </row>
        <row r="212">
          <cell r="E212"/>
          <cell r="F212"/>
          <cell r="G212"/>
          <cell r="H212">
            <v>0</v>
          </cell>
          <cell r="I212"/>
        </row>
        <row r="213">
          <cell r="E213"/>
          <cell r="F213"/>
          <cell r="G213"/>
          <cell r="H213">
            <v>0</v>
          </cell>
          <cell r="I213"/>
        </row>
        <row r="214">
          <cell r="E214"/>
          <cell r="F214"/>
          <cell r="G214"/>
          <cell r="H214">
            <v>0</v>
          </cell>
          <cell r="I214"/>
        </row>
        <row r="215">
          <cell r="E215"/>
          <cell r="F215"/>
          <cell r="G215"/>
          <cell r="H215">
            <v>0</v>
          </cell>
          <cell r="I215"/>
        </row>
        <row r="216">
          <cell r="E216"/>
          <cell r="F216"/>
          <cell r="G216"/>
          <cell r="H216">
            <v>0</v>
          </cell>
          <cell r="I216"/>
        </row>
        <row r="217">
          <cell r="E217"/>
          <cell r="F217"/>
          <cell r="G217"/>
          <cell r="H217">
            <v>0</v>
          </cell>
          <cell r="I217"/>
        </row>
        <row r="218">
          <cell r="E218"/>
          <cell r="F218"/>
          <cell r="G218"/>
          <cell r="H218">
            <v>0</v>
          </cell>
          <cell r="I218"/>
        </row>
        <row r="219">
          <cell r="E219"/>
          <cell r="F219"/>
          <cell r="G219"/>
          <cell r="H219">
            <v>0</v>
          </cell>
          <cell r="I219"/>
        </row>
        <row r="220">
          <cell r="E220"/>
          <cell r="F220"/>
          <cell r="G220"/>
          <cell r="H220">
            <v>0</v>
          </cell>
          <cell r="I220"/>
        </row>
        <row r="221">
          <cell r="E221"/>
          <cell r="F221"/>
          <cell r="G221"/>
          <cell r="H221">
            <v>0</v>
          </cell>
          <cell r="I221"/>
        </row>
        <row r="222">
          <cell r="E222"/>
          <cell r="F222"/>
          <cell r="G222"/>
          <cell r="H222">
            <v>0</v>
          </cell>
          <cell r="I222"/>
        </row>
        <row r="223">
          <cell r="E223"/>
          <cell r="F223"/>
          <cell r="G223"/>
          <cell r="H223">
            <v>0</v>
          </cell>
          <cell r="I223"/>
        </row>
        <row r="224">
          <cell r="E224"/>
          <cell r="F224"/>
          <cell r="G224"/>
          <cell r="H224">
            <v>0</v>
          </cell>
          <cell r="I224"/>
        </row>
        <row r="225">
          <cell r="E225"/>
          <cell r="F225"/>
          <cell r="G225"/>
          <cell r="H225">
            <v>0</v>
          </cell>
          <cell r="I225"/>
        </row>
        <row r="226">
          <cell r="E226"/>
          <cell r="F226"/>
          <cell r="G226"/>
          <cell r="H226">
            <v>0</v>
          </cell>
          <cell r="I226"/>
        </row>
        <row r="227">
          <cell r="E227"/>
          <cell r="F227"/>
          <cell r="G227"/>
          <cell r="H227">
            <v>0</v>
          </cell>
          <cell r="I227"/>
        </row>
        <row r="228">
          <cell r="E228"/>
          <cell r="F228"/>
          <cell r="G228"/>
          <cell r="H228">
            <v>0</v>
          </cell>
          <cell r="I228"/>
        </row>
        <row r="229">
          <cell r="E229"/>
          <cell r="F229"/>
          <cell r="G229"/>
          <cell r="H229">
            <v>0</v>
          </cell>
          <cell r="I229"/>
        </row>
        <row r="230">
          <cell r="E230"/>
          <cell r="F230"/>
          <cell r="G230"/>
          <cell r="H230">
            <v>0</v>
          </cell>
          <cell r="I230"/>
        </row>
        <row r="231">
          <cell r="E231"/>
          <cell r="F231"/>
          <cell r="G231"/>
          <cell r="H231">
            <v>0</v>
          </cell>
          <cell r="I231"/>
        </row>
        <row r="232">
          <cell r="E232"/>
          <cell r="F232"/>
          <cell r="G232"/>
          <cell r="H232">
            <v>0</v>
          </cell>
          <cell r="I232"/>
        </row>
        <row r="233">
          <cell r="E233"/>
          <cell r="F233"/>
          <cell r="G233"/>
          <cell r="H233">
            <v>0</v>
          </cell>
          <cell r="I233"/>
        </row>
        <row r="234">
          <cell r="E234"/>
          <cell r="F234"/>
          <cell r="G234"/>
          <cell r="H234">
            <v>0</v>
          </cell>
          <cell r="I234"/>
        </row>
        <row r="235">
          <cell r="E235"/>
          <cell r="F235"/>
          <cell r="G235"/>
          <cell r="H235">
            <v>0</v>
          </cell>
          <cell r="I235"/>
        </row>
        <row r="236">
          <cell r="E236"/>
          <cell r="F236"/>
          <cell r="G236"/>
          <cell r="H236">
            <v>0</v>
          </cell>
          <cell r="I236"/>
        </row>
        <row r="237">
          <cell r="E237"/>
          <cell r="F237"/>
          <cell r="G237"/>
          <cell r="H237">
            <v>0</v>
          </cell>
          <cell r="I237"/>
        </row>
        <row r="238">
          <cell r="E238"/>
          <cell r="F238"/>
          <cell r="G238"/>
          <cell r="H238">
            <v>0</v>
          </cell>
          <cell r="I238"/>
        </row>
        <row r="239">
          <cell r="E239"/>
          <cell r="F239"/>
          <cell r="G239"/>
          <cell r="H239">
            <v>0</v>
          </cell>
          <cell r="I239"/>
        </row>
        <row r="240">
          <cell r="E240"/>
          <cell r="F240"/>
          <cell r="G240"/>
          <cell r="H240">
            <v>0</v>
          </cell>
          <cell r="I240"/>
        </row>
        <row r="241">
          <cell r="E241"/>
          <cell r="F241"/>
          <cell r="G241"/>
          <cell r="H241">
            <v>0</v>
          </cell>
          <cell r="I241"/>
        </row>
        <row r="242">
          <cell r="E242"/>
          <cell r="F242"/>
          <cell r="G242"/>
          <cell r="H242">
            <v>0</v>
          </cell>
          <cell r="I242"/>
        </row>
        <row r="243">
          <cell r="E243"/>
          <cell r="F243"/>
          <cell r="G243"/>
          <cell r="H243">
            <v>0</v>
          </cell>
          <cell r="I243"/>
        </row>
        <row r="244">
          <cell r="E244"/>
          <cell r="F244"/>
          <cell r="G244"/>
          <cell r="H244">
            <v>0</v>
          </cell>
          <cell r="I244"/>
        </row>
        <row r="245">
          <cell r="E245"/>
          <cell r="F245"/>
          <cell r="G245"/>
          <cell r="H245">
            <v>0</v>
          </cell>
          <cell r="I245"/>
        </row>
        <row r="246">
          <cell r="E246"/>
          <cell r="F246"/>
          <cell r="G246"/>
          <cell r="H246">
            <v>0</v>
          </cell>
          <cell r="I246"/>
        </row>
        <row r="247">
          <cell r="E247"/>
          <cell r="F247"/>
          <cell r="G247"/>
          <cell r="H247">
            <v>0</v>
          </cell>
          <cell r="I247"/>
        </row>
        <row r="248">
          <cell r="E248"/>
          <cell r="F248"/>
          <cell r="G248"/>
          <cell r="H248">
            <v>0</v>
          </cell>
          <cell r="I248"/>
        </row>
        <row r="249">
          <cell r="E249"/>
          <cell r="F249"/>
          <cell r="G249"/>
          <cell r="H249">
            <v>0</v>
          </cell>
          <cell r="I249"/>
        </row>
        <row r="250">
          <cell r="E250"/>
          <cell r="F250"/>
          <cell r="G250"/>
          <cell r="H250">
            <v>0</v>
          </cell>
          <cell r="I250"/>
        </row>
        <row r="251">
          <cell r="E251"/>
          <cell r="F251"/>
          <cell r="G251"/>
          <cell r="H251">
            <v>0</v>
          </cell>
          <cell r="I251"/>
        </row>
        <row r="252">
          <cell r="E252"/>
          <cell r="F252"/>
          <cell r="G252"/>
          <cell r="H252">
            <v>0</v>
          </cell>
          <cell r="I252"/>
        </row>
        <row r="253">
          <cell r="E253"/>
          <cell r="F253"/>
          <cell r="G253"/>
          <cell r="H253">
            <v>0</v>
          </cell>
          <cell r="I253"/>
        </row>
        <row r="254">
          <cell r="E254"/>
          <cell r="F254"/>
          <cell r="G254"/>
          <cell r="H254">
            <v>0</v>
          </cell>
          <cell r="I254"/>
        </row>
        <row r="255">
          <cell r="E255"/>
          <cell r="F255"/>
          <cell r="G255"/>
          <cell r="H255">
            <v>0</v>
          </cell>
          <cell r="I255"/>
        </row>
        <row r="256">
          <cell r="E256"/>
          <cell r="F256"/>
          <cell r="G256"/>
          <cell r="H256">
            <v>0</v>
          </cell>
          <cell r="I256"/>
        </row>
        <row r="257">
          <cell r="E257"/>
          <cell r="F257"/>
          <cell r="G257"/>
          <cell r="H257">
            <v>0</v>
          </cell>
          <cell r="I257"/>
        </row>
        <row r="258">
          <cell r="E258"/>
          <cell r="F258"/>
          <cell r="G258"/>
          <cell r="H258">
            <v>0</v>
          </cell>
          <cell r="I258"/>
        </row>
        <row r="259">
          <cell r="E259"/>
          <cell r="F259"/>
          <cell r="G259"/>
          <cell r="H259">
            <v>0</v>
          </cell>
          <cell r="I259"/>
        </row>
        <row r="260">
          <cell r="E260"/>
          <cell r="F260"/>
          <cell r="G260"/>
          <cell r="H260">
            <v>0</v>
          </cell>
          <cell r="I260"/>
        </row>
        <row r="261">
          <cell r="E261"/>
          <cell r="F261"/>
          <cell r="G261"/>
          <cell r="H261">
            <v>0</v>
          </cell>
          <cell r="I261"/>
        </row>
        <row r="262">
          <cell r="E262"/>
          <cell r="F262"/>
          <cell r="G262"/>
          <cell r="H262">
            <v>0</v>
          </cell>
          <cell r="I262"/>
        </row>
        <row r="263">
          <cell r="E263"/>
          <cell r="F263"/>
          <cell r="G263"/>
          <cell r="H263">
            <v>0</v>
          </cell>
          <cell r="I263"/>
        </row>
        <row r="264">
          <cell r="E264"/>
          <cell r="F264"/>
          <cell r="G264"/>
          <cell r="H264">
            <v>0</v>
          </cell>
          <cell r="I264"/>
        </row>
        <row r="265">
          <cell r="E265"/>
          <cell r="F265"/>
          <cell r="G265"/>
          <cell r="H265">
            <v>0</v>
          </cell>
          <cell r="I265"/>
        </row>
        <row r="266">
          <cell r="E266"/>
          <cell r="F266"/>
          <cell r="G266"/>
          <cell r="H266">
            <v>0</v>
          </cell>
          <cell r="I266"/>
        </row>
        <row r="267">
          <cell r="E267"/>
          <cell r="F267"/>
          <cell r="G267"/>
          <cell r="H267">
            <v>0</v>
          </cell>
          <cell r="I267"/>
        </row>
        <row r="268">
          <cell r="E268"/>
          <cell r="F268"/>
          <cell r="G268"/>
          <cell r="H268">
            <v>0</v>
          </cell>
          <cell r="I268"/>
        </row>
        <row r="269">
          <cell r="E269"/>
          <cell r="F269"/>
          <cell r="G269"/>
          <cell r="H269">
            <v>0</v>
          </cell>
          <cell r="I269"/>
        </row>
        <row r="270">
          <cell r="E270"/>
          <cell r="F270"/>
          <cell r="G270"/>
          <cell r="H270">
            <v>0</v>
          </cell>
          <cell r="I270"/>
        </row>
        <row r="271">
          <cell r="E271"/>
          <cell r="F271"/>
          <cell r="G271"/>
          <cell r="H271">
            <v>0</v>
          </cell>
          <cell r="I271"/>
        </row>
        <row r="272">
          <cell r="E272"/>
          <cell r="F272"/>
          <cell r="G272"/>
          <cell r="H272">
            <v>0</v>
          </cell>
          <cell r="I272"/>
        </row>
        <row r="273">
          <cell r="E273"/>
          <cell r="F273"/>
          <cell r="G273"/>
          <cell r="H273">
            <v>0</v>
          </cell>
          <cell r="I273"/>
        </row>
        <row r="274">
          <cell r="E274"/>
          <cell r="F274"/>
          <cell r="G274"/>
          <cell r="H274">
            <v>0</v>
          </cell>
          <cell r="I274"/>
        </row>
        <row r="275">
          <cell r="E275"/>
          <cell r="F275"/>
          <cell r="G275"/>
          <cell r="H275">
            <v>0</v>
          </cell>
          <cell r="I275"/>
        </row>
        <row r="276">
          <cell r="E276"/>
          <cell r="F276"/>
          <cell r="G276"/>
          <cell r="H276">
            <v>0</v>
          </cell>
          <cell r="I276"/>
        </row>
        <row r="277">
          <cell r="E277"/>
          <cell r="F277"/>
          <cell r="G277"/>
          <cell r="H277">
            <v>0</v>
          </cell>
          <cell r="I277"/>
        </row>
        <row r="278">
          <cell r="E278"/>
          <cell r="F278"/>
          <cell r="G278"/>
          <cell r="H278">
            <v>0</v>
          </cell>
          <cell r="I278"/>
        </row>
        <row r="279">
          <cell r="E279"/>
          <cell r="F279"/>
          <cell r="G279"/>
          <cell r="H279">
            <v>0</v>
          </cell>
          <cell r="I279"/>
        </row>
        <row r="280">
          <cell r="E280"/>
          <cell r="F280"/>
          <cell r="G280"/>
          <cell r="H280">
            <v>0</v>
          </cell>
          <cell r="I280"/>
        </row>
        <row r="281">
          <cell r="E281"/>
          <cell r="F281"/>
          <cell r="G281"/>
          <cell r="H281">
            <v>0</v>
          </cell>
          <cell r="I281"/>
        </row>
        <row r="282">
          <cell r="E282"/>
          <cell r="F282"/>
          <cell r="G282"/>
          <cell r="H282">
            <v>0</v>
          </cell>
          <cell r="I282"/>
        </row>
        <row r="283">
          <cell r="E283"/>
          <cell r="F283"/>
          <cell r="G283"/>
          <cell r="H283">
            <v>0</v>
          </cell>
          <cell r="I283"/>
        </row>
        <row r="284">
          <cell r="E284"/>
          <cell r="F284"/>
          <cell r="G284"/>
          <cell r="H284">
            <v>0</v>
          </cell>
          <cell r="I284"/>
        </row>
        <row r="285">
          <cell r="E285"/>
          <cell r="F285"/>
          <cell r="G285"/>
          <cell r="H285">
            <v>0</v>
          </cell>
          <cell r="I285"/>
        </row>
        <row r="286">
          <cell r="E286"/>
          <cell r="F286"/>
          <cell r="G286"/>
          <cell r="H286">
            <v>0</v>
          </cell>
          <cell r="I286"/>
        </row>
        <row r="287">
          <cell r="E287"/>
          <cell r="F287"/>
          <cell r="G287"/>
          <cell r="H287">
            <v>0</v>
          </cell>
          <cell r="I287"/>
        </row>
        <row r="288">
          <cell r="E288"/>
          <cell r="F288"/>
          <cell r="G288"/>
          <cell r="H288">
            <v>0</v>
          </cell>
          <cell r="I288"/>
        </row>
        <row r="289">
          <cell r="E289"/>
          <cell r="F289"/>
          <cell r="G289"/>
          <cell r="H289">
            <v>0</v>
          </cell>
          <cell r="I289"/>
        </row>
        <row r="290">
          <cell r="E290"/>
          <cell r="F290"/>
          <cell r="G290"/>
          <cell r="H290">
            <v>0</v>
          </cell>
          <cell r="I290"/>
        </row>
        <row r="291">
          <cell r="E291"/>
          <cell r="F291"/>
          <cell r="G291"/>
          <cell r="H291">
            <v>0</v>
          </cell>
          <cell r="I291"/>
        </row>
        <row r="292">
          <cell r="E292"/>
          <cell r="F292"/>
          <cell r="G292"/>
          <cell r="H292">
            <v>0</v>
          </cell>
          <cell r="I292"/>
        </row>
        <row r="293">
          <cell r="E293"/>
          <cell r="F293"/>
          <cell r="G293"/>
          <cell r="H293">
            <v>0</v>
          </cell>
          <cell r="I293"/>
        </row>
        <row r="294">
          <cell r="E294"/>
          <cell r="F294"/>
          <cell r="G294"/>
          <cell r="H294">
            <v>0</v>
          </cell>
          <cell r="I294"/>
        </row>
        <row r="295">
          <cell r="E295"/>
          <cell r="F295"/>
          <cell r="G295"/>
          <cell r="H295">
            <v>0</v>
          </cell>
          <cell r="I295"/>
        </row>
        <row r="296">
          <cell r="E296"/>
          <cell r="F296"/>
          <cell r="G296"/>
          <cell r="H296">
            <v>0</v>
          </cell>
          <cell r="I296"/>
        </row>
        <row r="297">
          <cell r="E297"/>
          <cell r="F297"/>
          <cell r="G297"/>
          <cell r="H297">
            <v>0</v>
          </cell>
          <cell r="I297"/>
        </row>
        <row r="298">
          <cell r="E298"/>
          <cell r="F298"/>
          <cell r="G298"/>
          <cell r="H298">
            <v>0</v>
          </cell>
          <cell r="I298"/>
        </row>
        <row r="299">
          <cell r="E299"/>
          <cell r="F299"/>
          <cell r="G299"/>
          <cell r="H299">
            <v>0</v>
          </cell>
          <cell r="I299"/>
        </row>
        <row r="300">
          <cell r="E300"/>
          <cell r="F300"/>
          <cell r="G300"/>
          <cell r="H300">
            <v>0</v>
          </cell>
          <cell r="I300"/>
        </row>
        <row r="301">
          <cell r="E301"/>
          <cell r="F301"/>
          <cell r="G301"/>
          <cell r="H301">
            <v>0</v>
          </cell>
          <cell r="I301"/>
        </row>
        <row r="302">
          <cell r="E302"/>
          <cell r="F302"/>
          <cell r="G302"/>
          <cell r="H302">
            <v>0</v>
          </cell>
          <cell r="I302"/>
        </row>
        <row r="303">
          <cell r="E303"/>
          <cell r="F303"/>
          <cell r="G303"/>
          <cell r="H303">
            <v>0</v>
          </cell>
          <cell r="I303"/>
        </row>
        <row r="304">
          <cell r="E304"/>
          <cell r="F304"/>
          <cell r="G304"/>
          <cell r="H304">
            <v>0</v>
          </cell>
          <cell r="I304"/>
        </row>
        <row r="305">
          <cell r="E305"/>
          <cell r="F305"/>
          <cell r="G305"/>
          <cell r="H305">
            <v>0</v>
          </cell>
          <cell r="I305"/>
        </row>
        <row r="306">
          <cell r="E306"/>
          <cell r="F306"/>
          <cell r="G306"/>
          <cell r="H306">
            <v>0</v>
          </cell>
          <cell r="I306"/>
        </row>
        <row r="307">
          <cell r="E307"/>
          <cell r="F307"/>
          <cell r="G307"/>
          <cell r="H307">
            <v>0</v>
          </cell>
          <cell r="I307"/>
        </row>
        <row r="308">
          <cell r="E308"/>
          <cell r="F308"/>
          <cell r="G308"/>
          <cell r="H308">
            <v>0</v>
          </cell>
          <cell r="I308"/>
        </row>
        <row r="309">
          <cell r="E309"/>
          <cell r="F309"/>
          <cell r="G309"/>
          <cell r="H309">
            <v>0</v>
          </cell>
          <cell r="I309"/>
        </row>
        <row r="310">
          <cell r="E310"/>
          <cell r="F310"/>
          <cell r="G310"/>
          <cell r="H310">
            <v>0</v>
          </cell>
          <cell r="I310"/>
        </row>
        <row r="311">
          <cell r="E311"/>
          <cell r="F311"/>
          <cell r="G311"/>
          <cell r="H311">
            <v>0</v>
          </cell>
          <cell r="I311"/>
        </row>
        <row r="312">
          <cell r="E312"/>
          <cell r="F312"/>
          <cell r="G312"/>
          <cell r="H312">
            <v>0</v>
          </cell>
          <cell r="I312"/>
        </row>
        <row r="313">
          <cell r="E313"/>
          <cell r="F313"/>
          <cell r="G313"/>
          <cell r="H313">
            <v>0</v>
          </cell>
          <cell r="I313"/>
        </row>
        <row r="314">
          <cell r="E314"/>
          <cell r="F314"/>
          <cell r="G314"/>
          <cell r="H314">
            <v>0</v>
          </cell>
          <cell r="I314"/>
        </row>
        <row r="315">
          <cell r="E315"/>
          <cell r="F315"/>
          <cell r="G315"/>
          <cell r="H315">
            <v>0</v>
          </cell>
          <cell r="I315"/>
        </row>
        <row r="316">
          <cell r="E316"/>
          <cell r="F316"/>
          <cell r="G316"/>
          <cell r="H316">
            <v>0</v>
          </cell>
          <cell r="I316"/>
        </row>
        <row r="317">
          <cell r="E317"/>
          <cell r="F317"/>
          <cell r="G317"/>
          <cell r="H317">
            <v>0</v>
          </cell>
          <cell r="I317"/>
        </row>
        <row r="318">
          <cell r="E318"/>
          <cell r="F318"/>
          <cell r="G318"/>
          <cell r="H318">
            <v>0</v>
          </cell>
          <cell r="I318"/>
        </row>
        <row r="319">
          <cell r="E319"/>
          <cell r="F319"/>
          <cell r="G319"/>
          <cell r="H319">
            <v>0</v>
          </cell>
          <cell r="I319"/>
        </row>
        <row r="320">
          <cell r="E320"/>
          <cell r="F320"/>
          <cell r="G320"/>
          <cell r="H320">
            <v>0</v>
          </cell>
          <cell r="I320"/>
        </row>
        <row r="321">
          <cell r="E321"/>
          <cell r="F321"/>
          <cell r="G321"/>
          <cell r="H321">
            <v>0</v>
          </cell>
          <cell r="I321"/>
        </row>
        <row r="322">
          <cell r="E322"/>
          <cell r="F322"/>
          <cell r="G322"/>
          <cell r="H322">
            <v>0</v>
          </cell>
          <cell r="I322"/>
        </row>
        <row r="323">
          <cell r="E323"/>
          <cell r="F323"/>
          <cell r="G323"/>
          <cell r="H323">
            <v>0</v>
          </cell>
          <cell r="I323"/>
        </row>
        <row r="324">
          <cell r="E324"/>
          <cell r="F324"/>
          <cell r="G324"/>
          <cell r="H324">
            <v>0</v>
          </cell>
          <cell r="I324"/>
        </row>
        <row r="325">
          <cell r="E325"/>
          <cell r="F325"/>
          <cell r="G325"/>
          <cell r="H325">
            <v>0</v>
          </cell>
          <cell r="I325"/>
        </row>
        <row r="326">
          <cell r="E326"/>
          <cell r="F326"/>
          <cell r="G326"/>
          <cell r="H326">
            <v>0</v>
          </cell>
          <cell r="I326"/>
        </row>
        <row r="327">
          <cell r="E327"/>
          <cell r="F327"/>
          <cell r="G327"/>
          <cell r="H327">
            <v>0</v>
          </cell>
          <cell r="I327"/>
        </row>
        <row r="328">
          <cell r="E328"/>
          <cell r="F328"/>
          <cell r="G328"/>
          <cell r="H328">
            <v>0</v>
          </cell>
          <cell r="I328"/>
        </row>
        <row r="329">
          <cell r="E329"/>
          <cell r="F329"/>
          <cell r="G329"/>
          <cell r="H329">
            <v>0</v>
          </cell>
          <cell r="I329"/>
        </row>
        <row r="330">
          <cell r="E330"/>
          <cell r="F330"/>
          <cell r="G330"/>
          <cell r="H330">
            <v>0</v>
          </cell>
          <cell r="I330"/>
        </row>
        <row r="331">
          <cell r="E331"/>
          <cell r="F331"/>
          <cell r="G331"/>
          <cell r="H331">
            <v>0</v>
          </cell>
          <cell r="I331"/>
        </row>
        <row r="332">
          <cell r="E332"/>
          <cell r="F332"/>
          <cell r="G332"/>
          <cell r="H332">
            <v>0</v>
          </cell>
          <cell r="I332"/>
        </row>
        <row r="333">
          <cell r="E333"/>
          <cell r="F333"/>
          <cell r="G333"/>
          <cell r="H333">
            <v>0</v>
          </cell>
          <cell r="I333"/>
        </row>
        <row r="334">
          <cell r="E334"/>
          <cell r="F334"/>
          <cell r="G334"/>
          <cell r="H334">
            <v>0</v>
          </cell>
          <cell r="I334"/>
        </row>
        <row r="335">
          <cell r="E335"/>
          <cell r="F335"/>
          <cell r="G335"/>
          <cell r="H335">
            <v>0</v>
          </cell>
          <cell r="I335"/>
        </row>
        <row r="336">
          <cell r="E336"/>
          <cell r="F336"/>
          <cell r="G336"/>
          <cell r="H336">
            <v>0</v>
          </cell>
          <cell r="I336"/>
        </row>
        <row r="337">
          <cell r="E337"/>
          <cell r="F337"/>
          <cell r="G337"/>
          <cell r="H337">
            <v>0</v>
          </cell>
          <cell r="I337"/>
        </row>
        <row r="338">
          <cell r="E338"/>
          <cell r="F338"/>
          <cell r="G338"/>
          <cell r="H338">
            <v>0</v>
          </cell>
          <cell r="I338"/>
        </row>
        <row r="339">
          <cell r="E339"/>
          <cell r="F339"/>
          <cell r="G339"/>
          <cell r="H339">
            <v>0</v>
          </cell>
          <cell r="I339"/>
        </row>
        <row r="340">
          <cell r="E340"/>
          <cell r="F340"/>
          <cell r="G340"/>
          <cell r="H340">
            <v>0</v>
          </cell>
          <cell r="I340"/>
        </row>
        <row r="341">
          <cell r="E341"/>
          <cell r="F341"/>
          <cell r="G341"/>
          <cell r="H341">
            <v>0</v>
          </cell>
          <cell r="I341"/>
        </row>
        <row r="342">
          <cell r="E342"/>
          <cell r="F342"/>
          <cell r="G342"/>
          <cell r="H342">
            <v>0</v>
          </cell>
          <cell r="I342"/>
        </row>
        <row r="343">
          <cell r="E343"/>
          <cell r="F343"/>
          <cell r="G343"/>
          <cell r="H343">
            <v>0</v>
          </cell>
          <cell r="I343"/>
        </row>
        <row r="344">
          <cell r="E344"/>
          <cell r="F344"/>
          <cell r="G344"/>
          <cell r="H344">
            <v>0</v>
          </cell>
          <cell r="I344"/>
        </row>
        <row r="345">
          <cell r="E345"/>
          <cell r="F345"/>
          <cell r="G345"/>
          <cell r="H345">
            <v>0</v>
          </cell>
          <cell r="I345"/>
        </row>
        <row r="346">
          <cell r="E346"/>
          <cell r="F346"/>
          <cell r="G346"/>
          <cell r="H346">
            <v>0</v>
          </cell>
          <cell r="I346"/>
        </row>
        <row r="347">
          <cell r="E347"/>
          <cell r="F347"/>
          <cell r="G347"/>
          <cell r="H347">
            <v>0</v>
          </cell>
          <cell r="I347"/>
        </row>
        <row r="348">
          <cell r="E348"/>
          <cell r="F348"/>
          <cell r="G348"/>
          <cell r="H348">
            <v>0</v>
          </cell>
          <cell r="I348"/>
        </row>
        <row r="349">
          <cell r="E349"/>
          <cell r="F349"/>
          <cell r="G349"/>
          <cell r="H349">
            <v>0</v>
          </cell>
          <cell r="I349"/>
        </row>
        <row r="350">
          <cell r="E350"/>
          <cell r="F350"/>
          <cell r="G350"/>
          <cell r="H350">
            <v>0</v>
          </cell>
          <cell r="I350"/>
        </row>
        <row r="351">
          <cell r="E351"/>
          <cell r="F351"/>
          <cell r="G351"/>
          <cell r="H351">
            <v>0</v>
          </cell>
          <cell r="I351"/>
        </row>
        <row r="352">
          <cell r="E352"/>
          <cell r="F352"/>
          <cell r="G352"/>
          <cell r="H352">
            <v>0</v>
          </cell>
          <cell r="I352"/>
        </row>
        <row r="353">
          <cell r="E353"/>
          <cell r="F353"/>
          <cell r="G353"/>
          <cell r="H353">
            <v>0</v>
          </cell>
          <cell r="I353"/>
        </row>
        <row r="354">
          <cell r="E354"/>
          <cell r="F354"/>
          <cell r="G354"/>
          <cell r="H354">
            <v>0</v>
          </cell>
          <cell r="I354"/>
        </row>
        <row r="355">
          <cell r="E355"/>
          <cell r="F355"/>
          <cell r="G355"/>
          <cell r="H355">
            <v>0</v>
          </cell>
          <cell r="I355"/>
        </row>
        <row r="356">
          <cell r="E356"/>
          <cell r="F356"/>
          <cell r="G356"/>
          <cell r="H356">
            <v>0</v>
          </cell>
          <cell r="I356"/>
        </row>
        <row r="357">
          <cell r="E357"/>
          <cell r="F357"/>
          <cell r="G357"/>
          <cell r="H357">
            <v>0</v>
          </cell>
          <cell r="I357"/>
        </row>
        <row r="358">
          <cell r="E358"/>
          <cell r="F358"/>
          <cell r="G358"/>
          <cell r="H358">
            <v>0</v>
          </cell>
          <cell r="I358"/>
        </row>
        <row r="359">
          <cell r="E359"/>
          <cell r="F359"/>
          <cell r="G359"/>
          <cell r="H359">
            <v>0</v>
          </cell>
          <cell r="I359"/>
        </row>
        <row r="360">
          <cell r="E360"/>
          <cell r="F360"/>
          <cell r="G360"/>
          <cell r="H360">
            <v>0</v>
          </cell>
          <cell r="I360"/>
        </row>
        <row r="361">
          <cell r="E361"/>
          <cell r="F361"/>
          <cell r="G361"/>
          <cell r="H361">
            <v>0</v>
          </cell>
          <cell r="I361"/>
        </row>
        <row r="362">
          <cell r="E362"/>
          <cell r="F362"/>
          <cell r="G362"/>
          <cell r="H362">
            <v>0</v>
          </cell>
          <cell r="I362"/>
        </row>
        <row r="363">
          <cell r="E363"/>
          <cell r="F363"/>
          <cell r="G363"/>
          <cell r="H363">
            <v>0</v>
          </cell>
          <cell r="I363"/>
        </row>
        <row r="364">
          <cell r="E364"/>
          <cell r="F364"/>
          <cell r="G364"/>
          <cell r="H364">
            <v>0</v>
          </cell>
          <cell r="I364"/>
        </row>
        <row r="365">
          <cell r="E365"/>
          <cell r="F365"/>
          <cell r="G365"/>
          <cell r="H365">
            <v>0</v>
          </cell>
          <cell r="I365"/>
        </row>
        <row r="366">
          <cell r="E366"/>
          <cell r="F366"/>
          <cell r="G366"/>
          <cell r="H366">
            <v>0</v>
          </cell>
          <cell r="I366"/>
        </row>
        <row r="367">
          <cell r="E367"/>
          <cell r="F367"/>
          <cell r="G367"/>
          <cell r="H367">
            <v>0</v>
          </cell>
          <cell r="I367"/>
        </row>
        <row r="368">
          <cell r="E368"/>
          <cell r="F368"/>
          <cell r="G368"/>
          <cell r="H368">
            <v>0</v>
          </cell>
          <cell r="I368"/>
        </row>
        <row r="369">
          <cell r="E369"/>
          <cell r="F369"/>
          <cell r="G369"/>
          <cell r="H369">
            <v>0</v>
          </cell>
          <cell r="I369"/>
        </row>
        <row r="370">
          <cell r="E370"/>
          <cell r="F370"/>
          <cell r="G370"/>
          <cell r="H370">
            <v>0</v>
          </cell>
          <cell r="I370"/>
        </row>
        <row r="371">
          <cell r="E371"/>
          <cell r="F371"/>
          <cell r="G371"/>
          <cell r="H371">
            <v>0</v>
          </cell>
          <cell r="I371"/>
        </row>
        <row r="372">
          <cell r="E372"/>
          <cell r="F372"/>
          <cell r="G372"/>
          <cell r="H372">
            <v>0</v>
          </cell>
          <cell r="I372"/>
        </row>
        <row r="373">
          <cell r="E373"/>
          <cell r="F373"/>
          <cell r="G373"/>
          <cell r="H373">
            <v>0</v>
          </cell>
          <cell r="I373"/>
        </row>
        <row r="374">
          <cell r="E374"/>
          <cell r="F374"/>
          <cell r="G374"/>
          <cell r="H374">
            <v>0</v>
          </cell>
          <cell r="I374"/>
        </row>
        <row r="375">
          <cell r="E375"/>
          <cell r="F375"/>
          <cell r="G375"/>
          <cell r="H375">
            <v>0</v>
          </cell>
          <cell r="I375"/>
        </row>
        <row r="376">
          <cell r="E376"/>
          <cell r="F376"/>
          <cell r="G376"/>
          <cell r="H376">
            <v>0</v>
          </cell>
          <cell r="I376"/>
        </row>
        <row r="377">
          <cell r="E377"/>
          <cell r="F377"/>
          <cell r="G377"/>
          <cell r="H377">
            <v>0</v>
          </cell>
          <cell r="I377"/>
        </row>
        <row r="378">
          <cell r="E378"/>
          <cell r="F378"/>
          <cell r="G378"/>
          <cell r="H378">
            <v>0</v>
          </cell>
          <cell r="I378"/>
        </row>
        <row r="379">
          <cell r="E379"/>
          <cell r="F379"/>
          <cell r="G379"/>
          <cell r="H379">
            <v>0</v>
          </cell>
          <cell r="I379"/>
        </row>
        <row r="380">
          <cell r="E380"/>
          <cell r="F380"/>
          <cell r="G380"/>
          <cell r="H380">
            <v>0</v>
          </cell>
          <cell r="I380"/>
        </row>
        <row r="381">
          <cell r="E381"/>
          <cell r="F381"/>
          <cell r="G381"/>
          <cell r="H381">
            <v>0</v>
          </cell>
          <cell r="I381"/>
        </row>
        <row r="382">
          <cell r="E382"/>
          <cell r="F382"/>
          <cell r="G382"/>
          <cell r="H382">
            <v>0</v>
          </cell>
          <cell r="I382"/>
        </row>
        <row r="383">
          <cell r="E383"/>
          <cell r="F383"/>
          <cell r="G383"/>
          <cell r="H383">
            <v>0</v>
          </cell>
          <cell r="I383"/>
        </row>
        <row r="384">
          <cell r="E384"/>
          <cell r="F384"/>
          <cell r="G384"/>
          <cell r="H384">
            <v>0</v>
          </cell>
          <cell r="I384"/>
        </row>
        <row r="385">
          <cell r="E385"/>
          <cell r="F385"/>
          <cell r="G385"/>
          <cell r="H385">
            <v>0</v>
          </cell>
          <cell r="I385"/>
        </row>
        <row r="386">
          <cell r="E386"/>
          <cell r="F386"/>
          <cell r="G386"/>
          <cell r="H386">
            <v>0</v>
          </cell>
          <cell r="I386"/>
        </row>
        <row r="387">
          <cell r="E387"/>
          <cell r="F387"/>
          <cell r="G387"/>
          <cell r="H387">
            <v>0</v>
          </cell>
          <cell r="I387"/>
        </row>
        <row r="388">
          <cell r="E388"/>
          <cell r="F388"/>
          <cell r="G388"/>
          <cell r="H388">
            <v>0</v>
          </cell>
          <cell r="I388"/>
        </row>
        <row r="389">
          <cell r="E389"/>
          <cell r="F389"/>
          <cell r="G389"/>
          <cell r="H389">
            <v>0</v>
          </cell>
          <cell r="I389"/>
        </row>
        <row r="390">
          <cell r="E390"/>
          <cell r="F390"/>
          <cell r="G390"/>
          <cell r="H390">
            <v>0</v>
          </cell>
          <cell r="I390"/>
        </row>
        <row r="391">
          <cell r="E391"/>
          <cell r="F391"/>
          <cell r="G391"/>
          <cell r="H391">
            <v>0</v>
          </cell>
          <cell r="I391"/>
        </row>
        <row r="392">
          <cell r="E392"/>
          <cell r="F392"/>
          <cell r="G392"/>
          <cell r="H392">
            <v>0</v>
          </cell>
          <cell r="I392"/>
        </row>
        <row r="393">
          <cell r="E393"/>
          <cell r="F393"/>
          <cell r="G393"/>
          <cell r="H393">
            <v>0</v>
          </cell>
          <cell r="I393"/>
        </row>
        <row r="394">
          <cell r="E394"/>
          <cell r="F394"/>
          <cell r="G394"/>
          <cell r="H394">
            <v>0</v>
          </cell>
          <cell r="I394"/>
        </row>
        <row r="395">
          <cell r="E395"/>
          <cell r="F395"/>
          <cell r="G395"/>
          <cell r="H395">
            <v>0</v>
          </cell>
          <cell r="I395"/>
        </row>
        <row r="396">
          <cell r="E396"/>
          <cell r="F396"/>
          <cell r="G396"/>
          <cell r="H396">
            <v>0</v>
          </cell>
          <cell r="I396"/>
        </row>
        <row r="397">
          <cell r="E397"/>
          <cell r="F397"/>
          <cell r="G397"/>
          <cell r="H397">
            <v>0</v>
          </cell>
          <cell r="I397"/>
        </row>
        <row r="398">
          <cell r="E398"/>
          <cell r="F398"/>
          <cell r="G398"/>
          <cell r="H398">
            <v>0</v>
          </cell>
          <cell r="I398"/>
        </row>
        <row r="399">
          <cell r="E399"/>
          <cell r="F399"/>
          <cell r="G399"/>
          <cell r="H399">
            <v>0</v>
          </cell>
          <cell r="I399"/>
        </row>
        <row r="400">
          <cell r="E400"/>
          <cell r="F400"/>
          <cell r="G400"/>
          <cell r="H400">
            <v>0</v>
          </cell>
          <cell r="I400"/>
        </row>
        <row r="401">
          <cell r="E401"/>
          <cell r="F401"/>
          <cell r="G401"/>
          <cell r="H401">
            <v>0</v>
          </cell>
          <cell r="I401"/>
        </row>
        <row r="402">
          <cell r="E402"/>
          <cell r="F402"/>
          <cell r="G402"/>
          <cell r="H402">
            <v>0</v>
          </cell>
          <cell r="I402"/>
        </row>
        <row r="403">
          <cell r="E403"/>
          <cell r="F403"/>
          <cell r="G403"/>
          <cell r="H403">
            <v>0</v>
          </cell>
          <cell r="I403"/>
        </row>
        <row r="404">
          <cell r="E404"/>
          <cell r="F404"/>
          <cell r="G404"/>
          <cell r="H404">
            <v>0</v>
          </cell>
          <cell r="I404"/>
        </row>
        <row r="405">
          <cell r="E405"/>
          <cell r="F405"/>
          <cell r="G405"/>
          <cell r="H405">
            <v>0</v>
          </cell>
          <cell r="I405"/>
        </row>
        <row r="406">
          <cell r="E406"/>
          <cell r="F406"/>
          <cell r="G406"/>
          <cell r="H406">
            <v>0</v>
          </cell>
          <cell r="I406"/>
        </row>
        <row r="407">
          <cell r="E407"/>
          <cell r="F407"/>
          <cell r="G407"/>
          <cell r="H407">
            <v>0</v>
          </cell>
          <cell r="I407"/>
        </row>
        <row r="408">
          <cell r="E408"/>
          <cell r="F408"/>
          <cell r="G408"/>
          <cell r="H408">
            <v>0</v>
          </cell>
          <cell r="I408"/>
        </row>
        <row r="409">
          <cell r="E409"/>
          <cell r="F409"/>
          <cell r="G409"/>
          <cell r="H409">
            <v>0</v>
          </cell>
          <cell r="I409"/>
        </row>
        <row r="410">
          <cell r="E410"/>
          <cell r="F410"/>
          <cell r="G410"/>
          <cell r="H410">
            <v>0</v>
          </cell>
          <cell r="I410"/>
        </row>
        <row r="411">
          <cell r="E411"/>
          <cell r="F411"/>
          <cell r="G411"/>
          <cell r="H411">
            <v>0</v>
          </cell>
          <cell r="I411"/>
        </row>
        <row r="412">
          <cell r="E412"/>
          <cell r="F412"/>
          <cell r="G412"/>
          <cell r="H412">
            <v>0</v>
          </cell>
          <cell r="I412"/>
        </row>
        <row r="413">
          <cell r="E413"/>
          <cell r="F413"/>
          <cell r="G413"/>
          <cell r="H413">
            <v>0</v>
          </cell>
          <cell r="I413"/>
        </row>
        <row r="414">
          <cell r="E414"/>
          <cell r="F414"/>
          <cell r="G414"/>
          <cell r="H414">
            <v>0</v>
          </cell>
          <cell r="I414"/>
        </row>
        <row r="415">
          <cell r="E415"/>
          <cell r="F415"/>
          <cell r="G415"/>
          <cell r="H415">
            <v>0</v>
          </cell>
          <cell r="I415"/>
        </row>
        <row r="416">
          <cell r="E416"/>
          <cell r="F416"/>
          <cell r="G416"/>
          <cell r="H416">
            <v>0</v>
          </cell>
          <cell r="I416"/>
        </row>
        <row r="417">
          <cell r="E417"/>
          <cell r="F417"/>
          <cell r="G417"/>
          <cell r="H417">
            <v>0</v>
          </cell>
          <cell r="I417"/>
        </row>
        <row r="418">
          <cell r="E418"/>
          <cell r="F418"/>
          <cell r="G418"/>
          <cell r="H418">
            <v>0</v>
          </cell>
          <cell r="I418"/>
        </row>
        <row r="419">
          <cell r="E419"/>
          <cell r="F419"/>
          <cell r="G419"/>
          <cell r="H419">
            <v>0</v>
          </cell>
          <cell r="I419"/>
        </row>
        <row r="420">
          <cell r="E420"/>
          <cell r="F420"/>
          <cell r="G420"/>
          <cell r="H420">
            <v>0</v>
          </cell>
          <cell r="I420"/>
        </row>
        <row r="421">
          <cell r="E421"/>
          <cell r="F421"/>
          <cell r="G421"/>
          <cell r="H421">
            <v>0</v>
          </cell>
          <cell r="I421"/>
        </row>
        <row r="422">
          <cell r="E422"/>
          <cell r="F422"/>
          <cell r="G422"/>
          <cell r="H422">
            <v>0</v>
          </cell>
          <cell r="I422"/>
        </row>
        <row r="423">
          <cell r="E423"/>
          <cell r="F423"/>
          <cell r="G423"/>
          <cell r="H423">
            <v>0</v>
          </cell>
          <cell r="I423"/>
        </row>
        <row r="424">
          <cell r="E424"/>
          <cell r="F424"/>
          <cell r="G424"/>
          <cell r="H424">
            <v>0</v>
          </cell>
          <cell r="I424"/>
        </row>
        <row r="425">
          <cell r="E425"/>
          <cell r="F425"/>
          <cell r="G425"/>
          <cell r="H425">
            <v>0</v>
          </cell>
          <cell r="I425"/>
        </row>
        <row r="426">
          <cell r="E426"/>
          <cell r="F426"/>
          <cell r="G426"/>
          <cell r="H426">
            <v>0</v>
          </cell>
          <cell r="I426"/>
        </row>
        <row r="427">
          <cell r="E427"/>
          <cell r="F427"/>
          <cell r="G427"/>
          <cell r="H427">
            <v>0</v>
          </cell>
          <cell r="I427"/>
        </row>
        <row r="428">
          <cell r="E428"/>
          <cell r="F428"/>
          <cell r="G428"/>
          <cell r="H428">
            <v>0</v>
          </cell>
          <cell r="I428"/>
        </row>
        <row r="429">
          <cell r="E429"/>
          <cell r="F429"/>
          <cell r="G429"/>
          <cell r="H429">
            <v>0</v>
          </cell>
          <cell r="I429"/>
        </row>
        <row r="430">
          <cell r="E430"/>
          <cell r="F430"/>
          <cell r="G430"/>
          <cell r="H430">
            <v>0</v>
          </cell>
          <cell r="I430"/>
        </row>
        <row r="431">
          <cell r="E431"/>
          <cell r="F431"/>
          <cell r="G431"/>
          <cell r="H431">
            <v>0</v>
          </cell>
          <cell r="I431"/>
        </row>
        <row r="432">
          <cell r="E432"/>
          <cell r="F432"/>
          <cell r="G432"/>
          <cell r="H432">
            <v>0</v>
          </cell>
          <cell r="I432"/>
        </row>
        <row r="433">
          <cell r="E433"/>
          <cell r="F433"/>
          <cell r="G433"/>
          <cell r="H433">
            <v>0</v>
          </cell>
          <cell r="I433"/>
        </row>
        <row r="434">
          <cell r="E434"/>
          <cell r="F434"/>
          <cell r="G434"/>
          <cell r="H434">
            <v>0</v>
          </cell>
          <cell r="I434"/>
        </row>
        <row r="435">
          <cell r="E435"/>
          <cell r="F435"/>
          <cell r="G435"/>
          <cell r="H435">
            <v>0</v>
          </cell>
          <cell r="I435"/>
        </row>
        <row r="436">
          <cell r="E436"/>
          <cell r="F436"/>
          <cell r="G436"/>
          <cell r="H436">
            <v>0</v>
          </cell>
          <cell r="I436"/>
        </row>
        <row r="437">
          <cell r="E437"/>
          <cell r="F437"/>
          <cell r="G437"/>
          <cell r="H437">
            <v>0</v>
          </cell>
          <cell r="I437"/>
        </row>
        <row r="438">
          <cell r="E438"/>
          <cell r="F438"/>
          <cell r="G438"/>
          <cell r="H438">
            <v>0</v>
          </cell>
          <cell r="I438"/>
        </row>
        <row r="439">
          <cell r="E439"/>
          <cell r="F439"/>
          <cell r="G439"/>
          <cell r="H439">
            <v>0</v>
          </cell>
          <cell r="I439"/>
        </row>
        <row r="440">
          <cell r="E440"/>
          <cell r="F440"/>
          <cell r="G440"/>
          <cell r="H440">
            <v>0</v>
          </cell>
          <cell r="I440"/>
        </row>
        <row r="441">
          <cell r="E441"/>
          <cell r="F441"/>
          <cell r="G441"/>
          <cell r="H441">
            <v>0</v>
          </cell>
          <cell r="I441"/>
        </row>
        <row r="442">
          <cell r="E442"/>
          <cell r="F442"/>
          <cell r="G442"/>
          <cell r="H442">
            <v>0</v>
          </cell>
          <cell r="I442"/>
        </row>
        <row r="443">
          <cell r="E443"/>
          <cell r="F443"/>
          <cell r="G443"/>
          <cell r="H443">
            <v>0</v>
          </cell>
          <cell r="I443"/>
        </row>
        <row r="444">
          <cell r="E444"/>
          <cell r="F444"/>
          <cell r="G444"/>
          <cell r="H444">
            <v>0</v>
          </cell>
          <cell r="I444"/>
        </row>
        <row r="445">
          <cell r="E445"/>
          <cell r="F445"/>
          <cell r="G445"/>
          <cell r="H445">
            <v>0</v>
          </cell>
          <cell r="I445"/>
        </row>
        <row r="446">
          <cell r="E446"/>
          <cell r="F446"/>
          <cell r="G446"/>
          <cell r="H446">
            <v>0</v>
          </cell>
          <cell r="I446"/>
        </row>
        <row r="447">
          <cell r="E447"/>
          <cell r="F447"/>
          <cell r="G447"/>
          <cell r="H447">
            <v>0</v>
          </cell>
          <cell r="I447"/>
        </row>
        <row r="448">
          <cell r="E448"/>
          <cell r="F448"/>
          <cell r="G448"/>
          <cell r="H448">
            <v>0</v>
          </cell>
          <cell r="I448"/>
        </row>
        <row r="449">
          <cell r="E449"/>
          <cell r="F449"/>
          <cell r="G449"/>
          <cell r="H449">
            <v>0</v>
          </cell>
          <cell r="I449"/>
        </row>
        <row r="450">
          <cell r="E450"/>
          <cell r="F450"/>
          <cell r="G450"/>
          <cell r="H450">
            <v>0</v>
          </cell>
          <cell r="I450"/>
        </row>
        <row r="451">
          <cell r="E451"/>
          <cell r="F451"/>
          <cell r="G451"/>
          <cell r="H451">
            <v>0</v>
          </cell>
          <cell r="I451"/>
        </row>
        <row r="452">
          <cell r="E452"/>
          <cell r="F452"/>
          <cell r="G452"/>
          <cell r="H452">
            <v>0</v>
          </cell>
          <cell r="I452"/>
        </row>
        <row r="453">
          <cell r="E453"/>
          <cell r="F453"/>
          <cell r="G453"/>
          <cell r="H453">
            <v>0</v>
          </cell>
          <cell r="I453"/>
        </row>
        <row r="454">
          <cell r="E454"/>
          <cell r="F454"/>
          <cell r="G454"/>
          <cell r="H454">
            <v>0</v>
          </cell>
          <cell r="I454"/>
        </row>
        <row r="455">
          <cell r="E455"/>
          <cell r="F455"/>
          <cell r="G455"/>
          <cell r="H455">
            <v>0</v>
          </cell>
          <cell r="I455"/>
        </row>
        <row r="456">
          <cell r="E456"/>
          <cell r="F456"/>
          <cell r="G456"/>
          <cell r="H456">
            <v>0</v>
          </cell>
          <cell r="I456"/>
        </row>
        <row r="457">
          <cell r="E457"/>
          <cell r="F457"/>
          <cell r="G457"/>
          <cell r="H457">
            <v>0</v>
          </cell>
          <cell r="I457"/>
        </row>
        <row r="458">
          <cell r="E458"/>
          <cell r="F458"/>
          <cell r="G458"/>
          <cell r="H458">
            <v>0</v>
          </cell>
          <cell r="I458"/>
        </row>
        <row r="459">
          <cell r="E459"/>
          <cell r="F459"/>
          <cell r="G459"/>
          <cell r="H459">
            <v>0</v>
          </cell>
          <cell r="I459"/>
        </row>
        <row r="460">
          <cell r="E460"/>
          <cell r="F460"/>
          <cell r="G460"/>
          <cell r="H460">
            <v>0</v>
          </cell>
          <cell r="I460"/>
        </row>
        <row r="461">
          <cell r="E461"/>
          <cell r="F461"/>
          <cell r="G461"/>
          <cell r="H461">
            <v>0</v>
          </cell>
          <cell r="I461"/>
        </row>
        <row r="462">
          <cell r="E462"/>
          <cell r="F462"/>
          <cell r="G462"/>
          <cell r="H462">
            <v>0</v>
          </cell>
          <cell r="I462"/>
        </row>
        <row r="463">
          <cell r="E463"/>
          <cell r="F463"/>
          <cell r="G463"/>
          <cell r="H463">
            <v>0</v>
          </cell>
          <cell r="I463"/>
        </row>
        <row r="464">
          <cell r="E464"/>
          <cell r="F464"/>
          <cell r="G464"/>
          <cell r="H464">
            <v>0</v>
          </cell>
          <cell r="I464"/>
        </row>
        <row r="465">
          <cell r="E465"/>
          <cell r="F465"/>
          <cell r="G465"/>
          <cell r="H465">
            <v>0</v>
          </cell>
          <cell r="I465"/>
        </row>
        <row r="466">
          <cell r="E466"/>
          <cell r="F466"/>
          <cell r="G466"/>
          <cell r="H466">
            <v>0</v>
          </cell>
          <cell r="I466"/>
        </row>
        <row r="467">
          <cell r="E467"/>
          <cell r="F467"/>
          <cell r="G467"/>
          <cell r="H467">
            <v>0</v>
          </cell>
          <cell r="I467"/>
        </row>
        <row r="468">
          <cell r="E468"/>
          <cell r="F468"/>
          <cell r="G468"/>
          <cell r="H468">
            <v>0</v>
          </cell>
          <cell r="I468"/>
        </row>
        <row r="469">
          <cell r="E469"/>
          <cell r="F469"/>
          <cell r="G469"/>
          <cell r="H469">
            <v>0</v>
          </cell>
          <cell r="I469"/>
        </row>
        <row r="470">
          <cell r="E470"/>
          <cell r="F470"/>
          <cell r="G470"/>
          <cell r="H470">
            <v>0</v>
          </cell>
          <cell r="I470"/>
        </row>
        <row r="471">
          <cell r="E471"/>
          <cell r="F471"/>
          <cell r="G471"/>
          <cell r="H471">
            <v>0</v>
          </cell>
          <cell r="I471"/>
        </row>
        <row r="472">
          <cell r="E472"/>
          <cell r="F472"/>
          <cell r="G472"/>
          <cell r="H472">
            <v>0</v>
          </cell>
          <cell r="I472"/>
        </row>
        <row r="473">
          <cell r="E473"/>
          <cell r="F473"/>
          <cell r="G473"/>
          <cell r="H473">
            <v>0</v>
          </cell>
          <cell r="I473"/>
        </row>
        <row r="474">
          <cell r="E474"/>
          <cell r="F474"/>
          <cell r="G474"/>
          <cell r="H474">
            <v>0</v>
          </cell>
          <cell r="I474"/>
        </row>
        <row r="475">
          <cell r="E475"/>
          <cell r="F475"/>
          <cell r="G475"/>
          <cell r="H475">
            <v>0</v>
          </cell>
          <cell r="I475"/>
        </row>
        <row r="476">
          <cell r="E476"/>
          <cell r="F476"/>
          <cell r="G476"/>
          <cell r="H476">
            <v>0</v>
          </cell>
          <cell r="I476"/>
        </row>
        <row r="477">
          <cell r="E477"/>
          <cell r="F477"/>
          <cell r="G477"/>
          <cell r="H477">
            <v>0</v>
          </cell>
          <cell r="I477"/>
        </row>
        <row r="478">
          <cell r="E478"/>
          <cell r="F478"/>
          <cell r="G478"/>
          <cell r="H478">
            <v>0</v>
          </cell>
          <cell r="I478"/>
        </row>
        <row r="479">
          <cell r="E479"/>
          <cell r="F479"/>
          <cell r="G479"/>
          <cell r="H479">
            <v>0</v>
          </cell>
          <cell r="I479"/>
        </row>
        <row r="480">
          <cell r="E480"/>
          <cell r="F480"/>
          <cell r="G480"/>
          <cell r="H480">
            <v>0</v>
          </cell>
          <cell r="I480"/>
        </row>
        <row r="481">
          <cell r="E481"/>
          <cell r="F481"/>
          <cell r="G481"/>
          <cell r="H481">
            <v>0</v>
          </cell>
          <cell r="I481"/>
        </row>
        <row r="482">
          <cell r="E482"/>
          <cell r="F482"/>
          <cell r="G482"/>
          <cell r="H482">
            <v>0</v>
          </cell>
          <cell r="I482"/>
        </row>
        <row r="483">
          <cell r="E483"/>
          <cell r="F483"/>
          <cell r="G483"/>
          <cell r="H483">
            <v>0</v>
          </cell>
          <cell r="I483"/>
        </row>
        <row r="484">
          <cell r="E484"/>
          <cell r="F484"/>
          <cell r="G484"/>
          <cell r="H484">
            <v>0</v>
          </cell>
          <cell r="I484"/>
        </row>
        <row r="485">
          <cell r="E485"/>
          <cell r="F485"/>
          <cell r="G485"/>
          <cell r="H485">
            <v>0</v>
          </cell>
          <cell r="I485"/>
        </row>
        <row r="486">
          <cell r="E486"/>
          <cell r="F486"/>
          <cell r="G486"/>
          <cell r="H486">
            <v>0</v>
          </cell>
          <cell r="I486"/>
        </row>
        <row r="487">
          <cell r="E487"/>
          <cell r="F487"/>
          <cell r="G487"/>
          <cell r="H487">
            <v>0</v>
          </cell>
          <cell r="I487"/>
        </row>
        <row r="488">
          <cell r="E488"/>
          <cell r="F488"/>
          <cell r="G488"/>
          <cell r="H488">
            <v>0</v>
          </cell>
          <cell r="I488"/>
        </row>
        <row r="489">
          <cell r="E489"/>
          <cell r="F489"/>
          <cell r="G489"/>
          <cell r="H489">
            <v>0</v>
          </cell>
          <cell r="I489"/>
        </row>
        <row r="490">
          <cell r="E490"/>
          <cell r="F490"/>
          <cell r="G490"/>
          <cell r="H490">
            <v>0</v>
          </cell>
          <cell r="I490"/>
        </row>
        <row r="491">
          <cell r="E491"/>
          <cell r="F491"/>
          <cell r="G491"/>
          <cell r="H491">
            <v>0</v>
          </cell>
          <cell r="I491"/>
        </row>
        <row r="492">
          <cell r="E492"/>
          <cell r="F492"/>
          <cell r="G492"/>
          <cell r="H492">
            <v>0</v>
          </cell>
          <cell r="I492"/>
        </row>
        <row r="493">
          <cell r="E493"/>
          <cell r="F493"/>
          <cell r="G493"/>
          <cell r="H493">
            <v>0</v>
          </cell>
          <cell r="I493"/>
        </row>
        <row r="494">
          <cell r="E494"/>
          <cell r="F494"/>
          <cell r="G494"/>
          <cell r="H494">
            <v>0</v>
          </cell>
          <cell r="I494"/>
        </row>
        <row r="495">
          <cell r="E495"/>
          <cell r="F495"/>
          <cell r="G495"/>
          <cell r="H495">
            <v>0</v>
          </cell>
          <cell r="I495"/>
        </row>
        <row r="496">
          <cell r="E496"/>
          <cell r="F496"/>
          <cell r="G496"/>
          <cell r="H496">
            <v>0</v>
          </cell>
          <cell r="I496"/>
        </row>
        <row r="497">
          <cell r="E497"/>
          <cell r="F497"/>
          <cell r="G497"/>
          <cell r="H497">
            <v>0</v>
          </cell>
          <cell r="I497"/>
        </row>
        <row r="498">
          <cell r="E498"/>
          <cell r="F498"/>
          <cell r="G498"/>
          <cell r="H498">
            <v>0</v>
          </cell>
          <cell r="I498"/>
        </row>
        <row r="499">
          <cell r="E499"/>
          <cell r="F499"/>
          <cell r="G499"/>
          <cell r="H499">
            <v>0</v>
          </cell>
          <cell r="I499"/>
        </row>
        <row r="500">
          <cell r="E500"/>
          <cell r="F500"/>
          <cell r="G500"/>
          <cell r="H500">
            <v>0</v>
          </cell>
          <cell r="I500"/>
        </row>
        <row r="501">
          <cell r="E501"/>
          <cell r="F501"/>
          <cell r="G501"/>
          <cell r="H501">
            <v>0</v>
          </cell>
          <cell r="I501"/>
        </row>
        <row r="502">
          <cell r="E502"/>
          <cell r="F502"/>
          <cell r="G502"/>
          <cell r="H502">
            <v>0</v>
          </cell>
          <cell r="I502"/>
        </row>
        <row r="503">
          <cell r="E503"/>
          <cell r="F503"/>
          <cell r="G503"/>
          <cell r="H503">
            <v>0</v>
          </cell>
          <cell r="I503"/>
        </row>
        <row r="504">
          <cell r="E504"/>
          <cell r="F504"/>
          <cell r="G504"/>
          <cell r="H504">
            <v>0</v>
          </cell>
          <cell r="I504"/>
        </row>
        <row r="505">
          <cell r="E505"/>
          <cell r="F505"/>
          <cell r="G505"/>
          <cell r="H505">
            <v>0</v>
          </cell>
          <cell r="I505"/>
        </row>
        <row r="506">
          <cell r="E506"/>
          <cell r="F506"/>
          <cell r="G506"/>
          <cell r="H506">
            <v>0</v>
          </cell>
          <cell r="I506"/>
        </row>
        <row r="507">
          <cell r="E507"/>
          <cell r="F507"/>
          <cell r="G507"/>
          <cell r="H507">
            <v>0</v>
          </cell>
          <cell r="I507"/>
        </row>
        <row r="508">
          <cell r="E508"/>
          <cell r="F508"/>
          <cell r="G508"/>
          <cell r="H508">
            <v>0</v>
          </cell>
          <cell r="I508"/>
        </row>
        <row r="509">
          <cell r="E509"/>
          <cell r="F509"/>
          <cell r="G509"/>
          <cell r="H509">
            <v>0</v>
          </cell>
          <cell r="I509"/>
        </row>
        <row r="510">
          <cell r="E510"/>
          <cell r="F510"/>
          <cell r="G510"/>
          <cell r="H510">
            <v>0</v>
          </cell>
          <cell r="I510"/>
        </row>
        <row r="511">
          <cell r="E511"/>
          <cell r="F511"/>
          <cell r="G511"/>
          <cell r="H511">
            <v>0</v>
          </cell>
          <cell r="I511"/>
        </row>
        <row r="512">
          <cell r="E512"/>
          <cell r="F512"/>
          <cell r="G512"/>
          <cell r="H512">
            <v>0</v>
          </cell>
          <cell r="I512"/>
        </row>
        <row r="513">
          <cell r="E513"/>
          <cell r="F513"/>
          <cell r="G513"/>
          <cell r="H513">
            <v>0</v>
          </cell>
          <cell r="I513"/>
        </row>
        <row r="514">
          <cell r="E514"/>
          <cell r="F514"/>
          <cell r="G514"/>
          <cell r="H514">
            <v>0</v>
          </cell>
          <cell r="I514"/>
        </row>
        <row r="515">
          <cell r="E515"/>
          <cell r="F515"/>
          <cell r="G515"/>
          <cell r="H515">
            <v>0</v>
          </cell>
          <cell r="I515"/>
        </row>
        <row r="516">
          <cell r="E516"/>
          <cell r="F516"/>
          <cell r="G516"/>
          <cell r="H516">
            <v>0</v>
          </cell>
          <cell r="I516"/>
        </row>
        <row r="517">
          <cell r="E517"/>
          <cell r="F517"/>
          <cell r="G517"/>
          <cell r="H517">
            <v>0</v>
          </cell>
          <cell r="I517"/>
        </row>
        <row r="518">
          <cell r="E518"/>
          <cell r="F518"/>
          <cell r="G518"/>
          <cell r="H518">
            <v>0</v>
          </cell>
          <cell r="I518"/>
        </row>
        <row r="519">
          <cell r="E519"/>
          <cell r="F519"/>
          <cell r="G519"/>
          <cell r="H519">
            <v>0</v>
          </cell>
          <cell r="I519"/>
        </row>
        <row r="520">
          <cell r="E520"/>
          <cell r="F520"/>
          <cell r="G520"/>
          <cell r="H520">
            <v>0</v>
          </cell>
          <cell r="I520"/>
        </row>
        <row r="521">
          <cell r="E521"/>
          <cell r="F521"/>
          <cell r="G521"/>
          <cell r="H521">
            <v>0</v>
          </cell>
          <cell r="I521"/>
        </row>
        <row r="522">
          <cell r="E522"/>
          <cell r="F522"/>
          <cell r="G522"/>
          <cell r="H522">
            <v>0</v>
          </cell>
          <cell r="I522"/>
        </row>
        <row r="523">
          <cell r="E523"/>
          <cell r="F523"/>
          <cell r="G523"/>
          <cell r="H523">
            <v>0</v>
          </cell>
          <cell r="I523"/>
        </row>
        <row r="524">
          <cell r="E524"/>
          <cell r="F524"/>
          <cell r="G524"/>
          <cell r="H524">
            <v>0</v>
          </cell>
          <cell r="I524"/>
        </row>
        <row r="525">
          <cell r="E525"/>
          <cell r="F525"/>
          <cell r="G525"/>
          <cell r="H525">
            <v>0</v>
          </cell>
          <cell r="I525"/>
        </row>
        <row r="526">
          <cell r="E526"/>
          <cell r="F526"/>
          <cell r="G526"/>
          <cell r="H526">
            <v>0</v>
          </cell>
          <cell r="I526"/>
        </row>
        <row r="527">
          <cell r="E527"/>
          <cell r="F527"/>
          <cell r="G527"/>
          <cell r="H527">
            <v>0</v>
          </cell>
          <cell r="I527"/>
        </row>
        <row r="528">
          <cell r="E528"/>
          <cell r="F528"/>
          <cell r="G528"/>
          <cell r="H528">
            <v>0</v>
          </cell>
          <cell r="I528"/>
        </row>
        <row r="529">
          <cell r="E529"/>
          <cell r="F529"/>
          <cell r="G529"/>
          <cell r="H529">
            <v>0</v>
          </cell>
          <cell r="I529"/>
        </row>
        <row r="530">
          <cell r="E530"/>
          <cell r="F530"/>
          <cell r="G530"/>
          <cell r="H530">
            <v>0</v>
          </cell>
          <cell r="I530"/>
        </row>
        <row r="531">
          <cell r="E531"/>
          <cell r="F531"/>
          <cell r="G531"/>
          <cell r="H531">
            <v>0</v>
          </cell>
          <cell r="I531"/>
        </row>
        <row r="532">
          <cell r="E532"/>
          <cell r="F532"/>
          <cell r="G532"/>
          <cell r="H532">
            <v>0</v>
          </cell>
          <cell r="I532"/>
        </row>
        <row r="533">
          <cell r="E533"/>
          <cell r="F533"/>
          <cell r="G533"/>
          <cell r="H533">
            <v>0</v>
          </cell>
          <cell r="I533"/>
        </row>
        <row r="534">
          <cell r="E534"/>
          <cell r="F534"/>
          <cell r="G534"/>
          <cell r="H534">
            <v>0</v>
          </cell>
          <cell r="I534"/>
        </row>
        <row r="535">
          <cell r="E535"/>
          <cell r="F535"/>
          <cell r="G535"/>
          <cell r="H535">
            <v>0</v>
          </cell>
          <cell r="I535"/>
        </row>
        <row r="536">
          <cell r="E536"/>
          <cell r="F536"/>
          <cell r="G536"/>
          <cell r="H536">
            <v>0</v>
          </cell>
          <cell r="I536"/>
        </row>
        <row r="537">
          <cell r="E537"/>
          <cell r="F537"/>
          <cell r="G537"/>
          <cell r="H537">
            <v>0</v>
          </cell>
          <cell r="I537"/>
        </row>
        <row r="538">
          <cell r="E538"/>
          <cell r="F538"/>
          <cell r="G538"/>
          <cell r="H538">
            <v>0</v>
          </cell>
          <cell r="I538"/>
        </row>
        <row r="539">
          <cell r="E539"/>
          <cell r="F539"/>
          <cell r="G539"/>
          <cell r="H539">
            <v>0</v>
          </cell>
          <cell r="I539"/>
        </row>
        <row r="540">
          <cell r="E540"/>
          <cell r="F540"/>
          <cell r="G540"/>
          <cell r="H540">
            <v>0</v>
          </cell>
          <cell r="I540"/>
        </row>
        <row r="541">
          <cell r="E541"/>
          <cell r="F541"/>
          <cell r="G541"/>
          <cell r="H541">
            <v>0</v>
          </cell>
          <cell r="I541"/>
        </row>
        <row r="542">
          <cell r="E542"/>
          <cell r="F542"/>
          <cell r="G542"/>
          <cell r="H542">
            <v>0</v>
          </cell>
          <cell r="I542"/>
        </row>
        <row r="543">
          <cell r="E543"/>
          <cell r="F543"/>
          <cell r="G543"/>
          <cell r="H543">
            <v>0</v>
          </cell>
          <cell r="I543"/>
        </row>
        <row r="544">
          <cell r="E544"/>
          <cell r="F544"/>
          <cell r="G544"/>
          <cell r="H544">
            <v>0</v>
          </cell>
          <cell r="I544"/>
        </row>
        <row r="545">
          <cell r="E545"/>
          <cell r="F545"/>
          <cell r="G545"/>
          <cell r="H545">
            <v>0</v>
          </cell>
          <cell r="I545"/>
        </row>
        <row r="546">
          <cell r="E546"/>
          <cell r="F546"/>
          <cell r="G546"/>
          <cell r="H546">
            <v>0</v>
          </cell>
          <cell r="I546"/>
        </row>
        <row r="547">
          <cell r="E547"/>
          <cell r="F547"/>
          <cell r="G547"/>
          <cell r="H547">
            <v>0</v>
          </cell>
          <cell r="I547"/>
        </row>
        <row r="548">
          <cell r="E548"/>
          <cell r="F548"/>
          <cell r="G548"/>
          <cell r="H548">
            <v>0</v>
          </cell>
          <cell r="I548"/>
        </row>
        <row r="549">
          <cell r="E549"/>
          <cell r="F549"/>
          <cell r="G549"/>
          <cell r="H549">
            <v>0</v>
          </cell>
          <cell r="I549"/>
        </row>
        <row r="550">
          <cell r="E550"/>
          <cell r="F550"/>
          <cell r="G550"/>
          <cell r="H550">
            <v>0</v>
          </cell>
          <cell r="I550"/>
        </row>
        <row r="551">
          <cell r="E551"/>
          <cell r="F551"/>
          <cell r="G551"/>
          <cell r="H551">
            <v>0</v>
          </cell>
          <cell r="I551"/>
        </row>
        <row r="552">
          <cell r="E552"/>
          <cell r="F552"/>
          <cell r="G552"/>
          <cell r="H552">
            <v>0</v>
          </cell>
          <cell r="I552"/>
        </row>
        <row r="553">
          <cell r="E553"/>
          <cell r="F553"/>
          <cell r="G553"/>
          <cell r="H553">
            <v>0</v>
          </cell>
          <cell r="I553"/>
        </row>
        <row r="554">
          <cell r="E554"/>
          <cell r="F554"/>
          <cell r="G554"/>
          <cell r="H554">
            <v>0</v>
          </cell>
          <cell r="I554"/>
        </row>
        <row r="555">
          <cell r="E555"/>
          <cell r="F555"/>
          <cell r="G555"/>
          <cell r="H555">
            <v>0</v>
          </cell>
          <cell r="I555"/>
        </row>
        <row r="556">
          <cell r="E556"/>
          <cell r="F556"/>
          <cell r="G556"/>
          <cell r="H556">
            <v>0</v>
          </cell>
          <cell r="I556"/>
        </row>
        <row r="557">
          <cell r="E557"/>
          <cell r="F557"/>
          <cell r="G557"/>
          <cell r="H557">
            <v>0</v>
          </cell>
          <cell r="I557"/>
        </row>
        <row r="558">
          <cell r="E558"/>
          <cell r="F558"/>
          <cell r="G558"/>
          <cell r="H558">
            <v>0</v>
          </cell>
          <cell r="I558"/>
        </row>
        <row r="559">
          <cell r="E559"/>
          <cell r="F559"/>
          <cell r="G559"/>
          <cell r="H559">
            <v>0</v>
          </cell>
          <cell r="I559"/>
        </row>
        <row r="560">
          <cell r="E560"/>
          <cell r="F560"/>
          <cell r="G560"/>
          <cell r="H560">
            <v>0</v>
          </cell>
          <cell r="I560"/>
        </row>
        <row r="561">
          <cell r="E561"/>
          <cell r="F561"/>
          <cell r="G561"/>
          <cell r="H561">
            <v>0</v>
          </cell>
          <cell r="I561"/>
        </row>
        <row r="562">
          <cell r="E562"/>
          <cell r="F562"/>
          <cell r="G562"/>
          <cell r="H562">
            <v>0</v>
          </cell>
          <cell r="I562"/>
        </row>
        <row r="563">
          <cell r="E563"/>
          <cell r="F563"/>
          <cell r="G563"/>
          <cell r="H563">
            <v>0</v>
          </cell>
          <cell r="I563"/>
        </row>
        <row r="564">
          <cell r="E564"/>
          <cell r="F564"/>
          <cell r="G564"/>
          <cell r="H564">
            <v>0</v>
          </cell>
          <cell r="I564"/>
        </row>
        <row r="565">
          <cell r="E565"/>
          <cell r="F565"/>
          <cell r="G565"/>
          <cell r="H565">
            <v>0</v>
          </cell>
          <cell r="I565"/>
        </row>
        <row r="566">
          <cell r="E566"/>
          <cell r="F566"/>
          <cell r="G566"/>
          <cell r="H566">
            <v>0</v>
          </cell>
          <cell r="I566"/>
        </row>
        <row r="567">
          <cell r="E567"/>
          <cell r="F567"/>
          <cell r="G567"/>
          <cell r="H567">
            <v>0</v>
          </cell>
          <cell r="I567"/>
        </row>
        <row r="568">
          <cell r="E568"/>
          <cell r="F568"/>
          <cell r="G568"/>
          <cell r="H568">
            <v>0</v>
          </cell>
          <cell r="I568"/>
        </row>
        <row r="569">
          <cell r="E569"/>
          <cell r="F569"/>
          <cell r="G569"/>
          <cell r="H569">
            <v>0</v>
          </cell>
          <cell r="I569"/>
        </row>
        <row r="570">
          <cell r="E570"/>
          <cell r="F570"/>
          <cell r="G570"/>
          <cell r="H570">
            <v>0</v>
          </cell>
          <cell r="I570"/>
        </row>
        <row r="571">
          <cell r="E571"/>
          <cell r="F571"/>
          <cell r="G571"/>
          <cell r="H571">
            <v>0</v>
          </cell>
          <cell r="I571"/>
        </row>
        <row r="572">
          <cell r="E572"/>
          <cell r="F572"/>
          <cell r="G572"/>
          <cell r="H572">
            <v>0</v>
          </cell>
          <cell r="I572"/>
        </row>
        <row r="573">
          <cell r="E573"/>
          <cell r="F573"/>
          <cell r="G573"/>
          <cell r="H573">
            <v>0</v>
          </cell>
          <cell r="I573"/>
        </row>
        <row r="574">
          <cell r="E574"/>
          <cell r="F574"/>
          <cell r="G574"/>
          <cell r="H574">
            <v>0</v>
          </cell>
          <cell r="I574"/>
        </row>
        <row r="575">
          <cell r="E575"/>
          <cell r="F575"/>
          <cell r="G575"/>
          <cell r="H575">
            <v>0</v>
          </cell>
          <cell r="I575"/>
        </row>
        <row r="576">
          <cell r="E576"/>
          <cell r="F576"/>
          <cell r="G576"/>
          <cell r="H576">
            <v>0</v>
          </cell>
          <cell r="I576"/>
        </row>
        <row r="577">
          <cell r="E577"/>
          <cell r="F577"/>
          <cell r="G577"/>
          <cell r="H577">
            <v>0</v>
          </cell>
          <cell r="I577"/>
        </row>
        <row r="578">
          <cell r="E578"/>
          <cell r="F578"/>
          <cell r="G578"/>
          <cell r="H578">
            <v>0</v>
          </cell>
          <cell r="I578"/>
        </row>
        <row r="579">
          <cell r="E579"/>
          <cell r="F579"/>
          <cell r="G579"/>
          <cell r="H579">
            <v>0</v>
          </cell>
          <cell r="I579"/>
        </row>
        <row r="580">
          <cell r="E580"/>
          <cell r="F580"/>
          <cell r="G580"/>
          <cell r="H580">
            <v>0</v>
          </cell>
          <cell r="I580"/>
        </row>
        <row r="581">
          <cell r="E581"/>
          <cell r="F581"/>
          <cell r="G581"/>
          <cell r="H581">
            <v>0</v>
          </cell>
          <cell r="I581"/>
        </row>
        <row r="582">
          <cell r="E582"/>
          <cell r="F582"/>
          <cell r="G582"/>
          <cell r="H582">
            <v>0</v>
          </cell>
          <cell r="I582"/>
        </row>
        <row r="583">
          <cell r="E583"/>
          <cell r="F583"/>
          <cell r="G583"/>
          <cell r="H583">
            <v>0</v>
          </cell>
          <cell r="I583"/>
        </row>
        <row r="584">
          <cell r="E584"/>
          <cell r="F584"/>
          <cell r="G584"/>
          <cell r="H584">
            <v>0</v>
          </cell>
          <cell r="I584"/>
        </row>
        <row r="585">
          <cell r="E585"/>
          <cell r="F585"/>
          <cell r="G585"/>
          <cell r="H585">
            <v>0</v>
          </cell>
          <cell r="I585"/>
        </row>
        <row r="586">
          <cell r="E586"/>
          <cell r="F586"/>
          <cell r="G586"/>
          <cell r="H586">
            <v>0</v>
          </cell>
          <cell r="I586"/>
        </row>
        <row r="587">
          <cell r="E587"/>
          <cell r="F587"/>
          <cell r="G587"/>
          <cell r="H587">
            <v>0</v>
          </cell>
          <cell r="I587"/>
        </row>
        <row r="588">
          <cell r="E588"/>
          <cell r="F588"/>
          <cell r="G588"/>
          <cell r="H588">
            <v>0</v>
          </cell>
          <cell r="I588"/>
        </row>
        <row r="589">
          <cell r="E589"/>
          <cell r="F589"/>
          <cell r="G589"/>
          <cell r="H589">
            <v>0</v>
          </cell>
          <cell r="I589"/>
        </row>
        <row r="590">
          <cell r="E590"/>
          <cell r="F590"/>
          <cell r="G590"/>
          <cell r="H590">
            <v>0</v>
          </cell>
          <cell r="I590"/>
        </row>
        <row r="591">
          <cell r="E591"/>
          <cell r="F591"/>
          <cell r="G591"/>
          <cell r="H591">
            <v>0</v>
          </cell>
          <cell r="I591"/>
        </row>
        <row r="592">
          <cell r="E592"/>
          <cell r="F592"/>
          <cell r="G592"/>
          <cell r="H592">
            <v>0</v>
          </cell>
          <cell r="I592"/>
        </row>
        <row r="593">
          <cell r="E593"/>
          <cell r="F593"/>
          <cell r="G593"/>
          <cell r="H593">
            <v>0</v>
          </cell>
          <cell r="I593"/>
        </row>
        <row r="594">
          <cell r="E594"/>
          <cell r="F594"/>
          <cell r="G594"/>
          <cell r="H594">
            <v>0</v>
          </cell>
          <cell r="I594"/>
        </row>
        <row r="595">
          <cell r="E595"/>
          <cell r="F595"/>
          <cell r="G595"/>
          <cell r="H595">
            <v>0</v>
          </cell>
          <cell r="I595"/>
        </row>
        <row r="596">
          <cell r="E596"/>
          <cell r="F596"/>
          <cell r="G596"/>
          <cell r="H596">
            <v>0</v>
          </cell>
          <cell r="I596"/>
        </row>
        <row r="597">
          <cell r="E597"/>
          <cell r="F597"/>
          <cell r="G597"/>
          <cell r="H597">
            <v>0</v>
          </cell>
          <cell r="I597"/>
        </row>
        <row r="598">
          <cell r="E598"/>
          <cell r="F598"/>
          <cell r="G598"/>
          <cell r="H598">
            <v>0</v>
          </cell>
          <cell r="I598"/>
        </row>
        <row r="599">
          <cell r="E599"/>
          <cell r="F599"/>
          <cell r="G599"/>
          <cell r="H599">
            <v>0</v>
          </cell>
          <cell r="I599"/>
        </row>
        <row r="600">
          <cell r="E600"/>
          <cell r="F600"/>
          <cell r="G600"/>
          <cell r="H600">
            <v>0</v>
          </cell>
          <cell r="I600"/>
        </row>
        <row r="601">
          <cell r="E601"/>
          <cell r="F601"/>
          <cell r="G601"/>
          <cell r="H601">
            <v>0</v>
          </cell>
          <cell r="I601"/>
        </row>
        <row r="602">
          <cell r="E602"/>
          <cell r="F602"/>
          <cell r="G602"/>
          <cell r="H602">
            <v>0</v>
          </cell>
          <cell r="I602"/>
        </row>
        <row r="603">
          <cell r="E603"/>
          <cell r="F603"/>
          <cell r="G603"/>
          <cell r="H603">
            <v>0</v>
          </cell>
          <cell r="I603"/>
        </row>
        <row r="604">
          <cell r="E604"/>
          <cell r="F604"/>
          <cell r="G604"/>
          <cell r="H604">
            <v>0</v>
          </cell>
          <cell r="I604"/>
        </row>
        <row r="605">
          <cell r="E605"/>
          <cell r="F605"/>
          <cell r="G605"/>
          <cell r="H605">
            <v>0</v>
          </cell>
          <cell r="I605"/>
        </row>
        <row r="606">
          <cell r="E606"/>
          <cell r="F606"/>
          <cell r="G606"/>
          <cell r="H606">
            <v>0</v>
          </cell>
          <cell r="I606"/>
        </row>
        <row r="607">
          <cell r="E607"/>
          <cell r="F607"/>
          <cell r="G607"/>
          <cell r="H607">
            <v>0</v>
          </cell>
          <cell r="I607"/>
        </row>
        <row r="608">
          <cell r="E608"/>
          <cell r="F608"/>
          <cell r="G608"/>
          <cell r="H608">
            <v>0</v>
          </cell>
          <cell r="I608"/>
        </row>
        <row r="609">
          <cell r="E609"/>
          <cell r="F609"/>
          <cell r="G609"/>
          <cell r="H609">
            <v>0</v>
          </cell>
          <cell r="I609"/>
        </row>
        <row r="610">
          <cell r="E610"/>
          <cell r="F610"/>
          <cell r="G610"/>
          <cell r="H610">
            <v>0</v>
          </cell>
          <cell r="I610"/>
        </row>
        <row r="611">
          <cell r="E611"/>
          <cell r="F611"/>
          <cell r="G611"/>
          <cell r="H611">
            <v>0</v>
          </cell>
          <cell r="I611"/>
        </row>
        <row r="612">
          <cell r="E612"/>
          <cell r="F612"/>
          <cell r="G612"/>
          <cell r="H612">
            <v>0</v>
          </cell>
          <cell r="I612"/>
        </row>
        <row r="613">
          <cell r="E613"/>
          <cell r="F613"/>
          <cell r="G613"/>
          <cell r="H613">
            <v>0</v>
          </cell>
          <cell r="I613"/>
        </row>
        <row r="614">
          <cell r="E614"/>
          <cell r="F614"/>
          <cell r="G614"/>
          <cell r="H614">
            <v>0</v>
          </cell>
          <cell r="I614"/>
        </row>
        <row r="615">
          <cell r="E615"/>
          <cell r="F615"/>
          <cell r="G615"/>
          <cell r="H615">
            <v>0</v>
          </cell>
          <cell r="I615"/>
        </row>
        <row r="616">
          <cell r="E616"/>
          <cell r="F616"/>
          <cell r="G616"/>
          <cell r="H616">
            <v>0</v>
          </cell>
          <cell r="I616"/>
        </row>
        <row r="617">
          <cell r="E617"/>
          <cell r="F617"/>
          <cell r="G617"/>
          <cell r="H617">
            <v>0</v>
          </cell>
          <cell r="I617"/>
        </row>
        <row r="618">
          <cell r="E618"/>
          <cell r="F618"/>
          <cell r="G618"/>
          <cell r="H618">
            <v>0</v>
          </cell>
          <cell r="I618"/>
        </row>
        <row r="619">
          <cell r="E619"/>
          <cell r="F619"/>
          <cell r="G619"/>
          <cell r="H619">
            <v>0</v>
          </cell>
          <cell r="I619"/>
        </row>
        <row r="620">
          <cell r="E620"/>
          <cell r="F620"/>
          <cell r="G620"/>
          <cell r="H620">
            <v>0</v>
          </cell>
          <cell r="I620"/>
        </row>
        <row r="621">
          <cell r="E621"/>
          <cell r="F621"/>
          <cell r="G621"/>
          <cell r="H621">
            <v>0</v>
          </cell>
          <cell r="I621"/>
        </row>
        <row r="622">
          <cell r="E622"/>
          <cell r="F622"/>
          <cell r="G622"/>
          <cell r="H622">
            <v>0</v>
          </cell>
          <cell r="I622"/>
        </row>
        <row r="623">
          <cell r="E623"/>
          <cell r="F623"/>
          <cell r="G623"/>
          <cell r="H623">
            <v>0</v>
          </cell>
          <cell r="I623"/>
        </row>
        <row r="624">
          <cell r="E624"/>
          <cell r="F624"/>
          <cell r="G624"/>
          <cell r="H624">
            <v>0</v>
          </cell>
          <cell r="I624"/>
        </row>
        <row r="625">
          <cell r="E625"/>
          <cell r="F625"/>
          <cell r="G625"/>
          <cell r="H625">
            <v>0</v>
          </cell>
          <cell r="I625"/>
        </row>
        <row r="626">
          <cell r="E626"/>
          <cell r="F626"/>
          <cell r="G626"/>
          <cell r="H626">
            <v>0</v>
          </cell>
          <cell r="I626"/>
        </row>
        <row r="627">
          <cell r="E627"/>
          <cell r="F627"/>
          <cell r="G627"/>
          <cell r="H627">
            <v>0</v>
          </cell>
          <cell r="I627"/>
        </row>
        <row r="628">
          <cell r="E628"/>
          <cell r="F628"/>
          <cell r="G628"/>
          <cell r="H628">
            <v>0</v>
          </cell>
          <cell r="I628"/>
        </row>
        <row r="629">
          <cell r="E629"/>
          <cell r="F629"/>
          <cell r="G629"/>
          <cell r="H629">
            <v>0</v>
          </cell>
          <cell r="I629"/>
        </row>
        <row r="630">
          <cell r="E630"/>
          <cell r="F630"/>
          <cell r="G630"/>
          <cell r="H630">
            <v>0</v>
          </cell>
          <cell r="I630"/>
        </row>
        <row r="631">
          <cell r="E631"/>
          <cell r="F631"/>
          <cell r="G631"/>
          <cell r="H631">
            <v>0</v>
          </cell>
          <cell r="I631"/>
        </row>
        <row r="632">
          <cell r="E632"/>
          <cell r="F632"/>
          <cell r="G632"/>
          <cell r="H632">
            <v>0</v>
          </cell>
          <cell r="I632"/>
        </row>
        <row r="633">
          <cell r="E633"/>
          <cell r="F633"/>
          <cell r="G633"/>
          <cell r="H633">
            <v>0</v>
          </cell>
          <cell r="I633"/>
        </row>
        <row r="634">
          <cell r="E634"/>
          <cell r="F634"/>
          <cell r="G634"/>
          <cell r="H634">
            <v>0</v>
          </cell>
          <cell r="I634"/>
        </row>
        <row r="635">
          <cell r="E635"/>
          <cell r="F635"/>
          <cell r="G635"/>
          <cell r="H635">
            <v>0</v>
          </cell>
          <cell r="I635"/>
        </row>
        <row r="636">
          <cell r="E636"/>
          <cell r="F636"/>
          <cell r="G636"/>
          <cell r="H636">
            <v>0</v>
          </cell>
          <cell r="I636"/>
        </row>
        <row r="637">
          <cell r="E637"/>
          <cell r="F637"/>
          <cell r="G637"/>
          <cell r="H637">
            <v>0</v>
          </cell>
          <cell r="I637"/>
        </row>
        <row r="638">
          <cell r="E638"/>
          <cell r="F638"/>
          <cell r="G638"/>
          <cell r="H638">
            <v>0</v>
          </cell>
          <cell r="I638"/>
        </row>
        <row r="639">
          <cell r="E639"/>
          <cell r="F639"/>
          <cell r="G639"/>
          <cell r="H639">
            <v>0</v>
          </cell>
          <cell r="I639"/>
        </row>
        <row r="640">
          <cell r="E640"/>
          <cell r="F640"/>
          <cell r="G640"/>
          <cell r="H640">
            <v>0</v>
          </cell>
          <cell r="I640"/>
        </row>
        <row r="641">
          <cell r="E641"/>
          <cell r="F641"/>
          <cell r="G641"/>
          <cell r="H641">
            <v>0</v>
          </cell>
          <cell r="I641"/>
        </row>
        <row r="642">
          <cell r="E642"/>
          <cell r="F642"/>
          <cell r="G642"/>
          <cell r="H642">
            <v>0</v>
          </cell>
          <cell r="I642"/>
        </row>
        <row r="643">
          <cell r="E643"/>
          <cell r="F643"/>
          <cell r="G643"/>
          <cell r="H643">
            <v>0</v>
          </cell>
          <cell r="I643"/>
        </row>
        <row r="644">
          <cell r="E644"/>
          <cell r="F644"/>
          <cell r="G644"/>
          <cell r="H644">
            <v>0</v>
          </cell>
          <cell r="I644"/>
        </row>
        <row r="645">
          <cell r="E645"/>
          <cell r="F645"/>
          <cell r="G645"/>
          <cell r="H645">
            <v>0</v>
          </cell>
          <cell r="I645"/>
        </row>
        <row r="646">
          <cell r="E646"/>
          <cell r="F646"/>
          <cell r="G646"/>
          <cell r="H646">
            <v>0</v>
          </cell>
          <cell r="I646"/>
        </row>
        <row r="647">
          <cell r="E647"/>
          <cell r="F647"/>
          <cell r="G647"/>
          <cell r="H647">
            <v>0</v>
          </cell>
          <cell r="I647"/>
        </row>
        <row r="648">
          <cell r="E648"/>
          <cell r="F648"/>
          <cell r="G648"/>
          <cell r="H648">
            <v>0</v>
          </cell>
          <cell r="I648"/>
        </row>
        <row r="649">
          <cell r="E649"/>
          <cell r="F649"/>
          <cell r="G649"/>
          <cell r="H649">
            <v>0</v>
          </cell>
          <cell r="I649"/>
        </row>
        <row r="650">
          <cell r="E650"/>
          <cell r="F650"/>
          <cell r="G650"/>
          <cell r="H650">
            <v>0</v>
          </cell>
          <cell r="I650"/>
        </row>
        <row r="651">
          <cell r="E651"/>
          <cell r="F651"/>
          <cell r="G651"/>
          <cell r="H651">
            <v>0</v>
          </cell>
          <cell r="I651"/>
        </row>
        <row r="652">
          <cell r="E652"/>
          <cell r="F652"/>
          <cell r="G652"/>
          <cell r="H652">
            <v>0</v>
          </cell>
          <cell r="I652"/>
        </row>
        <row r="653">
          <cell r="E653"/>
          <cell r="F653"/>
          <cell r="G653"/>
          <cell r="H653">
            <v>0</v>
          </cell>
          <cell r="I653"/>
        </row>
        <row r="654">
          <cell r="E654"/>
          <cell r="F654"/>
          <cell r="G654"/>
          <cell r="H654">
            <v>0</v>
          </cell>
          <cell r="I654"/>
        </row>
        <row r="655">
          <cell r="E655"/>
          <cell r="F655"/>
          <cell r="G655"/>
          <cell r="H655">
            <v>0</v>
          </cell>
          <cell r="I655"/>
        </row>
        <row r="656">
          <cell r="E656"/>
          <cell r="F656"/>
          <cell r="G656"/>
          <cell r="H656">
            <v>0</v>
          </cell>
          <cell r="I656"/>
        </row>
        <row r="657">
          <cell r="E657"/>
          <cell r="F657"/>
          <cell r="G657"/>
          <cell r="H657">
            <v>0</v>
          </cell>
          <cell r="I657"/>
        </row>
        <row r="658">
          <cell r="E658"/>
          <cell r="F658"/>
          <cell r="G658"/>
          <cell r="H658">
            <v>0</v>
          </cell>
          <cell r="I658"/>
        </row>
        <row r="659">
          <cell r="E659"/>
          <cell r="F659"/>
          <cell r="G659"/>
          <cell r="H659">
            <v>0</v>
          </cell>
          <cell r="I659"/>
        </row>
        <row r="660">
          <cell r="E660"/>
          <cell r="F660"/>
          <cell r="G660"/>
          <cell r="H660">
            <v>0</v>
          </cell>
          <cell r="I660"/>
        </row>
        <row r="661">
          <cell r="E661"/>
          <cell r="F661"/>
          <cell r="G661"/>
          <cell r="H661">
            <v>0</v>
          </cell>
          <cell r="I661"/>
        </row>
        <row r="662">
          <cell r="E662"/>
          <cell r="F662"/>
          <cell r="G662"/>
          <cell r="H662">
            <v>0</v>
          </cell>
          <cell r="I662"/>
        </row>
        <row r="663">
          <cell r="E663"/>
          <cell r="F663"/>
          <cell r="G663"/>
          <cell r="H663">
            <v>0</v>
          </cell>
          <cell r="I663"/>
        </row>
        <row r="664">
          <cell r="E664"/>
          <cell r="F664"/>
          <cell r="G664"/>
          <cell r="H664">
            <v>0</v>
          </cell>
          <cell r="I664"/>
        </row>
        <row r="665">
          <cell r="E665"/>
          <cell r="F665"/>
          <cell r="G665"/>
          <cell r="H665">
            <v>0</v>
          </cell>
          <cell r="I665"/>
        </row>
        <row r="666">
          <cell r="E666"/>
          <cell r="F666"/>
          <cell r="G666"/>
          <cell r="H666">
            <v>0</v>
          </cell>
          <cell r="I666"/>
        </row>
        <row r="667">
          <cell r="E667"/>
          <cell r="F667"/>
          <cell r="G667"/>
          <cell r="H667">
            <v>0</v>
          </cell>
          <cell r="I667"/>
        </row>
        <row r="668">
          <cell r="E668"/>
          <cell r="F668"/>
          <cell r="G668"/>
          <cell r="H668">
            <v>0</v>
          </cell>
          <cell r="I668"/>
        </row>
        <row r="669">
          <cell r="E669"/>
          <cell r="F669"/>
          <cell r="G669"/>
          <cell r="H669">
            <v>0</v>
          </cell>
          <cell r="I669"/>
        </row>
        <row r="670">
          <cell r="E670"/>
          <cell r="F670"/>
          <cell r="G670"/>
          <cell r="H670">
            <v>0</v>
          </cell>
          <cell r="I670"/>
        </row>
        <row r="671">
          <cell r="E671"/>
          <cell r="F671"/>
          <cell r="G671"/>
          <cell r="H671">
            <v>0</v>
          </cell>
          <cell r="I671"/>
        </row>
        <row r="672">
          <cell r="E672"/>
          <cell r="F672"/>
          <cell r="G672"/>
          <cell r="H672">
            <v>0</v>
          </cell>
          <cell r="I672"/>
        </row>
        <row r="673">
          <cell r="E673"/>
          <cell r="F673"/>
          <cell r="G673"/>
          <cell r="H673">
            <v>0</v>
          </cell>
          <cell r="I673"/>
        </row>
        <row r="674">
          <cell r="E674"/>
          <cell r="F674"/>
          <cell r="G674"/>
          <cell r="H674">
            <v>0</v>
          </cell>
          <cell r="I674"/>
        </row>
        <row r="675">
          <cell r="E675"/>
          <cell r="F675"/>
          <cell r="G675"/>
          <cell r="H675">
            <v>0</v>
          </cell>
          <cell r="I675"/>
        </row>
        <row r="676">
          <cell r="E676"/>
          <cell r="F676"/>
          <cell r="G676"/>
          <cell r="H676">
            <v>0</v>
          </cell>
          <cell r="I676"/>
        </row>
        <row r="677">
          <cell r="E677"/>
          <cell r="F677"/>
          <cell r="G677"/>
          <cell r="H677">
            <v>0</v>
          </cell>
          <cell r="I677"/>
        </row>
        <row r="678">
          <cell r="E678"/>
          <cell r="F678"/>
          <cell r="G678"/>
          <cell r="H678">
            <v>0</v>
          </cell>
          <cell r="I678"/>
        </row>
        <row r="679">
          <cell r="E679"/>
          <cell r="F679"/>
          <cell r="G679"/>
          <cell r="H679">
            <v>0</v>
          </cell>
          <cell r="I679"/>
        </row>
        <row r="680">
          <cell r="E680"/>
          <cell r="F680"/>
          <cell r="G680"/>
          <cell r="H680">
            <v>0</v>
          </cell>
          <cell r="I680"/>
        </row>
        <row r="681">
          <cell r="E681"/>
          <cell r="F681"/>
          <cell r="G681"/>
          <cell r="H681">
            <v>0</v>
          </cell>
          <cell r="I681"/>
        </row>
        <row r="682">
          <cell r="E682"/>
          <cell r="F682"/>
          <cell r="G682"/>
          <cell r="H682">
            <v>0</v>
          </cell>
          <cell r="I682"/>
        </row>
        <row r="683">
          <cell r="E683"/>
          <cell r="F683"/>
          <cell r="G683"/>
          <cell r="H683">
            <v>0</v>
          </cell>
          <cell r="I683"/>
        </row>
        <row r="684">
          <cell r="E684"/>
          <cell r="F684"/>
          <cell r="G684"/>
          <cell r="H684">
            <v>0</v>
          </cell>
          <cell r="I684"/>
        </row>
        <row r="685">
          <cell r="E685"/>
          <cell r="F685"/>
          <cell r="G685"/>
          <cell r="H685">
            <v>0</v>
          </cell>
          <cell r="I685"/>
        </row>
        <row r="686">
          <cell r="E686"/>
          <cell r="F686"/>
          <cell r="G686"/>
          <cell r="H686">
            <v>0</v>
          </cell>
          <cell r="I686"/>
        </row>
        <row r="687">
          <cell r="E687"/>
          <cell r="F687"/>
          <cell r="G687"/>
          <cell r="H687">
            <v>0</v>
          </cell>
          <cell r="I687"/>
        </row>
        <row r="688">
          <cell r="E688"/>
          <cell r="F688"/>
          <cell r="G688"/>
          <cell r="H688">
            <v>0</v>
          </cell>
          <cell r="I688"/>
        </row>
        <row r="689">
          <cell r="E689"/>
          <cell r="F689"/>
          <cell r="G689"/>
          <cell r="H689">
            <v>0</v>
          </cell>
          <cell r="I689"/>
        </row>
        <row r="690">
          <cell r="E690"/>
          <cell r="F690"/>
          <cell r="G690"/>
          <cell r="H690">
            <v>0</v>
          </cell>
          <cell r="I690"/>
        </row>
        <row r="691">
          <cell r="E691"/>
          <cell r="F691"/>
          <cell r="G691"/>
          <cell r="H691">
            <v>0</v>
          </cell>
          <cell r="I691"/>
        </row>
        <row r="692">
          <cell r="E692"/>
          <cell r="F692"/>
          <cell r="G692"/>
          <cell r="H692">
            <v>0</v>
          </cell>
          <cell r="I692"/>
        </row>
        <row r="693">
          <cell r="E693"/>
          <cell r="F693"/>
          <cell r="G693"/>
          <cell r="H693">
            <v>0</v>
          </cell>
          <cell r="I693"/>
        </row>
        <row r="694">
          <cell r="E694"/>
          <cell r="F694"/>
          <cell r="G694"/>
          <cell r="H694">
            <v>0</v>
          </cell>
          <cell r="I694"/>
        </row>
        <row r="695">
          <cell r="E695"/>
          <cell r="F695"/>
          <cell r="G695"/>
          <cell r="H695">
            <v>0</v>
          </cell>
          <cell r="I695"/>
        </row>
        <row r="696">
          <cell r="E696"/>
          <cell r="F696"/>
          <cell r="G696"/>
          <cell r="H696">
            <v>0</v>
          </cell>
          <cell r="I696"/>
        </row>
        <row r="697">
          <cell r="E697"/>
          <cell r="F697"/>
          <cell r="G697"/>
          <cell r="H697">
            <v>0</v>
          </cell>
          <cell r="I697"/>
        </row>
        <row r="698">
          <cell r="E698"/>
          <cell r="F698"/>
          <cell r="G698"/>
          <cell r="H698">
            <v>0</v>
          </cell>
          <cell r="I698"/>
        </row>
        <row r="699">
          <cell r="E699"/>
          <cell r="F699"/>
          <cell r="G699"/>
          <cell r="H699">
            <v>0</v>
          </cell>
          <cell r="I699"/>
        </row>
        <row r="700">
          <cell r="E700"/>
          <cell r="F700"/>
          <cell r="G700"/>
          <cell r="H700">
            <v>0</v>
          </cell>
          <cell r="I700"/>
        </row>
        <row r="701">
          <cell r="E701"/>
          <cell r="F701"/>
          <cell r="G701"/>
          <cell r="H701">
            <v>0</v>
          </cell>
          <cell r="I701"/>
        </row>
        <row r="702">
          <cell r="E702"/>
          <cell r="F702"/>
          <cell r="G702"/>
          <cell r="H702">
            <v>0</v>
          </cell>
          <cell r="I702"/>
        </row>
        <row r="703">
          <cell r="E703"/>
          <cell r="F703"/>
          <cell r="G703"/>
          <cell r="H703">
            <v>0</v>
          </cell>
          <cell r="I703"/>
        </row>
        <row r="704">
          <cell r="E704"/>
          <cell r="F704"/>
          <cell r="G704"/>
          <cell r="H704">
            <v>0</v>
          </cell>
          <cell r="I704"/>
        </row>
        <row r="705">
          <cell r="E705"/>
          <cell r="F705"/>
          <cell r="G705"/>
          <cell r="H705">
            <v>0</v>
          </cell>
          <cell r="I705"/>
        </row>
        <row r="706">
          <cell r="E706"/>
          <cell r="F706"/>
          <cell r="G706"/>
          <cell r="H706">
            <v>0</v>
          </cell>
          <cell r="I706"/>
        </row>
        <row r="707">
          <cell r="E707"/>
          <cell r="F707"/>
          <cell r="G707"/>
          <cell r="H707">
            <v>0</v>
          </cell>
          <cell r="I707"/>
        </row>
        <row r="708">
          <cell r="E708"/>
          <cell r="F708"/>
          <cell r="G708"/>
          <cell r="H708">
            <v>0</v>
          </cell>
          <cell r="I708"/>
        </row>
        <row r="709">
          <cell r="E709"/>
          <cell r="F709"/>
          <cell r="G709"/>
          <cell r="H709">
            <v>0</v>
          </cell>
          <cell r="I709"/>
        </row>
        <row r="710">
          <cell r="E710"/>
          <cell r="F710"/>
          <cell r="G710"/>
          <cell r="H710">
            <v>0</v>
          </cell>
          <cell r="I710"/>
        </row>
        <row r="711">
          <cell r="E711"/>
          <cell r="F711"/>
          <cell r="G711"/>
          <cell r="H711">
            <v>0</v>
          </cell>
          <cell r="I711"/>
        </row>
        <row r="712">
          <cell r="E712"/>
          <cell r="F712"/>
          <cell r="G712"/>
          <cell r="H712">
            <v>0</v>
          </cell>
          <cell r="I712"/>
        </row>
        <row r="713">
          <cell r="E713"/>
          <cell r="F713"/>
          <cell r="G713"/>
          <cell r="H713">
            <v>0</v>
          </cell>
          <cell r="I713"/>
        </row>
        <row r="714">
          <cell r="E714"/>
          <cell r="F714"/>
          <cell r="G714"/>
          <cell r="H714">
            <v>0</v>
          </cell>
          <cell r="I714"/>
        </row>
        <row r="715">
          <cell r="E715"/>
          <cell r="F715"/>
          <cell r="G715"/>
          <cell r="H715">
            <v>0</v>
          </cell>
          <cell r="I715"/>
        </row>
        <row r="716">
          <cell r="E716"/>
          <cell r="F716"/>
          <cell r="G716"/>
          <cell r="H716">
            <v>0</v>
          </cell>
          <cell r="I716"/>
        </row>
        <row r="717">
          <cell r="E717"/>
          <cell r="F717"/>
          <cell r="G717"/>
          <cell r="H717">
            <v>0</v>
          </cell>
          <cell r="I717"/>
        </row>
        <row r="718">
          <cell r="E718"/>
          <cell r="F718"/>
          <cell r="G718"/>
          <cell r="H718">
            <v>0</v>
          </cell>
          <cell r="I718"/>
        </row>
        <row r="719">
          <cell r="E719"/>
          <cell r="F719"/>
          <cell r="G719"/>
          <cell r="H719">
            <v>0</v>
          </cell>
          <cell r="I719"/>
        </row>
        <row r="720">
          <cell r="E720"/>
          <cell r="F720"/>
          <cell r="G720"/>
          <cell r="H720">
            <v>0</v>
          </cell>
          <cell r="I720"/>
        </row>
        <row r="721">
          <cell r="E721"/>
          <cell r="F721"/>
          <cell r="G721"/>
          <cell r="H721">
            <v>0</v>
          </cell>
          <cell r="I721"/>
        </row>
        <row r="722">
          <cell r="E722"/>
          <cell r="F722"/>
          <cell r="G722"/>
          <cell r="H722">
            <v>0</v>
          </cell>
          <cell r="I722"/>
        </row>
        <row r="723">
          <cell r="E723"/>
          <cell r="F723"/>
          <cell r="G723"/>
          <cell r="H723">
            <v>0</v>
          </cell>
          <cell r="I723"/>
        </row>
        <row r="724">
          <cell r="E724"/>
          <cell r="F724"/>
          <cell r="G724"/>
          <cell r="H724">
            <v>0</v>
          </cell>
          <cell r="I724"/>
        </row>
        <row r="725">
          <cell r="E725"/>
          <cell r="F725"/>
          <cell r="G725"/>
          <cell r="H725">
            <v>0</v>
          </cell>
          <cell r="I725"/>
        </row>
        <row r="726">
          <cell r="E726"/>
          <cell r="F726"/>
          <cell r="G726"/>
          <cell r="H726">
            <v>0</v>
          </cell>
          <cell r="I726"/>
        </row>
        <row r="727">
          <cell r="E727"/>
          <cell r="F727"/>
          <cell r="G727"/>
          <cell r="H727">
            <v>0</v>
          </cell>
          <cell r="I727"/>
        </row>
        <row r="728">
          <cell r="E728"/>
          <cell r="F728"/>
          <cell r="G728"/>
          <cell r="H728">
            <v>0</v>
          </cell>
          <cell r="I728"/>
        </row>
        <row r="729">
          <cell r="E729"/>
          <cell r="F729"/>
          <cell r="G729"/>
          <cell r="H729">
            <v>0</v>
          </cell>
          <cell r="I729"/>
        </row>
        <row r="730">
          <cell r="E730"/>
          <cell r="F730"/>
          <cell r="G730"/>
          <cell r="H730">
            <v>0</v>
          </cell>
          <cell r="I730"/>
        </row>
        <row r="731">
          <cell r="E731"/>
          <cell r="F731"/>
          <cell r="G731"/>
          <cell r="H731">
            <v>0</v>
          </cell>
          <cell r="I731"/>
        </row>
        <row r="732">
          <cell r="E732"/>
          <cell r="F732"/>
          <cell r="G732"/>
          <cell r="H732">
            <v>0</v>
          </cell>
          <cell r="I732"/>
        </row>
        <row r="733">
          <cell r="E733"/>
          <cell r="F733"/>
          <cell r="G733"/>
          <cell r="H733">
            <v>0</v>
          </cell>
          <cell r="I733"/>
        </row>
        <row r="734">
          <cell r="E734"/>
          <cell r="F734"/>
          <cell r="G734"/>
          <cell r="H734">
            <v>0</v>
          </cell>
          <cell r="I734"/>
        </row>
        <row r="735">
          <cell r="E735"/>
          <cell r="F735"/>
          <cell r="G735"/>
          <cell r="H735">
            <v>0</v>
          </cell>
          <cell r="I735"/>
        </row>
        <row r="736">
          <cell r="E736"/>
          <cell r="F736"/>
          <cell r="G736"/>
          <cell r="H736">
            <v>0</v>
          </cell>
          <cell r="I736"/>
        </row>
        <row r="737">
          <cell r="E737"/>
          <cell r="F737"/>
          <cell r="G737"/>
          <cell r="H737">
            <v>0</v>
          </cell>
          <cell r="I737"/>
        </row>
        <row r="738">
          <cell r="E738"/>
          <cell r="F738"/>
          <cell r="G738"/>
          <cell r="H738">
            <v>0</v>
          </cell>
          <cell r="I738"/>
        </row>
        <row r="739">
          <cell r="E739"/>
          <cell r="F739"/>
          <cell r="G739"/>
          <cell r="H739">
            <v>0</v>
          </cell>
          <cell r="I739"/>
        </row>
        <row r="740">
          <cell r="E740"/>
          <cell r="F740"/>
          <cell r="G740"/>
          <cell r="H740">
            <v>0</v>
          </cell>
          <cell r="I740"/>
        </row>
        <row r="741">
          <cell r="E741"/>
          <cell r="F741"/>
          <cell r="G741"/>
          <cell r="H741">
            <v>0</v>
          </cell>
          <cell r="I741"/>
        </row>
        <row r="742">
          <cell r="E742"/>
          <cell r="F742"/>
          <cell r="G742"/>
          <cell r="H742">
            <v>0</v>
          </cell>
          <cell r="I742"/>
        </row>
        <row r="743">
          <cell r="E743"/>
          <cell r="F743"/>
          <cell r="G743"/>
          <cell r="H743">
            <v>0</v>
          </cell>
          <cell r="I743"/>
        </row>
        <row r="744">
          <cell r="E744"/>
          <cell r="F744"/>
          <cell r="G744"/>
          <cell r="H744">
            <v>0</v>
          </cell>
          <cell r="I744"/>
        </row>
        <row r="745">
          <cell r="E745"/>
          <cell r="F745"/>
          <cell r="G745"/>
          <cell r="H745">
            <v>0</v>
          </cell>
          <cell r="I745"/>
        </row>
        <row r="746">
          <cell r="E746"/>
          <cell r="F746"/>
          <cell r="G746"/>
          <cell r="H746">
            <v>0</v>
          </cell>
          <cell r="I746"/>
        </row>
        <row r="747">
          <cell r="E747"/>
          <cell r="F747"/>
          <cell r="G747"/>
          <cell r="H747">
            <v>0</v>
          </cell>
          <cell r="I747"/>
        </row>
        <row r="748">
          <cell r="E748"/>
          <cell r="F748"/>
          <cell r="G748"/>
          <cell r="H748">
            <v>0</v>
          </cell>
          <cell r="I748"/>
        </row>
        <row r="749">
          <cell r="E749"/>
          <cell r="F749"/>
          <cell r="G749"/>
          <cell r="H749">
            <v>0</v>
          </cell>
          <cell r="I749"/>
        </row>
        <row r="750">
          <cell r="E750"/>
          <cell r="F750"/>
          <cell r="G750"/>
          <cell r="H750">
            <v>0</v>
          </cell>
          <cell r="I750"/>
        </row>
        <row r="751">
          <cell r="E751"/>
          <cell r="F751"/>
          <cell r="G751"/>
          <cell r="H751">
            <v>0</v>
          </cell>
          <cell r="I751"/>
        </row>
        <row r="752">
          <cell r="E752"/>
          <cell r="F752"/>
          <cell r="G752"/>
          <cell r="H752">
            <v>0</v>
          </cell>
          <cell r="I752"/>
        </row>
        <row r="753">
          <cell r="E753"/>
          <cell r="F753"/>
          <cell r="G753"/>
          <cell r="H753">
            <v>0</v>
          </cell>
          <cell r="I753"/>
        </row>
        <row r="754">
          <cell r="E754"/>
          <cell r="F754"/>
          <cell r="G754"/>
          <cell r="H754">
            <v>0</v>
          </cell>
          <cell r="I754"/>
        </row>
        <row r="755">
          <cell r="E755"/>
          <cell r="F755"/>
          <cell r="G755"/>
          <cell r="H755">
            <v>0</v>
          </cell>
          <cell r="I755"/>
        </row>
        <row r="756">
          <cell r="E756"/>
          <cell r="F756"/>
          <cell r="G756"/>
          <cell r="H756">
            <v>0</v>
          </cell>
          <cell r="I756"/>
        </row>
        <row r="757">
          <cell r="E757"/>
          <cell r="F757"/>
          <cell r="G757"/>
          <cell r="H757">
            <v>0</v>
          </cell>
          <cell r="I757"/>
        </row>
        <row r="758">
          <cell r="E758"/>
          <cell r="F758"/>
          <cell r="G758"/>
          <cell r="H758">
            <v>0</v>
          </cell>
          <cell r="I758"/>
        </row>
        <row r="759">
          <cell r="E759"/>
          <cell r="F759"/>
          <cell r="G759"/>
          <cell r="H759">
            <v>0</v>
          </cell>
          <cell r="I759"/>
        </row>
        <row r="760">
          <cell r="E760"/>
          <cell r="F760"/>
          <cell r="G760"/>
          <cell r="H760">
            <v>0</v>
          </cell>
          <cell r="I760"/>
        </row>
        <row r="761">
          <cell r="E761"/>
          <cell r="F761"/>
          <cell r="G761"/>
          <cell r="H761">
            <v>0</v>
          </cell>
          <cell r="I761"/>
        </row>
        <row r="762">
          <cell r="E762"/>
          <cell r="F762"/>
          <cell r="G762"/>
          <cell r="H762">
            <v>0</v>
          </cell>
          <cell r="I762"/>
        </row>
        <row r="763">
          <cell r="E763"/>
          <cell r="F763"/>
          <cell r="G763"/>
          <cell r="H763">
            <v>0</v>
          </cell>
          <cell r="I763"/>
        </row>
        <row r="764">
          <cell r="E764"/>
          <cell r="F764"/>
          <cell r="G764"/>
          <cell r="H764">
            <v>0</v>
          </cell>
          <cell r="I764"/>
        </row>
        <row r="765">
          <cell r="E765"/>
          <cell r="F765"/>
          <cell r="G765"/>
          <cell r="H765">
            <v>0</v>
          </cell>
          <cell r="I765"/>
        </row>
        <row r="766">
          <cell r="E766"/>
          <cell r="F766"/>
          <cell r="G766"/>
          <cell r="H766">
            <v>0</v>
          </cell>
          <cell r="I766"/>
        </row>
        <row r="767">
          <cell r="E767"/>
          <cell r="F767"/>
          <cell r="G767"/>
          <cell r="H767">
            <v>0</v>
          </cell>
          <cell r="I767"/>
        </row>
        <row r="768">
          <cell r="E768"/>
          <cell r="F768"/>
          <cell r="G768"/>
          <cell r="H768">
            <v>0</v>
          </cell>
          <cell r="I768"/>
        </row>
        <row r="769">
          <cell r="E769"/>
          <cell r="F769"/>
          <cell r="G769"/>
          <cell r="H769">
            <v>0</v>
          </cell>
          <cell r="I769"/>
        </row>
        <row r="770">
          <cell r="E770"/>
          <cell r="F770"/>
          <cell r="G770"/>
          <cell r="H770">
            <v>0</v>
          </cell>
          <cell r="I770"/>
        </row>
        <row r="771">
          <cell r="E771"/>
          <cell r="F771"/>
          <cell r="G771"/>
          <cell r="H771">
            <v>0</v>
          </cell>
          <cell r="I771"/>
        </row>
        <row r="772">
          <cell r="E772"/>
          <cell r="F772"/>
          <cell r="G772"/>
          <cell r="H772">
            <v>0</v>
          </cell>
          <cell r="I772"/>
        </row>
        <row r="773">
          <cell r="E773"/>
          <cell r="F773"/>
          <cell r="G773"/>
          <cell r="H773">
            <v>0</v>
          </cell>
          <cell r="I773"/>
        </row>
        <row r="774">
          <cell r="E774"/>
          <cell r="F774"/>
          <cell r="G774"/>
          <cell r="H774">
            <v>0</v>
          </cell>
          <cell r="I774"/>
        </row>
        <row r="775">
          <cell r="E775"/>
          <cell r="F775"/>
          <cell r="G775"/>
          <cell r="H775">
            <v>0</v>
          </cell>
          <cell r="I775"/>
        </row>
        <row r="776">
          <cell r="E776"/>
          <cell r="F776"/>
          <cell r="G776"/>
          <cell r="H776">
            <v>0</v>
          </cell>
          <cell r="I776"/>
        </row>
        <row r="777">
          <cell r="E777"/>
          <cell r="F777"/>
          <cell r="G777"/>
          <cell r="H777">
            <v>0</v>
          </cell>
          <cell r="I777"/>
        </row>
        <row r="778">
          <cell r="E778"/>
          <cell r="F778"/>
          <cell r="G778"/>
          <cell r="H778">
            <v>0</v>
          </cell>
          <cell r="I778"/>
        </row>
        <row r="779">
          <cell r="E779"/>
          <cell r="F779"/>
          <cell r="G779"/>
          <cell r="H779">
            <v>0</v>
          </cell>
          <cell r="I779"/>
        </row>
        <row r="780">
          <cell r="E780"/>
          <cell r="F780"/>
          <cell r="G780"/>
          <cell r="H780">
            <v>0</v>
          </cell>
          <cell r="I780"/>
        </row>
        <row r="781">
          <cell r="E781"/>
          <cell r="F781"/>
          <cell r="G781"/>
          <cell r="H781">
            <v>0</v>
          </cell>
          <cell r="I781"/>
        </row>
        <row r="782">
          <cell r="E782"/>
          <cell r="F782"/>
          <cell r="G782"/>
          <cell r="H782">
            <v>0</v>
          </cell>
          <cell r="I782"/>
        </row>
        <row r="783">
          <cell r="E783"/>
          <cell r="F783"/>
          <cell r="G783"/>
          <cell r="H783">
            <v>0</v>
          </cell>
          <cell r="I783"/>
        </row>
        <row r="784">
          <cell r="E784"/>
          <cell r="F784"/>
          <cell r="G784"/>
          <cell r="H784">
            <v>0</v>
          </cell>
          <cell r="I784"/>
        </row>
        <row r="785">
          <cell r="E785"/>
          <cell r="F785"/>
          <cell r="G785"/>
          <cell r="H785">
            <v>0</v>
          </cell>
          <cell r="I785"/>
        </row>
        <row r="786">
          <cell r="E786"/>
          <cell r="F786"/>
          <cell r="G786"/>
          <cell r="H786">
            <v>0</v>
          </cell>
          <cell r="I786"/>
        </row>
        <row r="787">
          <cell r="E787"/>
          <cell r="F787"/>
          <cell r="G787"/>
          <cell r="H787">
            <v>0</v>
          </cell>
          <cell r="I787"/>
        </row>
        <row r="788">
          <cell r="E788"/>
          <cell r="F788"/>
          <cell r="G788"/>
          <cell r="H788">
            <v>0</v>
          </cell>
          <cell r="I788"/>
        </row>
        <row r="789">
          <cell r="E789"/>
          <cell r="F789"/>
          <cell r="G789"/>
          <cell r="H789">
            <v>0</v>
          </cell>
          <cell r="I789"/>
        </row>
        <row r="790">
          <cell r="E790"/>
          <cell r="F790"/>
          <cell r="G790"/>
          <cell r="H790">
            <v>0</v>
          </cell>
          <cell r="I790"/>
        </row>
        <row r="791">
          <cell r="E791"/>
          <cell r="F791"/>
          <cell r="G791"/>
          <cell r="H791">
            <v>0</v>
          </cell>
          <cell r="I791"/>
        </row>
        <row r="792">
          <cell r="E792"/>
          <cell r="F792"/>
          <cell r="G792"/>
          <cell r="H792">
            <v>0</v>
          </cell>
          <cell r="I792"/>
        </row>
        <row r="793">
          <cell r="E793"/>
          <cell r="F793"/>
          <cell r="G793"/>
          <cell r="H793">
            <v>0</v>
          </cell>
          <cell r="I793"/>
        </row>
        <row r="794">
          <cell r="E794"/>
          <cell r="F794"/>
          <cell r="G794"/>
          <cell r="H794">
            <v>0</v>
          </cell>
          <cell r="I794"/>
        </row>
        <row r="795">
          <cell r="E795"/>
          <cell r="F795"/>
          <cell r="G795"/>
          <cell r="H795">
            <v>0</v>
          </cell>
          <cell r="I795"/>
        </row>
        <row r="796">
          <cell r="E796"/>
          <cell r="F796"/>
          <cell r="G796"/>
          <cell r="H796">
            <v>0</v>
          </cell>
          <cell r="I796"/>
        </row>
        <row r="797">
          <cell r="E797"/>
          <cell r="F797"/>
          <cell r="G797"/>
          <cell r="H797">
            <v>0</v>
          </cell>
          <cell r="I797"/>
        </row>
        <row r="798">
          <cell r="E798"/>
          <cell r="F798"/>
          <cell r="G798"/>
          <cell r="H798">
            <v>0</v>
          </cell>
          <cell r="I798"/>
        </row>
        <row r="799">
          <cell r="E799"/>
          <cell r="F799"/>
          <cell r="G799"/>
          <cell r="H799">
            <v>0</v>
          </cell>
          <cell r="I799"/>
        </row>
        <row r="800">
          <cell r="E800"/>
          <cell r="F800"/>
          <cell r="G800"/>
          <cell r="H800">
            <v>0</v>
          </cell>
          <cell r="I800"/>
        </row>
        <row r="801">
          <cell r="E801"/>
          <cell r="F801"/>
          <cell r="G801"/>
          <cell r="H801">
            <v>0</v>
          </cell>
          <cell r="I801"/>
        </row>
        <row r="802">
          <cell r="E802"/>
          <cell r="F802"/>
          <cell r="G802"/>
          <cell r="H802">
            <v>0</v>
          </cell>
          <cell r="I802"/>
        </row>
        <row r="803">
          <cell r="E803"/>
          <cell r="F803"/>
          <cell r="G803"/>
          <cell r="H803">
            <v>0</v>
          </cell>
          <cell r="I803"/>
        </row>
        <row r="804">
          <cell r="E804"/>
          <cell r="F804"/>
          <cell r="G804"/>
          <cell r="H804">
            <v>0</v>
          </cell>
          <cell r="I804"/>
        </row>
        <row r="805">
          <cell r="E805"/>
          <cell r="F805"/>
          <cell r="G805"/>
          <cell r="H805">
            <v>0</v>
          </cell>
          <cell r="I805"/>
        </row>
        <row r="806">
          <cell r="E806"/>
          <cell r="F806"/>
          <cell r="G806"/>
          <cell r="H806">
            <v>0</v>
          </cell>
          <cell r="I806"/>
        </row>
        <row r="807">
          <cell r="E807"/>
          <cell r="F807"/>
          <cell r="G807"/>
          <cell r="H807">
            <v>0</v>
          </cell>
          <cell r="I807"/>
        </row>
        <row r="808">
          <cell r="E808"/>
          <cell r="F808"/>
          <cell r="G808"/>
          <cell r="H808">
            <v>0</v>
          </cell>
          <cell r="I808"/>
        </row>
        <row r="809">
          <cell r="E809"/>
          <cell r="F809"/>
          <cell r="G809"/>
          <cell r="H809">
            <v>0</v>
          </cell>
          <cell r="I809"/>
        </row>
        <row r="810">
          <cell r="E810"/>
          <cell r="F810"/>
          <cell r="G810"/>
          <cell r="H810">
            <v>0</v>
          </cell>
          <cell r="I810"/>
        </row>
        <row r="811">
          <cell r="E811"/>
          <cell r="F811"/>
          <cell r="G811"/>
          <cell r="H811">
            <v>0</v>
          </cell>
          <cell r="I811"/>
        </row>
        <row r="812">
          <cell r="E812"/>
          <cell r="F812"/>
          <cell r="G812"/>
          <cell r="H812">
            <v>0</v>
          </cell>
          <cell r="I812"/>
        </row>
        <row r="813">
          <cell r="E813"/>
          <cell r="F813"/>
          <cell r="G813"/>
          <cell r="H813">
            <v>0</v>
          </cell>
          <cell r="I813"/>
        </row>
        <row r="814">
          <cell r="E814"/>
          <cell r="F814"/>
          <cell r="G814"/>
          <cell r="H814">
            <v>0</v>
          </cell>
          <cell r="I814"/>
        </row>
        <row r="815">
          <cell r="E815"/>
          <cell r="F815"/>
          <cell r="G815"/>
          <cell r="H815">
            <v>0</v>
          </cell>
          <cell r="I815"/>
        </row>
        <row r="816">
          <cell r="E816"/>
          <cell r="F816"/>
          <cell r="G816"/>
          <cell r="H816">
            <v>0</v>
          </cell>
          <cell r="I816"/>
        </row>
        <row r="817">
          <cell r="E817"/>
          <cell r="F817"/>
          <cell r="G817"/>
          <cell r="H817">
            <v>0</v>
          </cell>
          <cell r="I817"/>
        </row>
        <row r="818">
          <cell r="E818"/>
          <cell r="F818"/>
          <cell r="G818"/>
          <cell r="H818">
            <v>0</v>
          </cell>
          <cell r="I818"/>
        </row>
        <row r="819">
          <cell r="E819"/>
          <cell r="F819"/>
          <cell r="G819"/>
          <cell r="H819">
            <v>0</v>
          </cell>
          <cell r="I819"/>
        </row>
        <row r="820">
          <cell r="E820"/>
          <cell r="F820"/>
          <cell r="G820"/>
          <cell r="H820">
            <v>0</v>
          </cell>
          <cell r="I820"/>
        </row>
        <row r="821">
          <cell r="E821"/>
          <cell r="F821"/>
          <cell r="G821"/>
          <cell r="H821">
            <v>0</v>
          </cell>
          <cell r="I821"/>
        </row>
        <row r="822">
          <cell r="E822"/>
          <cell r="F822"/>
          <cell r="G822"/>
          <cell r="H822">
            <v>0</v>
          </cell>
          <cell r="I822"/>
        </row>
        <row r="823">
          <cell r="E823"/>
          <cell r="F823"/>
          <cell r="G823"/>
          <cell r="H823">
            <v>0</v>
          </cell>
          <cell r="I823"/>
        </row>
        <row r="824">
          <cell r="E824"/>
          <cell r="F824"/>
          <cell r="G824"/>
          <cell r="H824">
            <v>0</v>
          </cell>
          <cell r="I824"/>
        </row>
        <row r="825">
          <cell r="E825"/>
          <cell r="F825"/>
          <cell r="G825"/>
          <cell r="H825">
            <v>0</v>
          </cell>
          <cell r="I825"/>
        </row>
        <row r="826">
          <cell r="E826"/>
          <cell r="F826"/>
          <cell r="G826"/>
          <cell r="H826">
            <v>0</v>
          </cell>
          <cell r="I826"/>
        </row>
        <row r="827">
          <cell r="E827"/>
          <cell r="F827"/>
          <cell r="G827"/>
          <cell r="H827">
            <v>0</v>
          </cell>
          <cell r="I827"/>
        </row>
        <row r="828">
          <cell r="E828"/>
          <cell r="F828"/>
          <cell r="G828"/>
          <cell r="H828">
            <v>0</v>
          </cell>
          <cell r="I828"/>
        </row>
        <row r="829">
          <cell r="E829"/>
          <cell r="F829"/>
          <cell r="G829"/>
          <cell r="H829">
            <v>0</v>
          </cell>
          <cell r="I829"/>
        </row>
        <row r="830">
          <cell r="E830"/>
          <cell r="F830"/>
          <cell r="G830"/>
          <cell r="H830">
            <v>0</v>
          </cell>
          <cell r="I830"/>
        </row>
        <row r="831">
          <cell r="E831"/>
          <cell r="F831"/>
          <cell r="G831"/>
          <cell r="H831">
            <v>0</v>
          </cell>
          <cell r="I831"/>
        </row>
        <row r="832">
          <cell r="E832"/>
          <cell r="F832"/>
          <cell r="G832"/>
          <cell r="H832">
            <v>0</v>
          </cell>
          <cell r="I832"/>
        </row>
        <row r="833">
          <cell r="E833"/>
          <cell r="F833"/>
          <cell r="G833"/>
          <cell r="H833">
            <v>0</v>
          </cell>
          <cell r="I833"/>
        </row>
        <row r="834">
          <cell r="E834"/>
          <cell r="F834"/>
          <cell r="G834"/>
          <cell r="H834">
            <v>0</v>
          </cell>
          <cell r="I834"/>
        </row>
        <row r="835">
          <cell r="E835"/>
          <cell r="F835"/>
          <cell r="G835"/>
          <cell r="H835">
            <v>0</v>
          </cell>
          <cell r="I835"/>
        </row>
        <row r="836">
          <cell r="E836"/>
          <cell r="F836"/>
          <cell r="G836"/>
          <cell r="H836">
            <v>0</v>
          </cell>
          <cell r="I836"/>
        </row>
        <row r="837">
          <cell r="E837"/>
          <cell r="F837"/>
          <cell r="G837"/>
          <cell r="H837">
            <v>0</v>
          </cell>
          <cell r="I837"/>
        </row>
        <row r="838">
          <cell r="E838"/>
          <cell r="F838"/>
          <cell r="G838"/>
          <cell r="H838">
            <v>0</v>
          </cell>
          <cell r="I838"/>
        </row>
        <row r="839">
          <cell r="E839"/>
          <cell r="F839"/>
          <cell r="G839"/>
          <cell r="H839">
            <v>0</v>
          </cell>
          <cell r="I839"/>
        </row>
        <row r="840">
          <cell r="E840"/>
          <cell r="F840"/>
          <cell r="G840"/>
          <cell r="H840">
            <v>0</v>
          </cell>
          <cell r="I840"/>
        </row>
        <row r="841">
          <cell r="E841"/>
          <cell r="F841"/>
          <cell r="G841"/>
          <cell r="H841">
            <v>0</v>
          </cell>
          <cell r="I841"/>
        </row>
        <row r="842">
          <cell r="E842"/>
          <cell r="F842"/>
          <cell r="G842"/>
          <cell r="H842">
            <v>0</v>
          </cell>
          <cell r="I842"/>
        </row>
        <row r="843">
          <cell r="E843"/>
          <cell r="F843"/>
          <cell r="G843"/>
          <cell r="H843">
            <v>0</v>
          </cell>
          <cell r="I843"/>
        </row>
        <row r="844">
          <cell r="E844"/>
          <cell r="F844"/>
          <cell r="G844"/>
          <cell r="H844">
            <v>0</v>
          </cell>
          <cell r="I844"/>
        </row>
        <row r="845">
          <cell r="E845"/>
          <cell r="F845"/>
          <cell r="G845"/>
          <cell r="H845">
            <v>0</v>
          </cell>
          <cell r="I845"/>
        </row>
        <row r="846">
          <cell r="E846"/>
          <cell r="F846"/>
          <cell r="G846"/>
          <cell r="H846">
            <v>0</v>
          </cell>
          <cell r="I846"/>
        </row>
        <row r="847">
          <cell r="E847"/>
          <cell r="F847"/>
          <cell r="G847"/>
          <cell r="H847">
            <v>0</v>
          </cell>
          <cell r="I847"/>
        </row>
        <row r="848">
          <cell r="E848"/>
          <cell r="F848"/>
          <cell r="G848"/>
          <cell r="H848">
            <v>0</v>
          </cell>
          <cell r="I848"/>
        </row>
        <row r="849">
          <cell r="E849"/>
          <cell r="F849"/>
          <cell r="G849"/>
          <cell r="H849">
            <v>0</v>
          </cell>
          <cell r="I849"/>
        </row>
        <row r="850">
          <cell r="E850"/>
          <cell r="F850"/>
          <cell r="G850"/>
          <cell r="H850">
            <v>0</v>
          </cell>
          <cell r="I850"/>
        </row>
        <row r="851">
          <cell r="E851"/>
          <cell r="F851"/>
          <cell r="G851"/>
          <cell r="H851">
            <v>0</v>
          </cell>
          <cell r="I851"/>
        </row>
        <row r="852">
          <cell r="E852"/>
          <cell r="F852"/>
          <cell r="G852"/>
          <cell r="H852">
            <v>0</v>
          </cell>
          <cell r="I852"/>
        </row>
        <row r="853">
          <cell r="E853"/>
          <cell r="F853"/>
          <cell r="G853"/>
          <cell r="H853">
            <v>0</v>
          </cell>
          <cell r="I853"/>
        </row>
        <row r="854">
          <cell r="E854"/>
          <cell r="F854"/>
          <cell r="G854"/>
          <cell r="H854">
            <v>0</v>
          </cell>
          <cell r="I854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9638F30D24B6F608/2026/Project/inter_sales/intersales_print_view.php?req_no=2174" TargetMode="External"/><Relationship Id="rId21" Type="http://schemas.openxmlformats.org/officeDocument/2006/relationships/hyperlink" Target="../../../../9638F30D24B6F608/2026/Project/inter_sales/intersales_print_view.php?req_no=2117" TargetMode="External"/><Relationship Id="rId42" Type="http://schemas.openxmlformats.org/officeDocument/2006/relationships/hyperlink" Target="../../../../9638F30D24B6F608/2026/Project/inter_sales/intersales_print_view.php?req_no=2206" TargetMode="External"/><Relationship Id="rId63" Type="http://schemas.openxmlformats.org/officeDocument/2006/relationships/hyperlink" Target="../../../../9638F30D24B6F608/2026/Project/inter_sales/intersales_print_view.php?req_no=2283" TargetMode="External"/><Relationship Id="rId84" Type="http://schemas.openxmlformats.org/officeDocument/2006/relationships/hyperlink" Target="../../../../9638F30D24B6F608/2026/Project/inter_sales/intersales_print_view.php?req_no=2206" TargetMode="External"/><Relationship Id="rId138" Type="http://schemas.openxmlformats.org/officeDocument/2006/relationships/hyperlink" Target="../../../../9638F30D24B6F608/2026/Project/inter_sales/intersales_print_view.php?req_no=2219" TargetMode="External"/><Relationship Id="rId107" Type="http://schemas.openxmlformats.org/officeDocument/2006/relationships/hyperlink" Target="../../../../9638F30D24B6F608/2026/Project/inter_sales/intersales_print_view.php?req_no=2117" TargetMode="External"/><Relationship Id="rId11" Type="http://schemas.openxmlformats.org/officeDocument/2006/relationships/hyperlink" Target="../../../../9638F30D24B6F608/2026/Project/inter_sales/intersales_print_view.php?req_no=2282" TargetMode="External"/><Relationship Id="rId32" Type="http://schemas.openxmlformats.org/officeDocument/2006/relationships/hyperlink" Target="../../../../9638F30D24B6F608/2026/Project/inter_sales/intersales_print_view.php?req_no=2117" TargetMode="External"/><Relationship Id="rId53" Type="http://schemas.openxmlformats.org/officeDocument/2006/relationships/hyperlink" Target="../../../../9638F30D24B6F608/2026/Project/inter_sales/intersales_print_view.php?req_no=2283" TargetMode="External"/><Relationship Id="rId74" Type="http://schemas.openxmlformats.org/officeDocument/2006/relationships/hyperlink" Target="../../../../9638F30D24B6F608/2026/Project/inter_sales/intersales_print_view.php?req_no=2206" TargetMode="External"/><Relationship Id="rId128" Type="http://schemas.openxmlformats.org/officeDocument/2006/relationships/hyperlink" Target="../../../../9638F30D24B6F608/2026/Project/inter_sales/intersales_print_view.php?req_no=2219" TargetMode="External"/><Relationship Id="rId149" Type="http://schemas.openxmlformats.org/officeDocument/2006/relationships/hyperlink" Target="../../../../9638F30D24B6F608/2026/Project/inter_sales/intersales_print_view.php?req_no=2219" TargetMode="External"/><Relationship Id="rId5" Type="http://schemas.openxmlformats.org/officeDocument/2006/relationships/hyperlink" Target="../../../../9638F30D24B6F608/2026/Project/inter_sales/intersales_print_view.php?req_no=2108" TargetMode="External"/><Relationship Id="rId95" Type="http://schemas.openxmlformats.org/officeDocument/2006/relationships/hyperlink" Target="../../../../9638F30D24B6F608/2026/Project/inter_sales/intersales_print_view.php?req_no=2117" TargetMode="External"/><Relationship Id="rId22" Type="http://schemas.openxmlformats.org/officeDocument/2006/relationships/hyperlink" Target="../../../../9638F30D24B6F608/2026/Project/inter_sales/intersales_print_view.php?req_no=2206" TargetMode="External"/><Relationship Id="rId43" Type="http://schemas.openxmlformats.org/officeDocument/2006/relationships/hyperlink" Target="../../../../9638F30D24B6F608/2026/Project/inter_sales/intersales_print_view.php?req_no=2219" TargetMode="External"/><Relationship Id="rId64" Type="http://schemas.openxmlformats.org/officeDocument/2006/relationships/hyperlink" Target="../../../../9638F30D24B6F608/2026/Project/inter_sales/intersales_print_view.php?req_no=2117" TargetMode="External"/><Relationship Id="rId118" Type="http://schemas.openxmlformats.org/officeDocument/2006/relationships/hyperlink" Target="../../../../9638F30D24B6F608/2026/Project/inter_sales/intersales_print_view.php?req_no=2111" TargetMode="External"/><Relationship Id="rId139" Type="http://schemas.openxmlformats.org/officeDocument/2006/relationships/hyperlink" Target="../../../../9638F30D24B6F608/2026/Project/inter_sales/intersales_print_view.php?req_no=2282" TargetMode="External"/><Relationship Id="rId80" Type="http://schemas.openxmlformats.org/officeDocument/2006/relationships/hyperlink" Target="../../../../9638F30D24B6F608/2026/Project/inter_sales/intersales_print_view.php?req_no=2206" TargetMode="External"/><Relationship Id="rId85" Type="http://schemas.openxmlformats.org/officeDocument/2006/relationships/hyperlink" Target="../../../../9638F30D24B6F608/2026/Project/inter_sales/intersales_print_view.php?req_no=2283" TargetMode="External"/><Relationship Id="rId150" Type="http://schemas.openxmlformats.org/officeDocument/2006/relationships/hyperlink" Target="../../../../9638F30D24B6F608/2026/Project/inter_sales/intersales_print_view.php?req_no=2282" TargetMode="External"/><Relationship Id="rId155" Type="http://schemas.openxmlformats.org/officeDocument/2006/relationships/hyperlink" Target="../../../../9638F30D24B6F608/2026/Project/inter_sales/intersales_print_view.php?req_no=2282" TargetMode="External"/><Relationship Id="rId12" Type="http://schemas.openxmlformats.org/officeDocument/2006/relationships/hyperlink" Target="../../../../9638F30D24B6F608/2026/Project/inter_sales/intersales_print_view.php?req_no=2108" TargetMode="External"/><Relationship Id="rId17" Type="http://schemas.openxmlformats.org/officeDocument/2006/relationships/hyperlink" Target="../../../../9638F30D24B6F608/2026/Project/inter_sales/intersales_print_view.php?req_no=2230" TargetMode="External"/><Relationship Id="rId33" Type="http://schemas.openxmlformats.org/officeDocument/2006/relationships/hyperlink" Target="../../../../9638F30D24B6F608/2026/Project/inter_sales/intersales_print_view.php?req_no=2206" TargetMode="External"/><Relationship Id="rId38" Type="http://schemas.openxmlformats.org/officeDocument/2006/relationships/hyperlink" Target="../../../../9638F30D24B6F608/2026/Project/inter_sales/intersales_print_view.php?req_no=2283" TargetMode="External"/><Relationship Id="rId59" Type="http://schemas.openxmlformats.org/officeDocument/2006/relationships/hyperlink" Target="../../../../9638F30D24B6F608/2026/Project/inter_sales/intersales_print_view.php?req_no=2206" TargetMode="External"/><Relationship Id="rId103" Type="http://schemas.openxmlformats.org/officeDocument/2006/relationships/hyperlink" Target="../../../../9638F30D24B6F608/2026/Project/inter_sales/intersales_print_view.php?req_no=2283" TargetMode="External"/><Relationship Id="rId108" Type="http://schemas.openxmlformats.org/officeDocument/2006/relationships/hyperlink" Target="../../../../9638F30D24B6F608/2026/Project/inter_sales/intersales_print_view.php?req_no=2283" TargetMode="External"/><Relationship Id="rId124" Type="http://schemas.openxmlformats.org/officeDocument/2006/relationships/hyperlink" Target="../../../../9638F30D24B6F608/2026/Project/inter_sales/intersales_print_view.php?req_no=2155" TargetMode="External"/><Relationship Id="rId129" Type="http://schemas.openxmlformats.org/officeDocument/2006/relationships/hyperlink" Target="../../../../9638F30D24B6F608/2026/Project/inter_sales/intersales_print_view.php?req_no=2282" TargetMode="External"/><Relationship Id="rId54" Type="http://schemas.openxmlformats.org/officeDocument/2006/relationships/hyperlink" Target="../../../../9638F30D24B6F608/2026/Project/inter_sales/intersales_print_view.php?req_no=2117" TargetMode="External"/><Relationship Id="rId70" Type="http://schemas.openxmlformats.org/officeDocument/2006/relationships/hyperlink" Target="../../../../9638F30D24B6F608/2026/Project/inter_sales/intersales_print_view.php?req_no=2283" TargetMode="External"/><Relationship Id="rId75" Type="http://schemas.openxmlformats.org/officeDocument/2006/relationships/hyperlink" Target="../../../../9638F30D24B6F608/2026/Project/inter_sales/intersales_print_view.php?req_no=2283" TargetMode="External"/><Relationship Id="rId91" Type="http://schemas.openxmlformats.org/officeDocument/2006/relationships/hyperlink" Target="../../../../9638F30D24B6F608/2026/Project/inter_sales/intersales_print_view.php?req_no=2283" TargetMode="External"/><Relationship Id="rId96" Type="http://schemas.openxmlformats.org/officeDocument/2006/relationships/hyperlink" Target="../../../../9638F30D24B6F608/2026/Project/inter_sales/intersales_print_view.php?req_no=2206" TargetMode="External"/><Relationship Id="rId140" Type="http://schemas.openxmlformats.org/officeDocument/2006/relationships/hyperlink" Target="../../../../9638F30D24B6F608/2026/Project/inter_sales/intersales_print_view.php?req_no=2170" TargetMode="External"/><Relationship Id="rId145" Type="http://schemas.openxmlformats.org/officeDocument/2006/relationships/hyperlink" Target="../../../../9638F30D24B6F608/2026/Project/inter_sales/intersales_print_view.php?req_no=2282" TargetMode="External"/><Relationship Id="rId1" Type="http://schemas.openxmlformats.org/officeDocument/2006/relationships/hyperlink" Target="../../../../9638F30D24B6F608/2026/Project/inter_sales/intersales_print_view.php?req_no=2108" TargetMode="External"/><Relationship Id="rId6" Type="http://schemas.openxmlformats.org/officeDocument/2006/relationships/hyperlink" Target="../../../../9638F30D24B6F608/2026/Project/inter_sales/intersales_print_view.php?req_no=2111" TargetMode="External"/><Relationship Id="rId23" Type="http://schemas.openxmlformats.org/officeDocument/2006/relationships/hyperlink" Target="../../../../9638F30D24B6F608/2026/Project/inter_sales/intersales_print_view.php?req_no=2283" TargetMode="External"/><Relationship Id="rId28" Type="http://schemas.openxmlformats.org/officeDocument/2006/relationships/hyperlink" Target="../../../../9638F30D24B6F608/2026/Project/inter_sales/intersales_print_view.php?req_no=2206" TargetMode="External"/><Relationship Id="rId49" Type="http://schemas.openxmlformats.org/officeDocument/2006/relationships/hyperlink" Target="../../../../9638F30D24B6F608/2026/Project/inter_sales/intersales_print_view.php?req_no=2206" TargetMode="External"/><Relationship Id="rId114" Type="http://schemas.openxmlformats.org/officeDocument/2006/relationships/hyperlink" Target="../../../../9638F30D24B6F608/2026/Project/inter_sales/intersales_print_view.php?req_no=2283" TargetMode="External"/><Relationship Id="rId119" Type="http://schemas.openxmlformats.org/officeDocument/2006/relationships/hyperlink" Target="../../../../9638F30D24B6F608/2026/Project/inter_sales/intersales_print_view.php?req_no=2155" TargetMode="External"/><Relationship Id="rId44" Type="http://schemas.openxmlformats.org/officeDocument/2006/relationships/hyperlink" Target="../../../../9638F30D24B6F608/2026/Project/inter_sales/intersales_print_view.php?req_no=2282" TargetMode="External"/><Relationship Id="rId60" Type="http://schemas.openxmlformats.org/officeDocument/2006/relationships/hyperlink" Target="../../../../9638F30D24B6F608/2026/Project/inter_sales/intersales_print_view.php?req_no=2283" TargetMode="External"/><Relationship Id="rId65" Type="http://schemas.openxmlformats.org/officeDocument/2006/relationships/hyperlink" Target="../../../../9638F30D24B6F608/2026/Project/inter_sales/intersales_print_view.php?req_no=2283" TargetMode="External"/><Relationship Id="rId81" Type="http://schemas.openxmlformats.org/officeDocument/2006/relationships/hyperlink" Target="../../../../9638F30D24B6F608/2026/Project/inter_sales/intersales_print_view.php?req_no=2206" TargetMode="External"/><Relationship Id="rId86" Type="http://schemas.openxmlformats.org/officeDocument/2006/relationships/hyperlink" Target="../../../../9638F30D24B6F608/2026/Project/inter_sales/intersales_print_view.php?req_no=2117" TargetMode="External"/><Relationship Id="rId130" Type="http://schemas.openxmlformats.org/officeDocument/2006/relationships/hyperlink" Target="../../../../9638F30D24B6F608/2026/Project/inter_sales/intersales_print_view.php?req_no=2184" TargetMode="External"/><Relationship Id="rId135" Type="http://schemas.openxmlformats.org/officeDocument/2006/relationships/hyperlink" Target="../../../../9638F30D24B6F608/2026/Project/inter_sales/intersales_print_view.php?req_no=2282" TargetMode="External"/><Relationship Id="rId151" Type="http://schemas.openxmlformats.org/officeDocument/2006/relationships/hyperlink" Target="../../../../9638F30D24B6F608/2026/Project/inter_sales/intersales_print_view.php?req_no=2111" TargetMode="External"/><Relationship Id="rId156" Type="http://schemas.openxmlformats.org/officeDocument/2006/relationships/hyperlink" Target="../../../../9638F30D24B6F608/2026/Project/inter_sales/intersales_print_view.php?req_no=2111" TargetMode="External"/><Relationship Id="rId13" Type="http://schemas.openxmlformats.org/officeDocument/2006/relationships/hyperlink" Target="../../../../9638F30D24B6F608/2026/Project/inter_sales/intersales_print_view.php?req_no=2111" TargetMode="External"/><Relationship Id="rId18" Type="http://schemas.openxmlformats.org/officeDocument/2006/relationships/hyperlink" Target="../../../../9638F30D24B6F608/2026/Project/inter_sales/intersales_print_view.php?req_no=2108" TargetMode="External"/><Relationship Id="rId39" Type="http://schemas.openxmlformats.org/officeDocument/2006/relationships/hyperlink" Target="../../../../9638F30D24B6F608/2026/Project/inter_sales/intersales_print_view.php?req_no=2108" TargetMode="External"/><Relationship Id="rId109" Type="http://schemas.openxmlformats.org/officeDocument/2006/relationships/hyperlink" Target="../../../../9638F30D24B6F608/2026/Project/inter_sales/intersales_print_view.php?req_no=2117" TargetMode="External"/><Relationship Id="rId34" Type="http://schemas.openxmlformats.org/officeDocument/2006/relationships/hyperlink" Target="../../../../9638F30D24B6F608/2026/Project/inter_sales/intersales_print_view.php?req_no=2283" TargetMode="External"/><Relationship Id="rId50" Type="http://schemas.openxmlformats.org/officeDocument/2006/relationships/hyperlink" Target="../../../../9638F30D24B6F608/2026/Project/inter_sales/intersales_print_view.php?req_no=2283" TargetMode="External"/><Relationship Id="rId55" Type="http://schemas.openxmlformats.org/officeDocument/2006/relationships/hyperlink" Target="../../../../9638F30D24B6F608/2026/Project/inter_sales/intersales_print_view.php?req_no=2206" TargetMode="External"/><Relationship Id="rId76" Type="http://schemas.openxmlformats.org/officeDocument/2006/relationships/hyperlink" Target="../../../../9638F30D24B6F608/2026/Project/inter_sales/intersales_print_view.php?req_no=2117" TargetMode="External"/><Relationship Id="rId97" Type="http://schemas.openxmlformats.org/officeDocument/2006/relationships/hyperlink" Target="../../../../9638F30D24B6F608/2026/Project/inter_sales/intersales_print_view.php?req_no=2283" TargetMode="External"/><Relationship Id="rId104" Type="http://schemas.openxmlformats.org/officeDocument/2006/relationships/hyperlink" Target="../../../../9638F30D24B6F608/2026/Project/inter_sales/intersales_print_view.php?req_no=2117" TargetMode="External"/><Relationship Id="rId120" Type="http://schemas.openxmlformats.org/officeDocument/2006/relationships/hyperlink" Target="../../../../9638F30D24B6F608/2026/Project/inter_sales/intersales_print_view.php?req_no=2111" TargetMode="External"/><Relationship Id="rId125" Type="http://schemas.openxmlformats.org/officeDocument/2006/relationships/hyperlink" Target="../../../../9638F30D24B6F608/2026/Project/inter_sales/intersales_print_view.php?req_no=2111" TargetMode="External"/><Relationship Id="rId141" Type="http://schemas.openxmlformats.org/officeDocument/2006/relationships/hyperlink" Target="../../../../9638F30D24B6F608/2026/Project/inter_sales/intersales_print_view.php?req_no=2219" TargetMode="External"/><Relationship Id="rId146" Type="http://schemas.openxmlformats.org/officeDocument/2006/relationships/hyperlink" Target="../../../../9638F30D24B6F608/2026/Project/inter_sales/intersales_print_view.php?req_no=2170" TargetMode="External"/><Relationship Id="rId7" Type="http://schemas.openxmlformats.org/officeDocument/2006/relationships/hyperlink" Target="../../../../9638F30D24B6F608/2026/Project/inter_sales/intersales_print_view.php?req_no=2230" TargetMode="External"/><Relationship Id="rId71" Type="http://schemas.openxmlformats.org/officeDocument/2006/relationships/hyperlink" Target="../../../../9638F30D24B6F608/2026/Project/inter_sales/intersales_print_view.php?req_no=2117" TargetMode="External"/><Relationship Id="rId92" Type="http://schemas.openxmlformats.org/officeDocument/2006/relationships/hyperlink" Target="../../../../9638F30D24B6F608/2026/Project/inter_sales/intersales_print_view.php?req_no=2117" TargetMode="External"/><Relationship Id="rId2" Type="http://schemas.openxmlformats.org/officeDocument/2006/relationships/hyperlink" Target="../../../../9638F30D24B6F608/2026/Project/inter_sales/intersales_print_view.php?req_no=2111" TargetMode="External"/><Relationship Id="rId29" Type="http://schemas.openxmlformats.org/officeDocument/2006/relationships/hyperlink" Target="../../../../9638F30D24B6F608/2026/Project/inter_sales/intersales_print_view.php?req_no=2283" TargetMode="External"/><Relationship Id="rId24" Type="http://schemas.openxmlformats.org/officeDocument/2006/relationships/hyperlink" Target="../../../../9638F30D24B6F608/2026/Project/inter_sales/intersales_print_view.php?req_no=2117" TargetMode="External"/><Relationship Id="rId40" Type="http://schemas.openxmlformats.org/officeDocument/2006/relationships/hyperlink" Target="../../../../9638F30D24B6F608/2026/Project/inter_sales/intersales_print_view.php?req_no=2111" TargetMode="External"/><Relationship Id="rId45" Type="http://schemas.openxmlformats.org/officeDocument/2006/relationships/hyperlink" Target="../../../../9638F30D24B6F608/2026/Project/inter_sales/intersales_print_view.php?req_no=2283" TargetMode="External"/><Relationship Id="rId66" Type="http://schemas.openxmlformats.org/officeDocument/2006/relationships/hyperlink" Target="../../../../9638F30D24B6F608/2026/Project/inter_sales/intersales_print_view.php?req_no=2283" TargetMode="External"/><Relationship Id="rId87" Type="http://schemas.openxmlformats.org/officeDocument/2006/relationships/hyperlink" Target="../../../../9638F30D24B6F608/2026/Project/inter_sales/intersales_print_view.php?req_no=2206" TargetMode="External"/><Relationship Id="rId110" Type="http://schemas.openxmlformats.org/officeDocument/2006/relationships/hyperlink" Target="../../../../9638F30D24B6F608/2026/Project/inter_sales/intersales_print_view.php?req_no=2283" TargetMode="External"/><Relationship Id="rId115" Type="http://schemas.openxmlformats.org/officeDocument/2006/relationships/hyperlink" Target="../../../../9638F30D24B6F608/2026/Project/inter_sales/intersales_print_view.php?req_no=2111" TargetMode="External"/><Relationship Id="rId131" Type="http://schemas.openxmlformats.org/officeDocument/2006/relationships/hyperlink" Target="../../../../9638F30D24B6F608/2026/Project/inter_sales/intersales_print_view.php?req_no=2219" TargetMode="External"/><Relationship Id="rId136" Type="http://schemas.openxmlformats.org/officeDocument/2006/relationships/hyperlink" Target="../../../../9638F30D24B6F608/2026/Project/inter_sales/intersales_print_view.php?req_no=2219" TargetMode="External"/><Relationship Id="rId157" Type="http://schemas.openxmlformats.org/officeDocument/2006/relationships/drawing" Target="../drawings/drawing3.xml"/><Relationship Id="rId61" Type="http://schemas.openxmlformats.org/officeDocument/2006/relationships/hyperlink" Target="../../../../9638F30D24B6F608/2026/Project/inter_sales/intersales_print_view.php?req_no=2117" TargetMode="External"/><Relationship Id="rId82" Type="http://schemas.openxmlformats.org/officeDocument/2006/relationships/hyperlink" Target="../../../../9638F30D24B6F608/2026/Project/inter_sales/intersales_print_view.php?req_no=2283" TargetMode="External"/><Relationship Id="rId152" Type="http://schemas.openxmlformats.org/officeDocument/2006/relationships/hyperlink" Target="../../../../9638F30D24B6F608/2026/Project/inter_sales/intersales_print_view.php?req_no=2111" TargetMode="External"/><Relationship Id="rId19" Type="http://schemas.openxmlformats.org/officeDocument/2006/relationships/hyperlink" Target="../../../../9638F30D24B6F608/2026/Project/inter_sales/intersales_print_view.php?req_no=2111" TargetMode="External"/><Relationship Id="rId14" Type="http://schemas.openxmlformats.org/officeDocument/2006/relationships/hyperlink" Target="../../../../9638F30D24B6F608/2026/Project/inter_sales/intersales_print_view.php?req_no=2230" TargetMode="External"/><Relationship Id="rId30" Type="http://schemas.openxmlformats.org/officeDocument/2006/relationships/hyperlink" Target="../../../../9638F30D24B6F608/2026/Project/inter_sales/intersales_print_view.php?req_no=2117" TargetMode="External"/><Relationship Id="rId35" Type="http://schemas.openxmlformats.org/officeDocument/2006/relationships/hyperlink" Target="../../../../9638F30D24B6F608/2026/Project/inter_sales/intersales_print_view.php?req_no=2283" TargetMode="External"/><Relationship Id="rId56" Type="http://schemas.openxmlformats.org/officeDocument/2006/relationships/hyperlink" Target="../../../../9638F30D24B6F608/2026/Project/inter_sales/intersales_print_view.php?req_no=2283" TargetMode="External"/><Relationship Id="rId77" Type="http://schemas.openxmlformats.org/officeDocument/2006/relationships/hyperlink" Target="../../../../9638F30D24B6F608/2026/Project/inter_sales/intersales_print_view.php?req_no=2283" TargetMode="External"/><Relationship Id="rId100" Type="http://schemas.openxmlformats.org/officeDocument/2006/relationships/hyperlink" Target="../../../../9638F30D24B6F608/2026/Project/inter_sales/intersales_print_view.php?req_no=2283" TargetMode="External"/><Relationship Id="rId105" Type="http://schemas.openxmlformats.org/officeDocument/2006/relationships/hyperlink" Target="../../../../9638F30D24B6F608/2026/Project/inter_sales/intersales_print_view.php?req_no=2174" TargetMode="External"/><Relationship Id="rId126" Type="http://schemas.openxmlformats.org/officeDocument/2006/relationships/hyperlink" Target="../../../../9638F30D24B6F608/2026/Project/inter_sales/intersales_print_view.php?req_no=2155" TargetMode="External"/><Relationship Id="rId147" Type="http://schemas.openxmlformats.org/officeDocument/2006/relationships/hyperlink" Target="../../../../9638F30D24B6F608/2026/Project/inter_sales/intersales_print_view.php?req_no=2219" TargetMode="External"/><Relationship Id="rId8" Type="http://schemas.openxmlformats.org/officeDocument/2006/relationships/hyperlink" Target="../../../../9638F30D24B6F608/2026/Project/inter_sales/intersales_print_view.php?req_no=2108" TargetMode="External"/><Relationship Id="rId51" Type="http://schemas.openxmlformats.org/officeDocument/2006/relationships/hyperlink" Target="../../../../9638F30D24B6F608/2026/Project/inter_sales/intersales_print_view.php?req_no=2117" TargetMode="External"/><Relationship Id="rId72" Type="http://schemas.openxmlformats.org/officeDocument/2006/relationships/hyperlink" Target="../../../../9638F30D24B6F608/2026/Project/inter_sales/intersales_print_view.php?req_no=2206" TargetMode="External"/><Relationship Id="rId93" Type="http://schemas.openxmlformats.org/officeDocument/2006/relationships/hyperlink" Target="../../../../9638F30D24B6F608/2026/Project/inter_sales/intersales_print_view.php?req_no=2206" TargetMode="External"/><Relationship Id="rId98" Type="http://schemas.openxmlformats.org/officeDocument/2006/relationships/hyperlink" Target="../../../../9638F30D24B6F608/2026/Project/inter_sales/intersales_print_view.php?req_no=2117" TargetMode="External"/><Relationship Id="rId121" Type="http://schemas.openxmlformats.org/officeDocument/2006/relationships/hyperlink" Target="../../../../9638F30D24B6F608/2026/Project/inter_sales/intersales_print_view.php?req_no=2155" TargetMode="External"/><Relationship Id="rId142" Type="http://schemas.openxmlformats.org/officeDocument/2006/relationships/hyperlink" Target="../../../../9638F30D24B6F608/2026/Project/inter_sales/intersales_print_view.php?req_no=2282" TargetMode="External"/><Relationship Id="rId3" Type="http://schemas.openxmlformats.org/officeDocument/2006/relationships/hyperlink" Target="../../../../9638F30D24B6F608/2026/Project/inter_sales/intersales_print_view.php?req_no=2219" TargetMode="External"/><Relationship Id="rId25" Type="http://schemas.openxmlformats.org/officeDocument/2006/relationships/hyperlink" Target="../../../../9638F30D24B6F608/2026/Project/inter_sales/intersales_print_view.php?req_no=2206" TargetMode="External"/><Relationship Id="rId46" Type="http://schemas.openxmlformats.org/officeDocument/2006/relationships/hyperlink" Target="../../../../9638F30D24B6F608/2026/Project/inter_sales/intersales_print_view.php?req_no=2117" TargetMode="External"/><Relationship Id="rId67" Type="http://schemas.openxmlformats.org/officeDocument/2006/relationships/hyperlink" Target="../../../../9638F30D24B6F608/2026/Project/inter_sales/intersales_print_view.php?req_no=2283" TargetMode="External"/><Relationship Id="rId116" Type="http://schemas.openxmlformats.org/officeDocument/2006/relationships/hyperlink" Target="../../../../9638F30D24B6F608/2026/Project/inter_sales/intersales_print_view.php?req_no=2155" TargetMode="External"/><Relationship Id="rId137" Type="http://schemas.openxmlformats.org/officeDocument/2006/relationships/hyperlink" Target="../../../../9638F30D24B6F608/2026/Project/inter_sales/intersales_print_view.php?req_no=2282" TargetMode="External"/><Relationship Id="rId20" Type="http://schemas.openxmlformats.org/officeDocument/2006/relationships/hyperlink" Target="../../../../9638F30D24B6F608/2026/Project/inter_sales/intersales_print_view.php?req_no=2230" TargetMode="External"/><Relationship Id="rId41" Type="http://schemas.openxmlformats.org/officeDocument/2006/relationships/hyperlink" Target="../../../../9638F30D24B6F608/2026/Project/inter_sales/intersales_print_view.php?req_no=2117" TargetMode="External"/><Relationship Id="rId62" Type="http://schemas.openxmlformats.org/officeDocument/2006/relationships/hyperlink" Target="../../../../9638F30D24B6F608/2026/Project/inter_sales/intersales_print_view.php?req_no=2206" TargetMode="External"/><Relationship Id="rId83" Type="http://schemas.openxmlformats.org/officeDocument/2006/relationships/hyperlink" Target="../../../../9638F30D24B6F608/2026/Project/inter_sales/intersales_print_view.php?req_no=2117" TargetMode="External"/><Relationship Id="rId88" Type="http://schemas.openxmlformats.org/officeDocument/2006/relationships/hyperlink" Target="../../../../9638F30D24B6F608/2026/Project/inter_sales/intersales_print_view.php?req_no=2283" TargetMode="External"/><Relationship Id="rId111" Type="http://schemas.openxmlformats.org/officeDocument/2006/relationships/hyperlink" Target="../../../../9638F30D24B6F608/2026/Project/inter_sales/intersales_print_view.php?req_no=2117" TargetMode="External"/><Relationship Id="rId132" Type="http://schemas.openxmlformats.org/officeDocument/2006/relationships/hyperlink" Target="../../../../9638F30D24B6F608/2026/Project/inter_sales/intersales_print_view.php?req_no=2282" TargetMode="External"/><Relationship Id="rId153" Type="http://schemas.openxmlformats.org/officeDocument/2006/relationships/hyperlink" Target="../../../../9638F30D24B6F608/2026/Project/inter_sales/intersales_print_view.php?req_no=2184" TargetMode="External"/><Relationship Id="rId15" Type="http://schemas.openxmlformats.org/officeDocument/2006/relationships/hyperlink" Target="../../../../9638F30D24B6F608/2026/Project/inter_sales/intersales_print_view.php?req_no=2108" TargetMode="External"/><Relationship Id="rId36" Type="http://schemas.openxmlformats.org/officeDocument/2006/relationships/hyperlink" Target="../../../../9638F30D24B6F608/2026/Project/inter_sales/intersales_print_view.php?req_no=2117" TargetMode="External"/><Relationship Id="rId57" Type="http://schemas.openxmlformats.org/officeDocument/2006/relationships/hyperlink" Target="../../../../9638F30D24B6F608/2026/Project/inter_sales/intersales_print_view.php?req_no=2283" TargetMode="External"/><Relationship Id="rId106" Type="http://schemas.openxmlformats.org/officeDocument/2006/relationships/hyperlink" Target="../../../../9638F30D24B6F608/2026/Project/inter_sales/intersales_print_view.php?req_no=2283" TargetMode="External"/><Relationship Id="rId127" Type="http://schemas.openxmlformats.org/officeDocument/2006/relationships/hyperlink" Target="../../../../9638F30D24B6F608/2026/Project/inter_sales/intersales_print_view.php?req_no=2184" TargetMode="External"/><Relationship Id="rId10" Type="http://schemas.openxmlformats.org/officeDocument/2006/relationships/hyperlink" Target="../../../../9638F30D24B6F608/2026/Project/inter_sales/intersales_print_view.php?req_no=2219" TargetMode="External"/><Relationship Id="rId31" Type="http://schemas.openxmlformats.org/officeDocument/2006/relationships/hyperlink" Target="../../../../9638F30D24B6F608/2026/Project/inter_sales/intersales_print_view.php?req_no=2206" TargetMode="External"/><Relationship Id="rId52" Type="http://schemas.openxmlformats.org/officeDocument/2006/relationships/hyperlink" Target="../../../../9638F30D24B6F608/2026/Project/inter_sales/intersales_print_view.php?req_no=2206" TargetMode="External"/><Relationship Id="rId73" Type="http://schemas.openxmlformats.org/officeDocument/2006/relationships/hyperlink" Target="../../../../9638F30D24B6F608/2026/Project/inter_sales/intersales_print_view.php?req_no=2117" TargetMode="External"/><Relationship Id="rId78" Type="http://schemas.openxmlformats.org/officeDocument/2006/relationships/hyperlink" Target="../../../../9638F30D24B6F608/2026/Project/inter_sales/intersales_print_view.php?req_no=2283" TargetMode="External"/><Relationship Id="rId94" Type="http://schemas.openxmlformats.org/officeDocument/2006/relationships/hyperlink" Target="../../../../9638F30D24B6F608/2026/Project/inter_sales/intersales_print_view.php?req_no=2283" TargetMode="External"/><Relationship Id="rId99" Type="http://schemas.openxmlformats.org/officeDocument/2006/relationships/hyperlink" Target="../../../../9638F30D24B6F608/2026/Project/inter_sales/intersales_print_view.php?req_no=2206" TargetMode="External"/><Relationship Id="rId101" Type="http://schemas.openxmlformats.org/officeDocument/2006/relationships/hyperlink" Target="../../../../9638F30D24B6F608/2026/Project/inter_sales/intersales_print_view.php?req_no=2117" TargetMode="External"/><Relationship Id="rId122" Type="http://schemas.openxmlformats.org/officeDocument/2006/relationships/hyperlink" Target="../../../../9638F30D24B6F608/2026/Project/inter_sales/intersales_print_view.php?req_no=2111" TargetMode="External"/><Relationship Id="rId143" Type="http://schemas.openxmlformats.org/officeDocument/2006/relationships/hyperlink" Target="../../../../9638F30D24B6F608/2026/Project/inter_sales/intersales_print_view.php?req_no=2170" TargetMode="External"/><Relationship Id="rId148" Type="http://schemas.openxmlformats.org/officeDocument/2006/relationships/hyperlink" Target="../../../../9638F30D24B6F608/2026/Project/inter_sales/intersales_print_view.php?req_no=2282" TargetMode="External"/><Relationship Id="rId4" Type="http://schemas.openxmlformats.org/officeDocument/2006/relationships/hyperlink" Target="../../../../9638F30D24B6F608/2026/Project/inter_sales/intersales_print_view.php?req_no=2282" TargetMode="External"/><Relationship Id="rId9" Type="http://schemas.openxmlformats.org/officeDocument/2006/relationships/hyperlink" Target="../../../../9638F30D24B6F608/2026/Project/inter_sales/intersales_print_view.php?req_no=2111" TargetMode="External"/><Relationship Id="rId26" Type="http://schemas.openxmlformats.org/officeDocument/2006/relationships/hyperlink" Target="../../../../9638F30D24B6F608/2026/Project/inter_sales/intersales_print_view.php?req_no=2283" TargetMode="External"/><Relationship Id="rId47" Type="http://schemas.openxmlformats.org/officeDocument/2006/relationships/hyperlink" Target="../../../../9638F30D24B6F608/2026/Project/inter_sales/intersales_print_view.php?req_no=2206" TargetMode="External"/><Relationship Id="rId68" Type="http://schemas.openxmlformats.org/officeDocument/2006/relationships/hyperlink" Target="../../../../9638F30D24B6F608/2026/Project/inter_sales/intersales_print_view.php?req_no=2206" TargetMode="External"/><Relationship Id="rId89" Type="http://schemas.openxmlformats.org/officeDocument/2006/relationships/hyperlink" Target="../../../../9638F30D24B6F608/2026/Project/inter_sales/intersales_print_view.php?req_no=2117" TargetMode="External"/><Relationship Id="rId112" Type="http://schemas.openxmlformats.org/officeDocument/2006/relationships/hyperlink" Target="../../../../9638F30D24B6F608/2026/Project/inter_sales/intersales_print_view.php?req_no=2283" TargetMode="External"/><Relationship Id="rId133" Type="http://schemas.openxmlformats.org/officeDocument/2006/relationships/hyperlink" Target="../../../../9638F30D24B6F608/2026/Project/inter_sales/intersales_print_view.php?req_no=2184" TargetMode="External"/><Relationship Id="rId154" Type="http://schemas.openxmlformats.org/officeDocument/2006/relationships/hyperlink" Target="../../../../9638F30D24B6F608/2026/Project/inter_sales/intersales_print_view.php?req_no=2219" TargetMode="External"/><Relationship Id="rId16" Type="http://schemas.openxmlformats.org/officeDocument/2006/relationships/hyperlink" Target="../../../../9638F30D24B6F608/2026/Project/inter_sales/intersales_print_view.php?req_no=2111" TargetMode="External"/><Relationship Id="rId37" Type="http://schemas.openxmlformats.org/officeDocument/2006/relationships/hyperlink" Target="../../../../9638F30D24B6F608/2026/Project/inter_sales/intersales_print_view.php?req_no=2206" TargetMode="External"/><Relationship Id="rId58" Type="http://schemas.openxmlformats.org/officeDocument/2006/relationships/hyperlink" Target="../../../../9638F30D24B6F608/2026/Project/inter_sales/intersales_print_view.php?req_no=2117" TargetMode="External"/><Relationship Id="rId79" Type="http://schemas.openxmlformats.org/officeDocument/2006/relationships/hyperlink" Target="../../../../9638F30D24B6F608/2026/Project/inter_sales/intersales_print_view.php?req_no=2283" TargetMode="External"/><Relationship Id="rId102" Type="http://schemas.openxmlformats.org/officeDocument/2006/relationships/hyperlink" Target="../../../../9638F30D24B6F608/2026/Project/inter_sales/intersales_print_view.php?req_no=2206" TargetMode="External"/><Relationship Id="rId123" Type="http://schemas.openxmlformats.org/officeDocument/2006/relationships/hyperlink" Target="../../../../9638F30D24B6F608/2026/Project/inter_sales/intersales_print_view.php?req_no=2111" TargetMode="External"/><Relationship Id="rId144" Type="http://schemas.openxmlformats.org/officeDocument/2006/relationships/hyperlink" Target="../../../../9638F30D24B6F608/2026/Project/inter_sales/intersales_print_view.php?req_no=2219" TargetMode="External"/><Relationship Id="rId90" Type="http://schemas.openxmlformats.org/officeDocument/2006/relationships/hyperlink" Target="../../../../9638F30D24B6F608/2026/Project/inter_sales/intersales_print_view.php?req_no=2206" TargetMode="External"/><Relationship Id="rId27" Type="http://schemas.openxmlformats.org/officeDocument/2006/relationships/hyperlink" Target="../../../../9638F30D24B6F608/2026/Project/inter_sales/intersales_print_view.php?req_no=2206" TargetMode="External"/><Relationship Id="rId48" Type="http://schemas.openxmlformats.org/officeDocument/2006/relationships/hyperlink" Target="../../../../9638F30D24B6F608/2026/Project/inter_sales/intersales_print_view.php?req_no=2283" TargetMode="External"/><Relationship Id="rId69" Type="http://schemas.openxmlformats.org/officeDocument/2006/relationships/hyperlink" Target="../../../../9638F30D24B6F608/2026/Project/inter_sales/intersales_print_view.php?req_no=2206" TargetMode="External"/><Relationship Id="rId113" Type="http://schemas.openxmlformats.org/officeDocument/2006/relationships/hyperlink" Target="../../../../9638F30D24B6F608/2026/Project/inter_sales/intersales_print_view.php?req_no=2117" TargetMode="External"/><Relationship Id="rId134" Type="http://schemas.openxmlformats.org/officeDocument/2006/relationships/hyperlink" Target="../../../../9638F30D24B6F608/2026/Project/inter_sales/intersales_print_view.php?req_no=2219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9638F30D24B6F608/2026/Project/inter_sales/intersales_print_view.php?req_no=2110" TargetMode="External"/><Relationship Id="rId21" Type="http://schemas.openxmlformats.org/officeDocument/2006/relationships/hyperlink" Target="../../../../9638F30D24B6F608/2026/Project/inter_sales/intersales_print_view.php?req_no=2116" TargetMode="External"/><Relationship Id="rId42" Type="http://schemas.openxmlformats.org/officeDocument/2006/relationships/hyperlink" Target="../../../../9638F30D24B6F608/2026/Project/inter_sales/intersales_print_view.php?req_no=2285" TargetMode="External"/><Relationship Id="rId63" Type="http://schemas.openxmlformats.org/officeDocument/2006/relationships/hyperlink" Target="../../../../9638F30D24B6F608/2026/Project/inter_sales/intersales_print_view.php?req_no=2209" TargetMode="External"/><Relationship Id="rId84" Type="http://schemas.openxmlformats.org/officeDocument/2006/relationships/hyperlink" Target="../../../../9638F30D24B6F608/2026/Project/inter_sales/intersales_print_view.php?req_no=2110" TargetMode="External"/><Relationship Id="rId138" Type="http://schemas.openxmlformats.org/officeDocument/2006/relationships/hyperlink" Target="../../../../9638F30D24B6F608/2026/Project/inter_sales/intersales_print_view.php?req_no=2113" TargetMode="External"/><Relationship Id="rId107" Type="http://schemas.openxmlformats.org/officeDocument/2006/relationships/hyperlink" Target="../../../../9638F30D24B6F608/2026/Project/inter_sales/intersales_print_view.php?req_no=2212" TargetMode="External"/><Relationship Id="rId11" Type="http://schemas.openxmlformats.org/officeDocument/2006/relationships/hyperlink" Target="../../../../9638F30D24B6F608/2026/Project/inter_sales/intersales_print_view.php?req_no=2287" TargetMode="External"/><Relationship Id="rId32" Type="http://schemas.openxmlformats.org/officeDocument/2006/relationships/hyperlink" Target="../../../../9638F30D24B6F608/2026/Project/inter_sales/intersales_print_view.php?req_no=2202" TargetMode="External"/><Relationship Id="rId53" Type="http://schemas.openxmlformats.org/officeDocument/2006/relationships/hyperlink" Target="../../../../9638F30D24B6F608/2026/Project/inter_sales/intersales_print_view.php?req_no=2209" TargetMode="External"/><Relationship Id="rId74" Type="http://schemas.openxmlformats.org/officeDocument/2006/relationships/hyperlink" Target="../../../../9638F30D24B6F608/2026/Project/inter_sales/intersales_print_view.php?req_no=2291" TargetMode="External"/><Relationship Id="rId128" Type="http://schemas.openxmlformats.org/officeDocument/2006/relationships/hyperlink" Target="../../../../9638F30D24B6F608/2026/Project/inter_sales/intersales_print_view.php?req_no=2291" TargetMode="External"/><Relationship Id="rId5" Type="http://schemas.openxmlformats.org/officeDocument/2006/relationships/hyperlink" Target="../../../../9638F30D24B6F608/2026/Project/inter_sales/intersales_print_view.php?req_no=2288" TargetMode="External"/><Relationship Id="rId90" Type="http://schemas.openxmlformats.org/officeDocument/2006/relationships/hyperlink" Target="../../../../9638F30D24B6F608/2026/Project/inter_sales/intersales_print_view.php?req_no=2211" TargetMode="External"/><Relationship Id="rId95" Type="http://schemas.openxmlformats.org/officeDocument/2006/relationships/hyperlink" Target="../../../../9638F30D24B6F608/2026/Project/inter_sales/intersales_print_view.php?req_no=2291" TargetMode="External"/><Relationship Id="rId22" Type="http://schemas.openxmlformats.org/officeDocument/2006/relationships/hyperlink" Target="../../../../9638F30D24B6F608/2026/Project/inter_sales/intersales_print_view.php?req_no=2203" TargetMode="External"/><Relationship Id="rId27" Type="http://schemas.openxmlformats.org/officeDocument/2006/relationships/hyperlink" Target="../../../../9638F30D24B6F608/2026/Project/inter_sales/intersales_print_view.php?req_no=2287" TargetMode="External"/><Relationship Id="rId43" Type="http://schemas.openxmlformats.org/officeDocument/2006/relationships/hyperlink" Target="../../../../9638F30D24B6F608/2026/Project/inter_sales/intersales_print_view.php?req_no=2115" TargetMode="External"/><Relationship Id="rId48" Type="http://schemas.openxmlformats.org/officeDocument/2006/relationships/hyperlink" Target="../../../../9638F30D24B6F608/2026/Project/inter_sales/intersales_print_view.php?req_no=2285" TargetMode="External"/><Relationship Id="rId64" Type="http://schemas.openxmlformats.org/officeDocument/2006/relationships/hyperlink" Target="../../../../9638F30D24B6F608/2026/Project/inter_sales/intersales_print_view.php?req_no=2288" TargetMode="External"/><Relationship Id="rId69" Type="http://schemas.openxmlformats.org/officeDocument/2006/relationships/hyperlink" Target="../../../../9638F30D24B6F608/2026/Project/inter_sales/intersales_print_view.php?req_no=2211" TargetMode="External"/><Relationship Id="rId113" Type="http://schemas.openxmlformats.org/officeDocument/2006/relationships/hyperlink" Target="../../../../9638F30D24B6F608/2026/Project/inter_sales/intersales_print_view.php?req_no=2110" TargetMode="External"/><Relationship Id="rId118" Type="http://schemas.openxmlformats.org/officeDocument/2006/relationships/hyperlink" Target="../../../../9638F30D24B6F608/2026/Project/inter_sales/intersales_print_view.php?req_no=2114" TargetMode="External"/><Relationship Id="rId134" Type="http://schemas.openxmlformats.org/officeDocument/2006/relationships/hyperlink" Target="../../../../9638F30D24B6F608/2026/Project/inter_sales/intersales_print_view.php?req_no=2114" TargetMode="External"/><Relationship Id="rId139" Type="http://schemas.openxmlformats.org/officeDocument/2006/relationships/hyperlink" Target="../../../../9638F30D24B6F608/2026/Project/inter_sales/intersales_print_view.php?req_no=2210" TargetMode="External"/><Relationship Id="rId80" Type="http://schemas.openxmlformats.org/officeDocument/2006/relationships/hyperlink" Target="../../../../9638F30D24B6F608/2026/Project/inter_sales/intersales_print_view.php?req_no=2110" TargetMode="External"/><Relationship Id="rId85" Type="http://schemas.openxmlformats.org/officeDocument/2006/relationships/hyperlink" Target="../../../../9638F30D24B6F608/2026/Project/inter_sales/intersales_print_view.php?req_no=2114" TargetMode="External"/><Relationship Id="rId12" Type="http://schemas.openxmlformats.org/officeDocument/2006/relationships/hyperlink" Target="../../../../9638F30D24B6F608/2026/Project/inter_sales/intersales_print_view.php?req_no=2116" TargetMode="External"/><Relationship Id="rId17" Type="http://schemas.openxmlformats.org/officeDocument/2006/relationships/hyperlink" Target="../../../../9638F30D24B6F608/2026/Project/inter_sales/intersales_print_view.php?req_no=2287" TargetMode="External"/><Relationship Id="rId33" Type="http://schemas.openxmlformats.org/officeDocument/2006/relationships/hyperlink" Target="../../../../9638F30D24B6F608/2026/Project/inter_sales/intersales_print_view.php?req_no=2285" TargetMode="External"/><Relationship Id="rId38" Type="http://schemas.openxmlformats.org/officeDocument/2006/relationships/hyperlink" Target="../../../../9638F30D24B6F608/2026/Project/inter_sales/intersales_print_view.php?req_no=2202" TargetMode="External"/><Relationship Id="rId59" Type="http://schemas.openxmlformats.org/officeDocument/2006/relationships/hyperlink" Target="../../../../9638F30D24B6F608/2026/Project/inter_sales/intersales_print_view.php?req_no=2118" TargetMode="External"/><Relationship Id="rId103" Type="http://schemas.openxmlformats.org/officeDocument/2006/relationships/hyperlink" Target="../../../../9638F30D24B6F608/2026/Project/inter_sales/intersales_print_view.php?req_no=2114" TargetMode="External"/><Relationship Id="rId108" Type="http://schemas.openxmlformats.org/officeDocument/2006/relationships/hyperlink" Target="../../../../9638F30D24B6F608/2026/Project/inter_sales/intersales_print_view.php?req_no=2290" TargetMode="External"/><Relationship Id="rId124" Type="http://schemas.openxmlformats.org/officeDocument/2006/relationships/hyperlink" Target="../../../../9638F30D24B6F608/2026/Project/inter_sales/intersales_print_view.php?req_no=2291" TargetMode="External"/><Relationship Id="rId129" Type="http://schemas.openxmlformats.org/officeDocument/2006/relationships/hyperlink" Target="../../../../9638F30D24B6F608/2026/Project/inter_sales/intersales_print_view.php?req_no=2110" TargetMode="External"/><Relationship Id="rId54" Type="http://schemas.openxmlformats.org/officeDocument/2006/relationships/hyperlink" Target="../../../../9638F30D24B6F608/2026/Project/inter_sales/intersales_print_view.php?req_no=2288" TargetMode="External"/><Relationship Id="rId70" Type="http://schemas.openxmlformats.org/officeDocument/2006/relationships/hyperlink" Target="../../../../9638F30D24B6F608/2026/Project/inter_sales/intersales_print_view.php?req_no=2291" TargetMode="External"/><Relationship Id="rId75" Type="http://schemas.openxmlformats.org/officeDocument/2006/relationships/hyperlink" Target="../../../../9638F30D24B6F608/2026/Project/inter_sales/intersales_print_view.php?req_no=2110" TargetMode="External"/><Relationship Id="rId91" Type="http://schemas.openxmlformats.org/officeDocument/2006/relationships/hyperlink" Target="../../../../9638F30D24B6F608/2026/Project/inter_sales/intersales_print_view.php?req_no=2291" TargetMode="External"/><Relationship Id="rId96" Type="http://schemas.openxmlformats.org/officeDocument/2006/relationships/hyperlink" Target="../../../../9638F30D24B6F608/2026/Project/inter_sales/intersales_print_view.php?req_no=2110" TargetMode="External"/><Relationship Id="rId140" Type="http://schemas.openxmlformats.org/officeDocument/2006/relationships/hyperlink" Target="../../../../9638F30D24B6F608/2026/Project/inter_sales/intersales_print_view.php?req_no=2110" TargetMode="External"/><Relationship Id="rId145" Type="http://schemas.openxmlformats.org/officeDocument/2006/relationships/hyperlink" Target="../../../../9638F30D24B6F608/2026/Project/inter_sales/intersales_print_view.php?req_no=2112" TargetMode="External"/><Relationship Id="rId1" Type="http://schemas.openxmlformats.org/officeDocument/2006/relationships/hyperlink" Target="../../../../9638F30D24B6F608/2026/Project/inter_sales/intersales_print_view.php?req_no=2118" TargetMode="External"/><Relationship Id="rId6" Type="http://schemas.openxmlformats.org/officeDocument/2006/relationships/hyperlink" Target="../../../../9638F30D24B6F608/2026/Project/inter_sales/intersales_print_view.php?req_no=2118" TargetMode="External"/><Relationship Id="rId23" Type="http://schemas.openxmlformats.org/officeDocument/2006/relationships/hyperlink" Target="../../../../9638F30D24B6F608/2026/Project/inter_sales/intersales_print_view.php?req_no=2287" TargetMode="External"/><Relationship Id="rId28" Type="http://schemas.openxmlformats.org/officeDocument/2006/relationships/hyperlink" Target="../../../../9638F30D24B6F608/2026/Project/inter_sales/intersales_print_view.php?req_no=2116" TargetMode="External"/><Relationship Id="rId49" Type="http://schemas.openxmlformats.org/officeDocument/2006/relationships/hyperlink" Target="../../../../9638F30D24B6F608/2026/Project/inter_sales/intersales_print_view.php?req_no=2115" TargetMode="External"/><Relationship Id="rId114" Type="http://schemas.openxmlformats.org/officeDocument/2006/relationships/hyperlink" Target="../../../../9638F30D24B6F608/2026/Project/inter_sales/intersales_print_view.php?req_no=2114" TargetMode="External"/><Relationship Id="rId119" Type="http://schemas.openxmlformats.org/officeDocument/2006/relationships/hyperlink" Target="../../../../9638F30D24B6F608/2026/Project/inter_sales/intersales_print_view.php?req_no=2211" TargetMode="External"/><Relationship Id="rId44" Type="http://schemas.openxmlformats.org/officeDocument/2006/relationships/hyperlink" Target="../../../../9638F30D24B6F608/2026/Project/inter_sales/intersales_print_view.php?req_no=2202" TargetMode="External"/><Relationship Id="rId60" Type="http://schemas.openxmlformats.org/officeDocument/2006/relationships/hyperlink" Target="../../../../9638F30D24B6F608/2026/Project/inter_sales/intersales_print_view.php?req_no=2209" TargetMode="External"/><Relationship Id="rId65" Type="http://schemas.openxmlformats.org/officeDocument/2006/relationships/hyperlink" Target="../../../../9638F30D24B6F608/2026/Project/inter_sales/intersales_print_view.php?req_no=2260" TargetMode="External"/><Relationship Id="rId81" Type="http://schemas.openxmlformats.org/officeDocument/2006/relationships/hyperlink" Target="../../../../9638F30D24B6F608/2026/Project/inter_sales/intersales_print_view.php?req_no=2114" TargetMode="External"/><Relationship Id="rId86" Type="http://schemas.openxmlformats.org/officeDocument/2006/relationships/hyperlink" Target="../../../../9638F30D24B6F608/2026/Project/inter_sales/intersales_print_view.php?req_no=2211" TargetMode="External"/><Relationship Id="rId130" Type="http://schemas.openxmlformats.org/officeDocument/2006/relationships/hyperlink" Target="../../../../9638F30D24B6F608/2026/Project/inter_sales/intersales_print_view.php?req_no=2114" TargetMode="External"/><Relationship Id="rId135" Type="http://schemas.openxmlformats.org/officeDocument/2006/relationships/hyperlink" Target="../../../../9638F30D24B6F608/2026/Project/inter_sales/intersales_print_view.php?req_no=2211" TargetMode="External"/><Relationship Id="rId13" Type="http://schemas.openxmlformats.org/officeDocument/2006/relationships/hyperlink" Target="../../../../9638F30D24B6F608/2026/Project/inter_sales/intersales_print_view.php?req_no=2203" TargetMode="External"/><Relationship Id="rId18" Type="http://schemas.openxmlformats.org/officeDocument/2006/relationships/hyperlink" Target="../../../../9638F30D24B6F608/2026/Project/inter_sales/intersales_print_view.php?req_no=2116" TargetMode="External"/><Relationship Id="rId39" Type="http://schemas.openxmlformats.org/officeDocument/2006/relationships/hyperlink" Target="../../../../9638F30D24B6F608/2026/Project/inter_sales/intersales_print_view.php?req_no=2285" TargetMode="External"/><Relationship Id="rId109" Type="http://schemas.openxmlformats.org/officeDocument/2006/relationships/hyperlink" Target="../../../../9638F30D24B6F608/2026/Project/inter_sales/intersales_print_view.php?req_no=2109" TargetMode="External"/><Relationship Id="rId34" Type="http://schemas.openxmlformats.org/officeDocument/2006/relationships/hyperlink" Target="../../../../9638F30D24B6F608/2026/Project/inter_sales/intersales_print_view.php?req_no=2115" TargetMode="External"/><Relationship Id="rId50" Type="http://schemas.openxmlformats.org/officeDocument/2006/relationships/hyperlink" Target="../../../../9638F30D24B6F608/2026/Project/inter_sales/intersales_print_view.php?req_no=2202" TargetMode="External"/><Relationship Id="rId55" Type="http://schemas.openxmlformats.org/officeDocument/2006/relationships/hyperlink" Target="../../../../9638F30D24B6F608/2026/Project/inter_sales/intersales_print_view.php?req_no=2119" TargetMode="External"/><Relationship Id="rId76" Type="http://schemas.openxmlformats.org/officeDocument/2006/relationships/hyperlink" Target="../../../../9638F30D24B6F608/2026/Project/inter_sales/intersales_print_view.php?req_no=2114" TargetMode="External"/><Relationship Id="rId97" Type="http://schemas.openxmlformats.org/officeDocument/2006/relationships/hyperlink" Target="../../../../9638F30D24B6F608/2026/Project/inter_sales/intersales_print_view.php?req_no=2114" TargetMode="External"/><Relationship Id="rId104" Type="http://schemas.openxmlformats.org/officeDocument/2006/relationships/hyperlink" Target="../../../../9638F30D24B6F608/2026/Project/inter_sales/intersales_print_view.php?req_no=2211" TargetMode="External"/><Relationship Id="rId120" Type="http://schemas.openxmlformats.org/officeDocument/2006/relationships/hyperlink" Target="../../../../9638F30D24B6F608/2026/Project/inter_sales/intersales_print_view.php?req_no=2291" TargetMode="External"/><Relationship Id="rId125" Type="http://schemas.openxmlformats.org/officeDocument/2006/relationships/hyperlink" Target="../../../../9638F30D24B6F608/2026/Project/inter_sales/intersales_print_view.php?req_no=2110" TargetMode="External"/><Relationship Id="rId141" Type="http://schemas.openxmlformats.org/officeDocument/2006/relationships/hyperlink" Target="../../../../9638F30D24B6F608/2026/Project/inter_sales/intersales_print_view.php?req_no=2114" TargetMode="External"/><Relationship Id="rId146" Type="http://schemas.openxmlformats.org/officeDocument/2006/relationships/hyperlink" Target="../../../../9638F30D24B6F608/2026/Project/inter_sales/intersales_print_view.php?req_no=2156" TargetMode="External"/><Relationship Id="rId7" Type="http://schemas.openxmlformats.org/officeDocument/2006/relationships/hyperlink" Target="../../../../9638F30D24B6F608/2026/Project/inter_sales/intersales_print_view.php?req_no=2209" TargetMode="External"/><Relationship Id="rId71" Type="http://schemas.openxmlformats.org/officeDocument/2006/relationships/hyperlink" Target="../../../../9638F30D24B6F608/2026/Project/inter_sales/intersales_print_view.php?req_no=2110" TargetMode="External"/><Relationship Id="rId92" Type="http://schemas.openxmlformats.org/officeDocument/2006/relationships/hyperlink" Target="../../../../9638F30D24B6F608/2026/Project/inter_sales/intersales_print_view.php?req_no=2110" TargetMode="External"/><Relationship Id="rId2" Type="http://schemas.openxmlformats.org/officeDocument/2006/relationships/hyperlink" Target="../../../../9638F30D24B6F608/2026/Project/inter_sales/intersales_print_view.php?req_no=2209" TargetMode="External"/><Relationship Id="rId29" Type="http://schemas.openxmlformats.org/officeDocument/2006/relationships/hyperlink" Target="../../../../9638F30D24B6F608/2026/Project/inter_sales/intersales_print_view.php?req_no=2203" TargetMode="External"/><Relationship Id="rId24" Type="http://schemas.openxmlformats.org/officeDocument/2006/relationships/hyperlink" Target="../../../../9638F30D24B6F608/2026/Project/inter_sales/intersales_print_view.php?req_no=2116" TargetMode="External"/><Relationship Id="rId40" Type="http://schemas.openxmlformats.org/officeDocument/2006/relationships/hyperlink" Target="../../../../9638F30D24B6F608/2026/Project/inter_sales/intersales_print_view.php?req_no=2115" TargetMode="External"/><Relationship Id="rId45" Type="http://schemas.openxmlformats.org/officeDocument/2006/relationships/hyperlink" Target="../../../../9638F30D24B6F608/2026/Project/inter_sales/intersales_print_view.php?req_no=2285" TargetMode="External"/><Relationship Id="rId66" Type="http://schemas.openxmlformats.org/officeDocument/2006/relationships/hyperlink" Target="../../../../9638F30D24B6F608/2026/Project/inter_sales/intersales_print_view.php?req_no=2203" TargetMode="External"/><Relationship Id="rId87" Type="http://schemas.openxmlformats.org/officeDocument/2006/relationships/hyperlink" Target="../../../../9638F30D24B6F608/2026/Project/inter_sales/intersales_print_view.php?req_no=2291" TargetMode="External"/><Relationship Id="rId110" Type="http://schemas.openxmlformats.org/officeDocument/2006/relationships/hyperlink" Target="../../../../9638F30D24B6F608/2026/Project/inter_sales/intersales_print_view.php?req_no=2113" TargetMode="External"/><Relationship Id="rId115" Type="http://schemas.openxmlformats.org/officeDocument/2006/relationships/hyperlink" Target="../../../../9638F30D24B6F608/2026/Project/inter_sales/intersales_print_view.php?req_no=2211" TargetMode="External"/><Relationship Id="rId131" Type="http://schemas.openxmlformats.org/officeDocument/2006/relationships/hyperlink" Target="../../../../9638F30D24B6F608/2026/Project/inter_sales/intersales_print_view.php?req_no=2211" TargetMode="External"/><Relationship Id="rId136" Type="http://schemas.openxmlformats.org/officeDocument/2006/relationships/hyperlink" Target="../../../../9638F30D24B6F608/2026/Project/inter_sales/intersales_print_view.php?req_no=2291" TargetMode="External"/><Relationship Id="rId61" Type="http://schemas.openxmlformats.org/officeDocument/2006/relationships/hyperlink" Target="../../../../9638F30D24B6F608/2026/Project/inter_sales/intersales_print_view.php?req_no=2288" TargetMode="External"/><Relationship Id="rId82" Type="http://schemas.openxmlformats.org/officeDocument/2006/relationships/hyperlink" Target="../../../../9638F30D24B6F608/2026/Project/inter_sales/intersales_print_view.php?req_no=2211" TargetMode="External"/><Relationship Id="rId19" Type="http://schemas.openxmlformats.org/officeDocument/2006/relationships/hyperlink" Target="../../../../9638F30D24B6F608/2026/Project/inter_sales/intersales_print_view.php?req_no=2203" TargetMode="External"/><Relationship Id="rId14" Type="http://schemas.openxmlformats.org/officeDocument/2006/relationships/hyperlink" Target="../../../../9638F30D24B6F608/2026/Project/inter_sales/intersales_print_view.php?req_no=2287" TargetMode="External"/><Relationship Id="rId30" Type="http://schemas.openxmlformats.org/officeDocument/2006/relationships/hyperlink" Target="../../../../9638F30D24B6F608/2026/Project/inter_sales/intersales_print_view.php?req_no=2287" TargetMode="External"/><Relationship Id="rId35" Type="http://schemas.openxmlformats.org/officeDocument/2006/relationships/hyperlink" Target="../../../../9638F30D24B6F608/2026/Project/inter_sales/intersales_print_view.php?req_no=2202" TargetMode="External"/><Relationship Id="rId56" Type="http://schemas.openxmlformats.org/officeDocument/2006/relationships/hyperlink" Target="../../../../9638F30D24B6F608/2026/Project/inter_sales/intersales_print_view.php?req_no=2204" TargetMode="External"/><Relationship Id="rId77" Type="http://schemas.openxmlformats.org/officeDocument/2006/relationships/hyperlink" Target="../../../../9638F30D24B6F608/2026/Project/inter_sales/intersales_print_view.php?req_no=2152" TargetMode="External"/><Relationship Id="rId100" Type="http://schemas.openxmlformats.org/officeDocument/2006/relationships/hyperlink" Target="../../../../9638F30D24B6F608/2026/Project/inter_sales/intersales_print_view.php?req_no=2211" TargetMode="External"/><Relationship Id="rId105" Type="http://schemas.openxmlformats.org/officeDocument/2006/relationships/hyperlink" Target="../../../../9638F30D24B6F608/2026/Project/inter_sales/intersales_print_view.php?req_no=2291" TargetMode="External"/><Relationship Id="rId126" Type="http://schemas.openxmlformats.org/officeDocument/2006/relationships/hyperlink" Target="../../../../9638F30D24B6F608/2026/Project/inter_sales/intersales_print_view.php?req_no=2114" TargetMode="External"/><Relationship Id="rId147" Type="http://schemas.openxmlformats.org/officeDocument/2006/relationships/drawing" Target="../drawings/drawing4.xml"/><Relationship Id="rId8" Type="http://schemas.openxmlformats.org/officeDocument/2006/relationships/hyperlink" Target="../../../../9638F30D24B6F608/2026/Project/inter_sales/intersales_print_view.php?req_no=2288" TargetMode="External"/><Relationship Id="rId51" Type="http://schemas.openxmlformats.org/officeDocument/2006/relationships/hyperlink" Target="../../../../9638F30D24B6F608/2026/Project/inter_sales/intersales_print_view.php?req_no=2285" TargetMode="External"/><Relationship Id="rId72" Type="http://schemas.openxmlformats.org/officeDocument/2006/relationships/hyperlink" Target="../../../../9638F30D24B6F608/2026/Project/inter_sales/intersales_print_view.php?req_no=2114" TargetMode="External"/><Relationship Id="rId93" Type="http://schemas.openxmlformats.org/officeDocument/2006/relationships/hyperlink" Target="../../../../9638F30D24B6F608/2026/Project/inter_sales/intersales_print_view.php?req_no=2114" TargetMode="External"/><Relationship Id="rId98" Type="http://schemas.openxmlformats.org/officeDocument/2006/relationships/hyperlink" Target="../../../../9638F30D24B6F608/2026/Project/inter_sales/intersales_print_view.php?req_no=2211" TargetMode="External"/><Relationship Id="rId121" Type="http://schemas.openxmlformats.org/officeDocument/2006/relationships/hyperlink" Target="../../../../9638F30D24B6F608/2026/Project/inter_sales/intersales_print_view.php?req_no=2110" TargetMode="External"/><Relationship Id="rId142" Type="http://schemas.openxmlformats.org/officeDocument/2006/relationships/hyperlink" Target="../../../../9638F30D24B6F608/2026/Project/inter_sales/intersales_print_view.php?req_no=2211" TargetMode="External"/><Relationship Id="rId3" Type="http://schemas.openxmlformats.org/officeDocument/2006/relationships/hyperlink" Target="../../../../9638F30D24B6F608/2026/Project/inter_sales/intersales_print_view.php?req_no=2288" TargetMode="External"/><Relationship Id="rId25" Type="http://schemas.openxmlformats.org/officeDocument/2006/relationships/hyperlink" Target="../../../../9638F30D24B6F608/2026/Project/inter_sales/intersales_print_view.php?req_no=2203" TargetMode="External"/><Relationship Id="rId46" Type="http://schemas.openxmlformats.org/officeDocument/2006/relationships/hyperlink" Target="../../../../9638F30D24B6F608/2026/Project/inter_sales/intersales_print_view.php?req_no=2115" TargetMode="External"/><Relationship Id="rId67" Type="http://schemas.openxmlformats.org/officeDocument/2006/relationships/hyperlink" Target="../../../../9638F30D24B6F608/2026/Project/inter_sales/intersales_print_view.php?req_no=2110" TargetMode="External"/><Relationship Id="rId116" Type="http://schemas.openxmlformats.org/officeDocument/2006/relationships/hyperlink" Target="../../../../9638F30D24B6F608/2026/Project/inter_sales/intersales_print_view.php?req_no=2291" TargetMode="External"/><Relationship Id="rId137" Type="http://schemas.openxmlformats.org/officeDocument/2006/relationships/hyperlink" Target="../../../../9638F30D24B6F608/2026/Project/inter_sales/intersales_print_view.php?req_no=2109" TargetMode="External"/><Relationship Id="rId20" Type="http://schemas.openxmlformats.org/officeDocument/2006/relationships/hyperlink" Target="../../../../9638F30D24B6F608/2026/Project/inter_sales/intersales_print_view.php?req_no=2287" TargetMode="External"/><Relationship Id="rId41" Type="http://schemas.openxmlformats.org/officeDocument/2006/relationships/hyperlink" Target="../../../../9638F30D24B6F608/2026/Project/inter_sales/intersales_print_view.php?req_no=2202" TargetMode="External"/><Relationship Id="rId62" Type="http://schemas.openxmlformats.org/officeDocument/2006/relationships/hyperlink" Target="../../../../9638F30D24B6F608/2026/Project/inter_sales/intersales_print_view.php?req_no=2118" TargetMode="External"/><Relationship Id="rId83" Type="http://schemas.openxmlformats.org/officeDocument/2006/relationships/hyperlink" Target="../../../../9638F30D24B6F608/2026/Project/inter_sales/intersales_print_view.php?req_no=2291" TargetMode="External"/><Relationship Id="rId88" Type="http://schemas.openxmlformats.org/officeDocument/2006/relationships/hyperlink" Target="../../../../9638F30D24B6F608/2026/Project/inter_sales/intersales_print_view.php?req_no=2110" TargetMode="External"/><Relationship Id="rId111" Type="http://schemas.openxmlformats.org/officeDocument/2006/relationships/hyperlink" Target="../../../../9638F30D24B6F608/2026/Project/inter_sales/intersales_print_view.php?req_no=2210" TargetMode="External"/><Relationship Id="rId132" Type="http://schemas.openxmlformats.org/officeDocument/2006/relationships/hyperlink" Target="../../../../9638F30D24B6F608/2026/Project/inter_sales/intersales_print_view.php?req_no=2291" TargetMode="External"/><Relationship Id="rId15" Type="http://schemas.openxmlformats.org/officeDocument/2006/relationships/hyperlink" Target="../../../../9638F30D24B6F608/2026/Project/inter_sales/intersales_print_view.php?req_no=2116" TargetMode="External"/><Relationship Id="rId36" Type="http://schemas.openxmlformats.org/officeDocument/2006/relationships/hyperlink" Target="../../../../9638F30D24B6F608/2026/Project/inter_sales/intersales_print_view.php?req_no=2285" TargetMode="External"/><Relationship Id="rId57" Type="http://schemas.openxmlformats.org/officeDocument/2006/relationships/hyperlink" Target="../../../../9638F30D24B6F608/2026/Project/inter_sales/intersales_print_view.php?req_no=2286" TargetMode="External"/><Relationship Id="rId106" Type="http://schemas.openxmlformats.org/officeDocument/2006/relationships/hyperlink" Target="../../../../9638F30D24B6F608/2026/Project/inter_sales/intersales_print_view.php?req_no=2112" TargetMode="External"/><Relationship Id="rId127" Type="http://schemas.openxmlformats.org/officeDocument/2006/relationships/hyperlink" Target="../../../../9638F30D24B6F608/2026/Project/inter_sales/intersales_print_view.php?req_no=2211" TargetMode="External"/><Relationship Id="rId10" Type="http://schemas.openxmlformats.org/officeDocument/2006/relationships/hyperlink" Target="../../../../9638F30D24B6F608/2026/Project/inter_sales/intersales_print_view.php?req_no=2203" TargetMode="External"/><Relationship Id="rId31" Type="http://schemas.openxmlformats.org/officeDocument/2006/relationships/hyperlink" Target="../../../../9638F30D24B6F608/2026/Project/inter_sales/intersales_print_view.php?req_no=2115" TargetMode="External"/><Relationship Id="rId52" Type="http://schemas.openxmlformats.org/officeDocument/2006/relationships/hyperlink" Target="../../../../9638F30D24B6F608/2026/Project/inter_sales/intersales_print_view.php?req_no=2118" TargetMode="External"/><Relationship Id="rId73" Type="http://schemas.openxmlformats.org/officeDocument/2006/relationships/hyperlink" Target="../../../../9638F30D24B6F608/2026/Project/inter_sales/intersales_print_view.php?req_no=2211" TargetMode="External"/><Relationship Id="rId78" Type="http://schemas.openxmlformats.org/officeDocument/2006/relationships/hyperlink" Target="../../../../9638F30D24B6F608/2026/Project/inter_sales/intersales_print_view.php?req_no=2211" TargetMode="External"/><Relationship Id="rId94" Type="http://schemas.openxmlformats.org/officeDocument/2006/relationships/hyperlink" Target="../../../../9638F30D24B6F608/2026/Project/inter_sales/intersales_print_view.php?req_no=2211" TargetMode="External"/><Relationship Id="rId99" Type="http://schemas.openxmlformats.org/officeDocument/2006/relationships/hyperlink" Target="../../../../9638F30D24B6F608/2026/Project/inter_sales/intersales_print_view.php?req_no=2291" TargetMode="External"/><Relationship Id="rId101" Type="http://schemas.openxmlformats.org/officeDocument/2006/relationships/hyperlink" Target="../../../../9638F30D24B6F608/2026/Project/inter_sales/intersales_print_view.php?req_no=2291" TargetMode="External"/><Relationship Id="rId122" Type="http://schemas.openxmlformats.org/officeDocument/2006/relationships/hyperlink" Target="../../../../9638F30D24B6F608/2026/Project/inter_sales/intersales_print_view.php?req_no=2114" TargetMode="External"/><Relationship Id="rId143" Type="http://schemas.openxmlformats.org/officeDocument/2006/relationships/hyperlink" Target="../../../../9638F30D24B6F608/2026/Project/inter_sales/intersales_print_view.php?req_no=2291" TargetMode="External"/><Relationship Id="rId4" Type="http://schemas.openxmlformats.org/officeDocument/2006/relationships/hyperlink" Target="../../../../9638F30D24B6F608/2026/Project/inter_sales/intersales_print_view.php?req_no=2209" TargetMode="External"/><Relationship Id="rId9" Type="http://schemas.openxmlformats.org/officeDocument/2006/relationships/hyperlink" Target="../../../../9638F30D24B6F608/2026/Project/inter_sales/intersales_print_view.php?req_no=2116" TargetMode="External"/><Relationship Id="rId26" Type="http://schemas.openxmlformats.org/officeDocument/2006/relationships/hyperlink" Target="../../../../9638F30D24B6F608/2026/Project/inter_sales/intersales_print_view.php?req_no=2287" TargetMode="External"/><Relationship Id="rId47" Type="http://schemas.openxmlformats.org/officeDocument/2006/relationships/hyperlink" Target="../../../../9638F30D24B6F608/2026/Project/inter_sales/intersales_print_view.php?req_no=2202" TargetMode="External"/><Relationship Id="rId68" Type="http://schemas.openxmlformats.org/officeDocument/2006/relationships/hyperlink" Target="../../../../9638F30D24B6F608/2026/Project/inter_sales/intersales_print_view.php?req_no=2114" TargetMode="External"/><Relationship Id="rId89" Type="http://schemas.openxmlformats.org/officeDocument/2006/relationships/hyperlink" Target="../../../../9638F30D24B6F608/2026/Project/inter_sales/intersales_print_view.php?req_no=2114" TargetMode="External"/><Relationship Id="rId112" Type="http://schemas.openxmlformats.org/officeDocument/2006/relationships/hyperlink" Target="../../../../9638F30D24B6F608/2026/Project/inter_sales/intersales_print_view.php?req_no=2289" TargetMode="External"/><Relationship Id="rId133" Type="http://schemas.openxmlformats.org/officeDocument/2006/relationships/hyperlink" Target="../../../../9638F30D24B6F608/2026/Project/inter_sales/intersales_print_view.php?req_no=2110" TargetMode="External"/><Relationship Id="rId16" Type="http://schemas.openxmlformats.org/officeDocument/2006/relationships/hyperlink" Target="../../../../9638F30D24B6F608/2026/Project/inter_sales/intersales_print_view.php?req_no=2203" TargetMode="External"/><Relationship Id="rId37" Type="http://schemas.openxmlformats.org/officeDocument/2006/relationships/hyperlink" Target="../../../../9638F30D24B6F608/2026/Project/inter_sales/intersales_print_view.php?req_no=2115" TargetMode="External"/><Relationship Id="rId58" Type="http://schemas.openxmlformats.org/officeDocument/2006/relationships/hyperlink" Target="../../../../9638F30D24B6F608/2026/Project/inter_sales/intersales_print_view.php?req_no=2285" TargetMode="External"/><Relationship Id="rId79" Type="http://schemas.openxmlformats.org/officeDocument/2006/relationships/hyperlink" Target="../../../../9638F30D24B6F608/2026/Project/inter_sales/intersales_print_view.php?req_no=2291" TargetMode="External"/><Relationship Id="rId102" Type="http://schemas.openxmlformats.org/officeDocument/2006/relationships/hyperlink" Target="../../../../9638F30D24B6F608/2026/Project/inter_sales/intersales_print_view.php?req_no=2110" TargetMode="External"/><Relationship Id="rId123" Type="http://schemas.openxmlformats.org/officeDocument/2006/relationships/hyperlink" Target="../../../../9638F30D24B6F608/2026/Project/inter_sales/intersales_print_view.php?req_no=2211" TargetMode="External"/><Relationship Id="rId144" Type="http://schemas.openxmlformats.org/officeDocument/2006/relationships/hyperlink" Target="../../../../9638F30D24B6F608/2026/Project/inter_sales/intersales_print_view.php?req_no=2216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B31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24" sqref="N24"/>
    </sheetView>
  </sheetViews>
  <sheetFormatPr defaultColWidth="9.109375" defaultRowHeight="13.8" x14ac:dyDescent="0.25"/>
  <cols>
    <col min="1" max="1" width="4.109375" style="25" customWidth="1"/>
    <col min="2" max="2" width="22" style="1" bestFit="1" customWidth="1"/>
    <col min="3" max="3" width="15.6640625" style="1" bestFit="1" customWidth="1"/>
    <col min="4" max="4" width="55.6640625" style="1" bestFit="1" customWidth="1"/>
    <col min="5" max="5" width="11.109375" style="25" bestFit="1" customWidth="1"/>
    <col min="6" max="6" width="11.109375" style="25" customWidth="1"/>
    <col min="7" max="7" width="11.109375" style="25" bestFit="1" customWidth="1"/>
    <col min="8" max="8" width="11.109375" style="25" customWidth="1"/>
    <col min="9" max="9" width="11.109375" style="25" bestFit="1" customWidth="1"/>
    <col min="10" max="10" width="3" style="25" customWidth="1"/>
    <col min="11" max="11" width="7.33203125" style="25" bestFit="1" customWidth="1"/>
    <col min="12" max="14" width="9.109375" style="1" customWidth="1"/>
    <col min="15" max="15" width="13" style="1" hidden="1" customWidth="1"/>
    <col min="16" max="17" width="9.109375" style="1" hidden="1" customWidth="1"/>
    <col min="18" max="19" width="13" style="1" hidden="1" customWidth="1"/>
    <col min="20" max="20" width="9.109375" style="1" customWidth="1"/>
    <col min="21" max="28" width="13" style="1" hidden="1" customWidth="1"/>
    <col min="29" max="31" width="9.109375" style="1" customWidth="1"/>
    <col min="32" max="16384" width="9.109375" style="1"/>
  </cols>
  <sheetData>
    <row r="1" spans="1:24" ht="43.5" customHeight="1" thickBot="1" x14ac:dyDescent="0.3">
      <c r="A1" s="141" t="s">
        <v>528</v>
      </c>
      <c r="B1" s="141" t="s">
        <v>529</v>
      </c>
      <c r="C1" s="141"/>
      <c r="D1" s="141" t="s">
        <v>530</v>
      </c>
      <c r="E1" s="76" t="s">
        <v>531</v>
      </c>
      <c r="F1" s="76" t="s">
        <v>532</v>
      </c>
      <c r="G1" s="76" t="s">
        <v>533</v>
      </c>
      <c r="H1" s="76" t="s">
        <v>534</v>
      </c>
      <c r="I1" s="76" t="s">
        <v>535</v>
      </c>
      <c r="K1" s="57" t="s">
        <v>536</v>
      </c>
    </row>
    <row r="2" spans="1:24" ht="15.75" customHeight="1" thickBot="1" x14ac:dyDescent="0.3">
      <c r="A2" s="144" t="s">
        <v>537</v>
      </c>
      <c r="B2" s="145"/>
      <c r="C2" s="145"/>
      <c r="D2" s="145"/>
      <c r="E2" s="146"/>
      <c r="F2" s="146"/>
      <c r="G2" s="146"/>
      <c r="H2" s="146"/>
      <c r="I2" s="147"/>
      <c r="K2" s="76"/>
    </row>
    <row r="3" spans="1:24" x14ac:dyDescent="0.25">
      <c r="A3" s="38">
        <v>1</v>
      </c>
      <c r="B3" s="142" t="s">
        <v>500</v>
      </c>
      <c r="C3" s="142" t="s">
        <v>538</v>
      </c>
      <c r="D3" s="142" t="s">
        <v>501</v>
      </c>
      <c r="E3" s="80">
        <v>2700</v>
      </c>
      <c r="F3" s="91">
        <f t="array" ref="F3:F6">_xlfn.XLOOKUP(B3:B6,'ERP Entry FG'!E:E,'ERP Entry FG'!L:L,0)</f>
        <v>2690</v>
      </c>
      <c r="G3" s="91">
        <v>2522</v>
      </c>
      <c r="H3" s="143">
        <f>G3-F3</f>
        <v>-168</v>
      </c>
      <c r="I3" s="30">
        <f>E3-G3</f>
        <v>178</v>
      </c>
      <c r="K3" s="32">
        <v>200</v>
      </c>
    </row>
    <row r="4" spans="1:24" x14ac:dyDescent="0.25">
      <c r="A4" s="38">
        <v>2</v>
      </c>
      <c r="B4" s="142" t="s">
        <v>502</v>
      </c>
      <c r="C4" s="142" t="s">
        <v>539</v>
      </c>
      <c r="D4" s="142" t="s">
        <v>503</v>
      </c>
      <c r="E4" s="80">
        <v>2200</v>
      </c>
      <c r="F4" s="91">
        <v>1554</v>
      </c>
      <c r="G4" s="91">
        <v>870</v>
      </c>
      <c r="H4" s="143">
        <f>G4-F4</f>
        <v>-684</v>
      </c>
      <c r="I4" s="30">
        <f>E4-G4</f>
        <v>1330</v>
      </c>
      <c r="K4" s="33">
        <v>1000</v>
      </c>
    </row>
    <row r="5" spans="1:24" x14ac:dyDescent="0.25">
      <c r="A5" s="38">
        <v>3</v>
      </c>
      <c r="B5" s="142" t="s">
        <v>540</v>
      </c>
      <c r="C5" s="142" t="s">
        <v>541</v>
      </c>
      <c r="D5" s="142" t="s">
        <v>542</v>
      </c>
      <c r="E5" s="80">
        <v>8300</v>
      </c>
      <c r="F5" s="91">
        <v>3078</v>
      </c>
      <c r="G5" s="91">
        <v>3048</v>
      </c>
      <c r="H5" s="143">
        <f>G5-F5</f>
        <v>-30</v>
      </c>
      <c r="I5" s="30">
        <f>E5-G5</f>
        <v>5252</v>
      </c>
      <c r="K5" s="33">
        <v>1000</v>
      </c>
    </row>
    <row r="6" spans="1:24" ht="15.75" customHeight="1" thickBot="1" x14ac:dyDescent="0.3">
      <c r="A6" s="39">
        <v>4</v>
      </c>
      <c r="B6" s="148" t="s">
        <v>543</v>
      </c>
      <c r="C6" s="148" t="s">
        <v>544</v>
      </c>
      <c r="D6" s="148" t="s">
        <v>545</v>
      </c>
      <c r="E6" s="81">
        <v>2600</v>
      </c>
      <c r="F6" s="92">
        <v>2626</v>
      </c>
      <c r="G6" s="92">
        <v>2626</v>
      </c>
      <c r="H6" s="149">
        <f>G6-F6</f>
        <v>0</v>
      </c>
      <c r="I6" s="31">
        <f>E6-G6</f>
        <v>-26</v>
      </c>
      <c r="K6" s="34">
        <v>1000</v>
      </c>
    </row>
    <row r="7" spans="1:24" ht="15.75" customHeight="1" thickBot="1" x14ac:dyDescent="0.3"/>
    <row r="8" spans="1:24" x14ac:dyDescent="0.25">
      <c r="A8" s="131" t="s">
        <v>546</v>
      </c>
      <c r="B8" s="132"/>
      <c r="C8" s="133"/>
      <c r="D8" s="133"/>
      <c r="E8" s="134"/>
      <c r="F8" s="134"/>
      <c r="G8" s="134"/>
      <c r="H8" s="134"/>
      <c r="I8" s="135"/>
      <c r="K8" s="130"/>
    </row>
    <row r="9" spans="1:24" x14ac:dyDescent="0.25">
      <c r="A9" s="126">
        <v>1</v>
      </c>
      <c r="B9" s="127" t="s">
        <v>547</v>
      </c>
      <c r="C9" s="128" t="s">
        <v>548</v>
      </c>
      <c r="D9" s="129" t="s">
        <v>549</v>
      </c>
      <c r="E9" s="77">
        <v>75000</v>
      </c>
      <c r="F9" s="88">
        <f t="array" ref="F9:F10">_xlfn.XLOOKUP(B9:B10,'ERP Entry FG'!E:E,'ERP Entry FG'!L:L,0)</f>
        <v>70128</v>
      </c>
      <c r="G9" s="83">
        <v>54000</v>
      </c>
      <c r="H9" s="86">
        <f>G9-F9</f>
        <v>-16128</v>
      </c>
      <c r="I9" s="30">
        <f>E9-G9</f>
        <v>21000</v>
      </c>
      <c r="K9" s="33">
        <v>7000</v>
      </c>
    </row>
    <row r="10" spans="1:24" ht="15.75" customHeight="1" thickBot="1" x14ac:dyDescent="0.3">
      <c r="A10" s="136">
        <v>2</v>
      </c>
      <c r="B10" s="137" t="s">
        <v>550</v>
      </c>
      <c r="C10" s="138" t="s">
        <v>551</v>
      </c>
      <c r="D10" s="139" t="s">
        <v>552</v>
      </c>
      <c r="E10" s="78">
        <v>50000</v>
      </c>
      <c r="F10" s="89">
        <v>79872</v>
      </c>
      <c r="G10" s="140">
        <v>27360</v>
      </c>
      <c r="H10" s="87">
        <f>G10-F10</f>
        <v>-52512</v>
      </c>
      <c r="I10" s="31">
        <f>E10-G10</f>
        <v>22640</v>
      </c>
      <c r="K10" s="33">
        <v>7000</v>
      </c>
    </row>
    <row r="12" spans="1:24" ht="15.75" customHeight="1" thickBot="1" x14ac:dyDescent="0.3">
      <c r="A12" s="124" t="s">
        <v>553</v>
      </c>
      <c r="B12" s="124"/>
      <c r="C12" s="123"/>
      <c r="D12" s="123"/>
      <c r="E12" s="125">
        <f>SUM(E13:E20)</f>
        <v>45000</v>
      </c>
      <c r="F12" s="122"/>
      <c r="G12" s="122"/>
      <c r="H12" s="122"/>
      <c r="I12" s="122"/>
    </row>
    <row r="13" spans="1:24" x14ac:dyDescent="0.25">
      <c r="A13" s="63">
        <v>1</v>
      </c>
      <c r="B13" s="64" t="s">
        <v>483</v>
      </c>
      <c r="C13" s="64" t="s">
        <v>554</v>
      </c>
      <c r="D13" s="64" t="s">
        <v>484</v>
      </c>
      <c r="E13" s="79">
        <v>30000</v>
      </c>
      <c r="F13" s="90">
        <f t="array" ref="F13:F20">_xlfn.XLOOKUP(B13:B20,'ERP Entry FG'!E:E,'ERP Entry FG'!L:L,0)</f>
        <v>30786</v>
      </c>
      <c r="G13" s="82"/>
      <c r="H13" s="85"/>
      <c r="I13" s="65">
        <f t="shared" ref="I13:I20" si="0">E13-G13</f>
        <v>30000</v>
      </c>
      <c r="J13" s="75"/>
      <c r="K13" s="66">
        <v>1000</v>
      </c>
    </row>
    <row r="14" spans="1:24" x14ac:dyDescent="0.25">
      <c r="A14" s="67">
        <v>2</v>
      </c>
      <c r="B14" s="14" t="s">
        <v>485</v>
      </c>
      <c r="C14" s="14" t="s">
        <v>555</v>
      </c>
      <c r="D14" s="14" t="s">
        <v>486</v>
      </c>
      <c r="E14" s="80"/>
      <c r="F14" s="91">
        <v>0</v>
      </c>
      <c r="G14" s="83"/>
      <c r="H14" s="86"/>
      <c r="I14" s="68">
        <f t="shared" si="0"/>
        <v>0</v>
      </c>
      <c r="K14" s="69"/>
    </row>
    <row r="15" spans="1:24" x14ac:dyDescent="0.25">
      <c r="A15" s="67">
        <v>3</v>
      </c>
      <c r="B15" s="14" t="s">
        <v>487</v>
      </c>
      <c r="C15" s="14" t="s">
        <v>556</v>
      </c>
      <c r="D15" s="14" t="s">
        <v>488</v>
      </c>
      <c r="E15" s="80"/>
      <c r="F15" s="91">
        <v>0</v>
      </c>
      <c r="G15" s="83"/>
      <c r="H15" s="86"/>
      <c r="I15" s="68">
        <f t="shared" si="0"/>
        <v>0</v>
      </c>
      <c r="K15" s="69">
        <v>1000</v>
      </c>
      <c r="Q15" s="1">
        <f>128+39+170</f>
        <v>337</v>
      </c>
    </row>
    <row r="16" spans="1:24" x14ac:dyDescent="0.25">
      <c r="A16" s="67">
        <v>4</v>
      </c>
      <c r="B16" s="14" t="s">
        <v>557</v>
      </c>
      <c r="C16" s="14" t="s">
        <v>558</v>
      </c>
      <c r="D16" s="14" t="s">
        <v>559</v>
      </c>
      <c r="E16" s="80"/>
      <c r="F16" s="91">
        <v>60</v>
      </c>
      <c r="G16" s="83"/>
      <c r="H16" s="86"/>
      <c r="I16" s="68">
        <f t="shared" si="0"/>
        <v>0</v>
      </c>
      <c r="K16" s="69"/>
      <c r="Q16" s="1">
        <f>Q15*4*12</f>
        <v>16176</v>
      </c>
      <c r="V16" s="1" t="s">
        <v>483</v>
      </c>
      <c r="X16" s="1" t="s">
        <v>484</v>
      </c>
    </row>
    <row r="17" spans="1:24" x14ac:dyDescent="0.25">
      <c r="A17" s="67">
        <v>5</v>
      </c>
      <c r="B17" s="14" t="s">
        <v>489</v>
      </c>
      <c r="C17" s="14" t="s">
        <v>560</v>
      </c>
      <c r="D17" s="14" t="s">
        <v>490</v>
      </c>
      <c r="E17" s="80"/>
      <c r="F17" s="91">
        <v>335</v>
      </c>
      <c r="G17" s="83"/>
      <c r="H17" s="86"/>
      <c r="I17" s="68">
        <f t="shared" si="0"/>
        <v>0</v>
      </c>
      <c r="K17" s="69">
        <v>50</v>
      </c>
      <c r="V17" s="1" t="s">
        <v>485</v>
      </c>
      <c r="X17" s="1" t="s">
        <v>486</v>
      </c>
    </row>
    <row r="18" spans="1:24" x14ac:dyDescent="0.25">
      <c r="A18" s="67">
        <v>6</v>
      </c>
      <c r="B18" s="14" t="s">
        <v>493</v>
      </c>
      <c r="C18" s="14" t="s">
        <v>561</v>
      </c>
      <c r="D18" s="14" t="s">
        <v>494</v>
      </c>
      <c r="E18" s="80">
        <v>5000</v>
      </c>
      <c r="F18" s="91">
        <v>1100</v>
      </c>
      <c r="G18" s="83"/>
      <c r="H18" s="86"/>
      <c r="I18" s="68">
        <f t="shared" si="0"/>
        <v>5000</v>
      </c>
      <c r="K18" s="69"/>
      <c r="V18" s="1" t="s">
        <v>487</v>
      </c>
      <c r="X18" s="1" t="s">
        <v>562</v>
      </c>
    </row>
    <row r="19" spans="1:24" x14ac:dyDescent="0.25">
      <c r="A19" s="67">
        <v>7</v>
      </c>
      <c r="B19" s="14" t="s">
        <v>495</v>
      </c>
      <c r="C19" s="14" t="s">
        <v>563</v>
      </c>
      <c r="D19" s="14" t="s">
        <v>496</v>
      </c>
      <c r="E19" s="80">
        <v>5000</v>
      </c>
      <c r="F19" s="91">
        <v>8000</v>
      </c>
      <c r="G19" s="83"/>
      <c r="H19" s="86"/>
      <c r="I19" s="68">
        <f t="shared" si="0"/>
        <v>5000</v>
      </c>
      <c r="K19" s="69"/>
      <c r="V19" s="1" t="s">
        <v>557</v>
      </c>
      <c r="X19" s="1" t="s">
        <v>559</v>
      </c>
    </row>
    <row r="20" spans="1:24" ht="15.75" customHeight="1" thickBot="1" x14ac:dyDescent="0.3">
      <c r="A20" s="70">
        <v>8</v>
      </c>
      <c r="B20" s="71" t="s">
        <v>497</v>
      </c>
      <c r="C20" s="71" t="s">
        <v>564</v>
      </c>
      <c r="D20" s="71" t="s">
        <v>498</v>
      </c>
      <c r="E20" s="81">
        <v>5000</v>
      </c>
      <c r="F20" s="92">
        <v>1091</v>
      </c>
      <c r="G20" s="84"/>
      <c r="H20" s="87"/>
      <c r="I20" s="73">
        <f t="shared" si="0"/>
        <v>5000</v>
      </c>
      <c r="J20" s="74"/>
      <c r="K20" s="72"/>
      <c r="V20" s="1" t="s">
        <v>489</v>
      </c>
      <c r="X20" s="1" t="s">
        <v>490</v>
      </c>
    </row>
    <row r="21" spans="1:24" ht="15.75" customHeight="1" thickBot="1" x14ac:dyDescent="0.3"/>
    <row r="22" spans="1:24" x14ac:dyDescent="0.25">
      <c r="A22" s="107"/>
      <c r="B22" s="42" t="s">
        <v>565</v>
      </c>
      <c r="C22" s="42"/>
      <c r="D22" s="42" t="str">
        <f t="array" ref="D22:D31">_xlfn.XLOOKUP(B22:B31,'ERP Entry FG'!E:E,'ERP Entry FG'!F:F)</f>
        <v>24 Inch Super Ceiling Fan Blade - Ivory</v>
      </c>
      <c r="E22" s="108"/>
      <c r="F22" s="90">
        <f t="array" ref="F22:F31">_xlfn.XLOOKUP(B22:B31,'ERP Entry FG'!E:E,'ERP Entry FG'!L:L,0)</f>
        <v>0</v>
      </c>
      <c r="G22" s="108"/>
      <c r="H22" s="109"/>
      <c r="I22" s="110"/>
      <c r="K22" s="115"/>
      <c r="V22" s="1" t="s">
        <v>495</v>
      </c>
      <c r="X22" s="1" t="s">
        <v>496</v>
      </c>
    </row>
    <row r="23" spans="1:24" x14ac:dyDescent="0.25">
      <c r="A23" s="43"/>
      <c r="B23" s="5" t="s">
        <v>566</v>
      </c>
      <c r="C23" s="5"/>
      <c r="D23" s="5" t="str">
        <v>36 Inch Hero Ceiling Fan- Ivory (Without Regulator)</v>
      </c>
      <c r="E23" s="41"/>
      <c r="F23" s="91">
        <v>0</v>
      </c>
      <c r="G23" s="41"/>
      <c r="H23" s="55"/>
      <c r="I23" s="44"/>
      <c r="K23" s="46"/>
      <c r="V23" s="1" t="s">
        <v>497</v>
      </c>
      <c r="X23" s="1" t="s">
        <v>498</v>
      </c>
    </row>
    <row r="24" spans="1:24" x14ac:dyDescent="0.25">
      <c r="A24" s="43"/>
      <c r="B24" s="5" t="s">
        <v>514</v>
      </c>
      <c r="C24" s="5"/>
      <c r="D24" s="5" t="str">
        <v>36 Inch Hero Celling Fan Blade - Ivory</v>
      </c>
      <c r="E24" s="41"/>
      <c r="F24" s="91">
        <v>1</v>
      </c>
      <c r="G24" s="41"/>
      <c r="H24" s="55"/>
      <c r="I24" s="44"/>
      <c r="K24" s="46"/>
    </row>
    <row r="25" spans="1:24" x14ac:dyDescent="0.25">
      <c r="A25" s="43"/>
      <c r="B25" s="5" t="s">
        <v>517</v>
      </c>
      <c r="C25" s="5"/>
      <c r="D25" s="5" t="str">
        <v>48 Inch Popular Celling Fan Blade- Ivory</v>
      </c>
      <c r="E25" s="41"/>
      <c r="F25" s="91">
        <v>0</v>
      </c>
      <c r="G25" s="41"/>
      <c r="H25" s="55"/>
      <c r="I25" s="44"/>
      <c r="K25" s="46"/>
    </row>
    <row r="26" spans="1:24" x14ac:dyDescent="0.25">
      <c r="A26" s="43"/>
      <c r="B26" s="5" t="s">
        <v>567</v>
      </c>
      <c r="C26" s="5"/>
      <c r="D26" s="5" t="str">
        <v>56 Inch Premium Ceiling Fan - White</v>
      </c>
      <c r="E26" s="41"/>
      <c r="F26" s="91">
        <v>49</v>
      </c>
      <c r="G26" s="41"/>
      <c r="H26" s="55"/>
      <c r="I26" s="44"/>
      <c r="K26" s="46"/>
      <c r="P26" s="1">
        <f>170*4*12</f>
        <v>8160</v>
      </c>
    </row>
    <row r="27" spans="1:24" x14ac:dyDescent="0.25">
      <c r="A27" s="43"/>
      <c r="B27" s="5" t="s">
        <v>519</v>
      </c>
      <c r="C27" s="5"/>
      <c r="D27" s="5" t="str">
        <v>56 Inch Premium Ceiling Fan Blade - Ivory</v>
      </c>
      <c r="E27" s="41"/>
      <c r="F27" s="91">
        <v>0</v>
      </c>
      <c r="G27" s="41"/>
      <c r="H27" s="55"/>
      <c r="I27" s="44"/>
      <c r="K27" s="46"/>
    </row>
    <row r="28" spans="1:24" x14ac:dyDescent="0.25">
      <c r="A28" s="43"/>
      <c r="B28" s="5" t="s">
        <v>491</v>
      </c>
      <c r="C28" s="5"/>
      <c r="D28" s="5" t="str">
        <v>56 Inch Premium Ceiling Fan- Ivory (Without Regulator)</v>
      </c>
      <c r="E28" s="41"/>
      <c r="F28" s="91">
        <v>2015</v>
      </c>
      <c r="G28" s="41"/>
      <c r="H28" s="55"/>
      <c r="I28" s="44"/>
      <c r="K28" s="46"/>
    </row>
    <row r="29" spans="1:24" x14ac:dyDescent="0.25">
      <c r="A29" s="43"/>
      <c r="B29" s="5" t="s">
        <v>568</v>
      </c>
      <c r="C29" s="5"/>
      <c r="D29" s="5" t="str">
        <v>56 Inch Premium Ceiling Fan- White (Without Regulator)</v>
      </c>
      <c r="E29" s="41"/>
      <c r="F29" s="91">
        <v>56</v>
      </c>
      <c r="G29" s="41"/>
      <c r="H29" s="55"/>
      <c r="I29" s="44"/>
      <c r="K29" s="46"/>
    </row>
    <row r="30" spans="1:24" x14ac:dyDescent="0.25">
      <c r="A30" s="43"/>
      <c r="B30" s="5" t="s">
        <v>569</v>
      </c>
      <c r="C30" s="5"/>
      <c r="D30" s="5" t="str">
        <v>56 Inch Premium Plus Ceiling Fan With Gang Regulator - Ivory</v>
      </c>
      <c r="E30" s="41"/>
      <c r="F30" s="91">
        <v>0</v>
      </c>
      <c r="G30" s="41"/>
      <c r="H30" s="55"/>
      <c r="I30" s="44"/>
      <c r="K30" s="46"/>
    </row>
    <row r="31" spans="1:24" ht="15.75" customHeight="1" thickBot="1" x14ac:dyDescent="0.3">
      <c r="A31" s="111"/>
      <c r="B31" s="45" t="s">
        <v>570</v>
      </c>
      <c r="C31" s="45"/>
      <c r="D31" s="45" t="str">
        <v>56 Inch Premium Plus Ceiling Fan- Ivory (Without Regulator)</v>
      </c>
      <c r="E31" s="112"/>
      <c r="F31" s="92">
        <v>0</v>
      </c>
      <c r="G31" s="112"/>
      <c r="H31" s="113"/>
      <c r="I31" s="114"/>
      <c r="K31" s="116"/>
    </row>
  </sheetData>
  <conditionalFormatting sqref="B13:B20 B22:B31">
    <cfRule type="duplicateValues" dxfId="87" priority="39"/>
  </conditionalFormatting>
  <conditionalFormatting sqref="F3:F11 F13:F20 F22:F31">
    <cfRule type="cellIs" dxfId="86" priority="3" operator="greaterThan">
      <formula>0</formula>
    </cfRule>
  </conditionalFormatting>
  <conditionalFormatting sqref="G3:G6">
    <cfRule type="cellIs" dxfId="85" priority="1" operator="greaterThan">
      <formula>0</formula>
    </cfRule>
  </conditionalFormatting>
  <conditionalFormatting sqref="I3:I11 I13:I20">
    <cfRule type="cellIs" dxfId="84" priority="4" operator="lessThan">
      <formula>0</formula>
    </cfRule>
    <cfRule type="cellIs" dxfId="83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X4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S2" sqref="S2"/>
    </sheetView>
  </sheetViews>
  <sheetFormatPr defaultColWidth="9.109375" defaultRowHeight="13.8" x14ac:dyDescent="0.25"/>
  <cols>
    <col min="1" max="1" width="3.44140625" style="1" bestFit="1" customWidth="1"/>
    <col min="2" max="2" width="24.6640625" style="1" bestFit="1" customWidth="1"/>
    <col min="3" max="3" width="13.33203125" style="25" bestFit="1" customWidth="1"/>
    <col min="4" max="4" width="41.5546875" style="1" bestFit="1" customWidth="1"/>
    <col min="5" max="5" width="4.5546875" style="1" bestFit="1" customWidth="1"/>
    <col min="6" max="6" width="8.109375" style="25" bestFit="1" customWidth="1"/>
    <col min="7" max="7" width="12.109375" style="1" customWidth="1"/>
    <col min="8" max="9" width="9.109375" style="1" hidden="1" customWidth="1"/>
    <col min="10" max="10" width="12.88671875" style="1" customWidth="1"/>
    <col min="11" max="11" width="1.33203125" style="1" customWidth="1"/>
    <col min="12" max="14" width="12.33203125" style="22" customWidth="1"/>
    <col min="15" max="15" width="13.109375" style="1" customWidth="1"/>
    <col min="16" max="16" width="9.109375" style="1" customWidth="1"/>
    <col min="17" max="17" width="17.5546875" style="1" bestFit="1" customWidth="1"/>
    <col min="18" max="18" width="10.109375" style="1" bestFit="1" customWidth="1"/>
    <col min="19" max="19" width="13.109375" style="1" customWidth="1"/>
    <col min="20" max="20" width="11.44140625" style="1" customWidth="1"/>
    <col min="21" max="21" width="15.109375" style="1" bestFit="1" customWidth="1"/>
    <col min="22" max="23" width="9.109375" style="1" customWidth="1"/>
    <col min="24" max="24" width="15.6640625" style="1" hidden="1" customWidth="1"/>
    <col min="25" max="27" width="9.109375" style="1" customWidth="1"/>
    <col min="28" max="16384" width="9.109375" style="1"/>
  </cols>
  <sheetData>
    <row r="1" spans="1:24" ht="30.75" customHeight="1" x14ac:dyDescent="0.25">
      <c r="A1" s="381" t="s">
        <v>571</v>
      </c>
      <c r="B1" s="382"/>
      <c r="C1" s="383"/>
      <c r="D1" s="382"/>
      <c r="E1" s="382"/>
      <c r="F1" s="383"/>
      <c r="G1" s="382"/>
      <c r="H1" s="382"/>
      <c r="I1" s="382"/>
      <c r="J1" s="382"/>
      <c r="K1" s="382"/>
      <c r="L1" s="384"/>
      <c r="M1" s="384"/>
      <c r="N1" s="384"/>
      <c r="O1" s="382"/>
      <c r="Q1" s="94" t="s">
        <v>7</v>
      </c>
      <c r="R1" s="94" t="s">
        <v>572</v>
      </c>
      <c r="S1" s="94" t="s">
        <v>534</v>
      </c>
      <c r="T1" s="95" t="s">
        <v>573</v>
      </c>
      <c r="U1" s="96" t="s">
        <v>527</v>
      </c>
    </row>
    <row r="2" spans="1:24" x14ac:dyDescent="0.25">
      <c r="A2" s="382"/>
      <c r="B2" s="382"/>
      <c r="C2" s="383"/>
      <c r="D2" s="382"/>
      <c r="E2" s="382"/>
      <c r="F2" s="383"/>
      <c r="G2" s="382"/>
      <c r="H2" s="382"/>
      <c r="I2" s="382"/>
      <c r="J2" s="382"/>
      <c r="K2" s="382"/>
      <c r="L2" s="384"/>
      <c r="M2" s="384"/>
      <c r="N2" s="384"/>
      <c r="O2" s="382"/>
      <c r="Q2" s="97" t="s">
        <v>541</v>
      </c>
      <c r="R2" s="93">
        <f>_xlfn.XLOOKUP(Q2,'Main Page'!C3:C20,'Main Page'!I3:I20,0)</f>
        <v>5252</v>
      </c>
      <c r="S2" s="10"/>
      <c r="T2" s="93">
        <v>5000</v>
      </c>
      <c r="U2" s="98">
        <f>SUM(S2:T2)</f>
        <v>5000</v>
      </c>
    </row>
    <row r="3" spans="1:24" ht="38.25" customHeight="1" x14ac:dyDescent="0.25">
      <c r="A3" s="104" t="s">
        <v>528</v>
      </c>
      <c r="B3" s="104" t="s">
        <v>3</v>
      </c>
      <c r="C3" s="104" t="s">
        <v>5</v>
      </c>
      <c r="D3" s="104" t="s">
        <v>530</v>
      </c>
      <c r="E3" s="104" t="s">
        <v>8</v>
      </c>
      <c r="F3" s="104" t="s">
        <v>574</v>
      </c>
      <c r="G3" s="105" t="s">
        <v>575</v>
      </c>
      <c r="H3" s="105" t="s">
        <v>576</v>
      </c>
      <c r="I3" s="105" t="s">
        <v>577</v>
      </c>
      <c r="J3" s="105" t="s">
        <v>578</v>
      </c>
      <c r="L3" s="106" t="s">
        <v>579</v>
      </c>
      <c r="M3" s="106" t="s">
        <v>576</v>
      </c>
      <c r="N3" s="106" t="s">
        <v>577</v>
      </c>
      <c r="O3" s="106" t="s">
        <v>580</v>
      </c>
    </row>
    <row r="4" spans="1:24" x14ac:dyDescent="0.25">
      <c r="A4" s="100">
        <f t="array" ref="A4:F30">_xlfn._xlws.FILTER(BOM!A2:F1174,BOM!G2:G1174=Stock!Q2)</f>
        <v>1</v>
      </c>
      <c r="B4" s="100" t="str">
        <v>Ceiling Raw</v>
      </c>
      <c r="C4" s="121">
        <v>3101010023</v>
      </c>
      <c r="D4" s="100" t="str">
        <v>FAN Ampere Tube-04 no</v>
      </c>
      <c r="E4" s="100" t="str">
        <v>Mtr</v>
      </c>
      <c r="F4" s="121">
        <v>0.129</v>
      </c>
      <c r="G4" s="101">
        <f>IF(F4*$R$2=0,"",F4*$R$2)</f>
        <v>677.50800000000004</v>
      </c>
      <c r="H4" s="102">
        <f t="array" ref="H4:H44">_xlfn.XLOOKUP(C4:C44,'ERP Entry Stock'!G:G,'ERP Entry Stock'!J:J,0)</f>
        <v>3200.0039999999999</v>
      </c>
      <c r="I4" s="102">
        <f t="array" ref="I4:I44">_xlfn.XLOOKUP(C4:C44,'ERP Entry Stock'!G:G,'ERP Entry Stock'!K:K,0)</f>
        <v>3475.627</v>
      </c>
      <c r="J4" s="103">
        <f t="shared" ref="J4:J44" si="0">MAX(0,G4-H4-I4)</f>
        <v>0</v>
      </c>
      <c r="K4" s="56"/>
      <c r="L4" s="99">
        <f t="shared" ref="L4:L44" si="1">F4*$U$2</f>
        <v>645</v>
      </c>
      <c r="M4" s="99">
        <f t="array" ref="M4:M44">_xlfn.XLOOKUP(C4:C44,'ERP Entry Stock'!G:G,'ERP Entry Stock'!J:J,0)</f>
        <v>3200.0039999999999</v>
      </c>
      <c r="N4" s="99">
        <f t="array" ref="N4:N44">_xlfn.XLOOKUP(C4:C44,'ERP Entry Stock'!G:G,'ERP Entry Stock'!K:K,0)</f>
        <v>3475.627</v>
      </c>
      <c r="O4" s="99">
        <f t="shared" ref="O4:O44" si="2">MAX(0,L4-H4-I4)</f>
        <v>0</v>
      </c>
    </row>
    <row r="5" spans="1:24" x14ac:dyDescent="0.25">
      <c r="A5" s="100">
        <v>2</v>
      </c>
      <c r="B5" s="100" t="str">
        <v>Ceiling Raw</v>
      </c>
      <c r="C5" s="121">
        <v>3101010094</v>
      </c>
      <c r="D5" s="100" t="str">
        <v>Soldering Wire</v>
      </c>
      <c r="E5" s="100" t="str">
        <v>KG</v>
      </c>
      <c r="F5" s="121">
        <v>1E-3</v>
      </c>
      <c r="G5" s="101">
        <f t="shared" ref="G5:G44" si="3">F5*$R$2</f>
        <v>5.2519999999999998</v>
      </c>
      <c r="H5" s="102">
        <v>27.997</v>
      </c>
      <c r="I5" s="102">
        <v>5.9909999999999997</v>
      </c>
      <c r="J5" s="103">
        <f t="shared" si="0"/>
        <v>0</v>
      </c>
      <c r="K5" s="56"/>
      <c r="L5" s="99">
        <f t="shared" si="1"/>
        <v>5</v>
      </c>
      <c r="M5" s="99">
        <v>27.997</v>
      </c>
      <c r="N5" s="99">
        <v>5.9909999999999997</v>
      </c>
      <c r="O5" s="99">
        <f t="shared" si="2"/>
        <v>0</v>
      </c>
    </row>
    <row r="6" spans="1:24" x14ac:dyDescent="0.25">
      <c r="A6" s="100">
        <v>3</v>
      </c>
      <c r="B6" s="100" t="str">
        <v>Exhaust Raw</v>
      </c>
      <c r="C6" s="121">
        <v>3102010013</v>
      </c>
      <c r="D6" s="100" t="str">
        <v>5/32 Inch, 9mm Screw</v>
      </c>
      <c r="E6" s="100" t="str">
        <v>KG</v>
      </c>
      <c r="F6" s="121">
        <v>8.9999999999999993E-3</v>
      </c>
      <c r="G6" s="101">
        <f t="shared" si="3"/>
        <v>47.267999999999994</v>
      </c>
      <c r="H6" s="102">
        <v>4.0000000000000001E-3</v>
      </c>
      <c r="I6" s="102">
        <v>28.452999999999999</v>
      </c>
      <c r="J6" s="103">
        <f t="shared" si="0"/>
        <v>18.810999999999996</v>
      </c>
      <c r="K6" s="56"/>
      <c r="L6" s="99">
        <f t="shared" si="1"/>
        <v>45</v>
      </c>
      <c r="M6" s="99">
        <v>4.0000000000000001E-3</v>
      </c>
      <c r="N6" s="99">
        <v>28.452999999999999</v>
      </c>
      <c r="O6" s="99">
        <f t="shared" si="2"/>
        <v>16.543000000000003</v>
      </c>
    </row>
    <row r="7" spans="1:24" x14ac:dyDescent="0.25">
      <c r="A7" s="100">
        <v>4</v>
      </c>
      <c r="B7" s="100" t="str">
        <v>Exhaust Raw</v>
      </c>
      <c r="C7" s="121">
        <v>3102010012</v>
      </c>
      <c r="D7" s="100" t="str">
        <v>Cable 2x23/0.0076</v>
      </c>
      <c r="E7" s="100" t="str">
        <v>Mtr</v>
      </c>
      <c r="F7" s="121">
        <v>0.62</v>
      </c>
      <c r="G7" s="101">
        <f t="shared" si="3"/>
        <v>3256.24</v>
      </c>
      <c r="H7" s="102">
        <v>5000</v>
      </c>
      <c r="I7" s="102">
        <v>774.54</v>
      </c>
      <c r="J7" s="103">
        <f t="shared" si="0"/>
        <v>0</v>
      </c>
      <c r="K7" s="56"/>
      <c r="L7" s="99">
        <f t="shared" si="1"/>
        <v>3100</v>
      </c>
      <c r="M7" s="99">
        <v>5000</v>
      </c>
      <c r="N7" s="99">
        <v>774.54</v>
      </c>
      <c r="O7" s="99">
        <f t="shared" si="2"/>
        <v>0</v>
      </c>
    </row>
    <row r="8" spans="1:24" x14ac:dyDescent="0.25">
      <c r="A8" s="100">
        <v>5</v>
      </c>
      <c r="B8" s="100" t="str">
        <v>Exhaust Raw</v>
      </c>
      <c r="C8" s="121">
        <v>3202010010</v>
      </c>
      <c r="D8" s="100" t="str">
        <v>Exhaust Fan Base (10``)</v>
      </c>
      <c r="E8" s="100" t="str">
        <v>Pcs</v>
      </c>
      <c r="F8" s="121">
        <v>1</v>
      </c>
      <c r="G8" s="101">
        <f t="shared" si="3"/>
        <v>5252</v>
      </c>
      <c r="H8" s="102">
        <v>3901</v>
      </c>
      <c r="I8" s="102">
        <v>5343</v>
      </c>
      <c r="J8" s="103">
        <f t="shared" si="0"/>
        <v>0</v>
      </c>
      <c r="K8" s="56"/>
      <c r="L8" s="99">
        <f t="shared" si="1"/>
        <v>5000</v>
      </c>
      <c r="M8" s="99">
        <v>3901</v>
      </c>
      <c r="N8" s="99">
        <v>5343</v>
      </c>
      <c r="O8" s="99">
        <f t="shared" si="2"/>
        <v>0</v>
      </c>
    </row>
    <row r="9" spans="1:24" x14ac:dyDescent="0.25">
      <c r="A9" s="100">
        <v>6</v>
      </c>
      <c r="B9" s="100" t="str">
        <v>Exhaust Raw</v>
      </c>
      <c r="C9" s="121">
        <v>3202010017</v>
      </c>
      <c r="D9" s="100" t="str">
        <v>Exhaust Fan Blade (10``)</v>
      </c>
      <c r="E9" s="100" t="str">
        <v>Pcs</v>
      </c>
      <c r="F9" s="121">
        <v>1</v>
      </c>
      <c r="G9" s="101">
        <f t="shared" si="3"/>
        <v>5252</v>
      </c>
      <c r="H9" s="102">
        <v>3463</v>
      </c>
      <c r="I9" s="102">
        <v>816</v>
      </c>
      <c r="J9" s="103">
        <f t="shared" si="0"/>
        <v>973</v>
      </c>
      <c r="K9" s="56"/>
      <c r="L9" s="99">
        <f t="shared" si="1"/>
        <v>5000</v>
      </c>
      <c r="M9" s="99">
        <v>3463</v>
      </c>
      <c r="N9" s="99">
        <v>816</v>
      </c>
      <c r="O9" s="99">
        <f t="shared" si="2"/>
        <v>721</v>
      </c>
    </row>
    <row r="10" spans="1:24" x14ac:dyDescent="0.25">
      <c r="A10" s="100">
        <v>7</v>
      </c>
      <c r="B10" s="100" t="str">
        <v>Exhaust Raw</v>
      </c>
      <c r="C10" s="121">
        <v>3102010022</v>
      </c>
      <c r="D10" s="100" t="str">
        <v>Exhaust Fan Capacitor 1.5  µF</v>
      </c>
      <c r="E10" s="100" t="str">
        <v>Pcs</v>
      </c>
      <c r="F10" s="121">
        <v>1</v>
      </c>
      <c r="G10" s="101">
        <f t="shared" si="3"/>
        <v>5252</v>
      </c>
      <c r="H10" s="102">
        <v>0</v>
      </c>
      <c r="I10" s="102">
        <v>5263</v>
      </c>
      <c r="J10" s="103">
        <f t="shared" si="0"/>
        <v>0</v>
      </c>
      <c r="K10" s="56"/>
      <c r="L10" s="99">
        <f t="shared" si="1"/>
        <v>5000</v>
      </c>
      <c r="M10" s="99">
        <v>0</v>
      </c>
      <c r="N10" s="99">
        <v>5263</v>
      </c>
      <c r="O10" s="99">
        <f t="shared" si="2"/>
        <v>0</v>
      </c>
      <c r="X10" s="3" t="s">
        <v>538</v>
      </c>
    </row>
    <row r="11" spans="1:24" x14ac:dyDescent="0.25">
      <c r="A11" s="100">
        <v>8</v>
      </c>
      <c r="B11" s="100" t="str">
        <v>Exhaust Raw</v>
      </c>
      <c r="C11" s="121">
        <v>3102010007</v>
      </c>
      <c r="D11" s="100" t="str">
        <v>Exhaust Fan Capacitor Box</v>
      </c>
      <c r="E11" s="100" t="str">
        <v>Pcs</v>
      </c>
      <c r="F11" s="121">
        <v>1</v>
      </c>
      <c r="G11" s="101">
        <f t="shared" si="3"/>
        <v>5252</v>
      </c>
      <c r="H11" s="102">
        <v>4572</v>
      </c>
      <c r="I11" s="102">
        <v>1646</v>
      </c>
      <c r="J11" s="103">
        <f t="shared" si="0"/>
        <v>0</v>
      </c>
      <c r="K11" s="56"/>
      <c r="L11" s="99">
        <f t="shared" si="1"/>
        <v>5000</v>
      </c>
      <c r="M11" s="99">
        <v>4572</v>
      </c>
      <c r="N11" s="99">
        <v>1646</v>
      </c>
      <c r="O11" s="99">
        <f t="shared" si="2"/>
        <v>0</v>
      </c>
      <c r="X11" s="4" t="s">
        <v>539</v>
      </c>
    </row>
    <row r="12" spans="1:24" x14ac:dyDescent="0.25">
      <c r="A12" s="100">
        <v>9</v>
      </c>
      <c r="B12" s="100" t="str">
        <v>Exhaust Raw</v>
      </c>
      <c r="C12" s="121">
        <v>3102010009</v>
      </c>
      <c r="D12" s="100" t="str">
        <v>Exhaust Fan Clam</v>
      </c>
      <c r="E12" s="100" t="str">
        <v>Pcs</v>
      </c>
      <c r="F12" s="121">
        <v>1</v>
      </c>
      <c r="G12" s="101">
        <f t="shared" si="3"/>
        <v>5252</v>
      </c>
      <c r="H12" s="102">
        <v>0</v>
      </c>
      <c r="I12" s="102">
        <v>18417</v>
      </c>
      <c r="J12" s="103">
        <f t="shared" si="0"/>
        <v>0</v>
      </c>
      <c r="K12" s="56"/>
      <c r="L12" s="99">
        <f t="shared" si="1"/>
        <v>5000</v>
      </c>
      <c r="M12" s="99">
        <v>0</v>
      </c>
      <c r="N12" s="99">
        <v>18417</v>
      </c>
      <c r="O12" s="99">
        <f t="shared" si="2"/>
        <v>0</v>
      </c>
      <c r="X12" s="9" t="s">
        <v>541</v>
      </c>
    </row>
    <row r="13" spans="1:24" x14ac:dyDescent="0.25">
      <c r="A13" s="100">
        <v>10</v>
      </c>
      <c r="B13" s="100" t="str">
        <v>Exhaust Raw</v>
      </c>
      <c r="C13" s="121">
        <v>3202010011</v>
      </c>
      <c r="D13" s="100" t="str">
        <v>Exhaust Fan Cover (10``)</v>
      </c>
      <c r="E13" s="100" t="str">
        <v>Pcs</v>
      </c>
      <c r="F13" s="121">
        <v>1</v>
      </c>
      <c r="G13" s="101">
        <f t="shared" si="3"/>
        <v>5252</v>
      </c>
      <c r="H13" s="102">
        <v>2460</v>
      </c>
      <c r="I13" s="102">
        <v>754</v>
      </c>
      <c r="J13" s="103">
        <f t="shared" si="0"/>
        <v>2038</v>
      </c>
      <c r="K13" s="56"/>
      <c r="L13" s="99">
        <f t="shared" si="1"/>
        <v>5000</v>
      </c>
      <c r="M13" s="99">
        <v>2460</v>
      </c>
      <c r="N13" s="99">
        <v>754</v>
      </c>
      <c r="O13" s="99">
        <f t="shared" si="2"/>
        <v>1786</v>
      </c>
      <c r="X13" s="11" t="s">
        <v>544</v>
      </c>
    </row>
    <row r="14" spans="1:24" x14ac:dyDescent="0.25">
      <c r="A14" s="100">
        <v>11</v>
      </c>
      <c r="B14" s="100" t="str">
        <v>Exhaust Raw</v>
      </c>
      <c r="C14" s="121">
        <v>3102010021</v>
      </c>
      <c r="D14" s="100" t="str">
        <v>Exhaust Fan Motor (10``)-Alu</v>
      </c>
      <c r="E14" s="100" t="str">
        <v>Pcs</v>
      </c>
      <c r="F14" s="121">
        <v>1</v>
      </c>
      <c r="G14" s="101">
        <f t="shared" si="3"/>
        <v>5252</v>
      </c>
      <c r="H14" s="102">
        <v>0</v>
      </c>
      <c r="I14" s="102">
        <v>2549</v>
      </c>
      <c r="J14" s="103">
        <f t="shared" si="0"/>
        <v>2703</v>
      </c>
      <c r="K14" s="56"/>
      <c r="L14" s="99">
        <f t="shared" si="1"/>
        <v>5000</v>
      </c>
      <c r="M14" s="99">
        <v>0</v>
      </c>
      <c r="N14" s="99">
        <v>2549</v>
      </c>
      <c r="O14" s="99">
        <f t="shared" si="2"/>
        <v>2451</v>
      </c>
      <c r="X14" s="15" t="s">
        <v>548</v>
      </c>
    </row>
    <row r="15" spans="1:24" ht="15.75" customHeight="1" thickBot="1" x14ac:dyDescent="0.3">
      <c r="A15" s="100">
        <v>12</v>
      </c>
      <c r="B15" s="100" t="str">
        <v>Exhaust Raw</v>
      </c>
      <c r="C15" s="121">
        <v>3102010006</v>
      </c>
      <c r="D15" s="100" t="str">
        <v>Exhaust Fan Show Cap With Pitol Bush</v>
      </c>
      <c r="E15" s="100" t="str">
        <v>Pcs</v>
      </c>
      <c r="F15" s="121">
        <v>1</v>
      </c>
      <c r="G15" s="101">
        <f t="shared" si="3"/>
        <v>5252</v>
      </c>
      <c r="H15" s="102">
        <v>0</v>
      </c>
      <c r="I15" s="102">
        <v>3320</v>
      </c>
      <c r="J15" s="103">
        <f t="shared" si="0"/>
        <v>1932</v>
      </c>
      <c r="K15" s="56"/>
      <c r="L15" s="99">
        <f t="shared" si="1"/>
        <v>5000</v>
      </c>
      <c r="M15" s="99">
        <v>0</v>
      </c>
      <c r="N15" s="99">
        <v>3320</v>
      </c>
      <c r="O15" s="99">
        <f t="shared" si="2"/>
        <v>1680</v>
      </c>
      <c r="X15" s="16" t="s">
        <v>551</v>
      </c>
    </row>
    <row r="16" spans="1:24" x14ac:dyDescent="0.25">
      <c r="A16" s="100">
        <v>13</v>
      </c>
      <c r="B16" s="100" t="str">
        <v>Exhaust Raw</v>
      </c>
      <c r="C16" s="121">
        <v>3202010013</v>
      </c>
      <c r="D16" s="100" t="str">
        <v>Exhaust Fan Shutter (10``)</v>
      </c>
      <c r="E16" s="100" t="str">
        <v>Pcs</v>
      </c>
      <c r="F16" s="121">
        <v>3</v>
      </c>
      <c r="G16" s="101">
        <f t="shared" si="3"/>
        <v>15756</v>
      </c>
      <c r="H16" s="102">
        <v>465</v>
      </c>
      <c r="I16" s="102">
        <v>2434</v>
      </c>
      <c r="J16" s="103">
        <f t="shared" si="0"/>
        <v>12857</v>
      </c>
      <c r="K16" s="56"/>
      <c r="L16" s="99">
        <f t="shared" si="1"/>
        <v>15000</v>
      </c>
      <c r="M16" s="99">
        <v>465</v>
      </c>
      <c r="N16" s="99">
        <v>2434</v>
      </c>
      <c r="O16" s="99">
        <f t="shared" si="2"/>
        <v>12101</v>
      </c>
      <c r="X16" s="42" t="s">
        <v>554</v>
      </c>
    </row>
    <row r="17" spans="1:24" x14ac:dyDescent="0.25">
      <c r="A17" s="100">
        <v>14</v>
      </c>
      <c r="B17" s="100" t="str">
        <v>Exhaust Raw</v>
      </c>
      <c r="C17" s="121">
        <v>3202010012</v>
      </c>
      <c r="D17" s="100" t="str">
        <v>Exhaust Fan Side Stand (10``)</v>
      </c>
      <c r="E17" s="100" t="str">
        <v>Pcs</v>
      </c>
      <c r="F17" s="121">
        <v>1</v>
      </c>
      <c r="G17" s="101">
        <f t="shared" si="3"/>
        <v>5252</v>
      </c>
      <c r="H17" s="102">
        <v>7481</v>
      </c>
      <c r="I17" s="102">
        <v>4968</v>
      </c>
      <c r="J17" s="103">
        <f t="shared" si="0"/>
        <v>0</v>
      </c>
      <c r="K17" s="56"/>
      <c r="L17" s="99">
        <f t="shared" si="1"/>
        <v>5000</v>
      </c>
      <c r="M17" s="99">
        <v>7481</v>
      </c>
      <c r="N17" s="99">
        <v>4968</v>
      </c>
      <c r="O17" s="99">
        <f t="shared" si="2"/>
        <v>0</v>
      </c>
      <c r="X17" s="5" t="s">
        <v>555</v>
      </c>
    </row>
    <row r="18" spans="1:24" x14ac:dyDescent="0.25">
      <c r="A18" s="100">
        <v>15</v>
      </c>
      <c r="B18" s="100" t="str">
        <v>Exhaust Raw</v>
      </c>
      <c r="C18" s="121">
        <v>3102010010</v>
      </c>
      <c r="D18" s="100" t="str">
        <v>Exhaust Fan Spring (FAN)</v>
      </c>
      <c r="E18" s="100" t="str">
        <v>KG</v>
      </c>
      <c r="F18" s="121">
        <v>2.8E-3</v>
      </c>
      <c r="G18" s="101">
        <f t="shared" si="3"/>
        <v>14.7056</v>
      </c>
      <c r="H18" s="102">
        <v>3.5999999999999999E-3</v>
      </c>
      <c r="I18" s="102">
        <v>1.1999999999999999E-3</v>
      </c>
      <c r="J18" s="103">
        <f t="shared" si="0"/>
        <v>14.700799999999999</v>
      </c>
      <c r="K18" s="56"/>
      <c r="L18" s="99">
        <f t="shared" si="1"/>
        <v>14</v>
      </c>
      <c r="M18" s="99">
        <v>3.5999999999999999E-3</v>
      </c>
      <c r="N18" s="99">
        <v>1.1999999999999999E-3</v>
      </c>
      <c r="O18" s="99">
        <f t="shared" si="2"/>
        <v>13.995199999999999</v>
      </c>
      <c r="X18" s="5" t="s">
        <v>556</v>
      </c>
    </row>
    <row r="19" spans="1:24" x14ac:dyDescent="0.25">
      <c r="A19" s="100">
        <v>16</v>
      </c>
      <c r="B19" s="100" t="str">
        <v>Exhaust Raw</v>
      </c>
      <c r="C19" s="121">
        <v>3102010011</v>
      </c>
      <c r="D19" s="100" t="str">
        <v>Exhaust Fan Spring Lock</v>
      </c>
      <c r="E19" s="100" t="str">
        <v>Pcs</v>
      </c>
      <c r="F19" s="121">
        <v>1</v>
      </c>
      <c r="G19" s="101">
        <f t="shared" si="3"/>
        <v>5252</v>
      </c>
      <c r="H19" s="102">
        <v>3500</v>
      </c>
      <c r="I19" s="102">
        <v>7365</v>
      </c>
      <c r="J19" s="103">
        <f t="shared" si="0"/>
        <v>0</v>
      </c>
      <c r="K19" s="56"/>
      <c r="L19" s="99">
        <f t="shared" si="1"/>
        <v>5000</v>
      </c>
      <c r="M19" s="99">
        <v>3500</v>
      </c>
      <c r="N19" s="99">
        <v>7365</v>
      </c>
      <c r="O19" s="99">
        <f t="shared" si="2"/>
        <v>0</v>
      </c>
      <c r="X19" s="5" t="s">
        <v>558</v>
      </c>
    </row>
    <row r="20" spans="1:24" x14ac:dyDescent="0.25">
      <c r="A20" s="100">
        <v>17</v>
      </c>
      <c r="B20" s="100" t="str">
        <v>Exhaust Raw</v>
      </c>
      <c r="C20" s="121">
        <v>3202010014</v>
      </c>
      <c r="D20" s="100" t="str">
        <v>Exhaust Fan Stick (10``)</v>
      </c>
      <c r="E20" s="100" t="str">
        <v>Pcs</v>
      </c>
      <c r="F20" s="121">
        <v>1</v>
      </c>
      <c r="G20" s="101">
        <f t="shared" si="3"/>
        <v>5252</v>
      </c>
      <c r="H20" s="102">
        <v>8929</v>
      </c>
      <c r="I20" s="102">
        <v>1766</v>
      </c>
      <c r="J20" s="103">
        <f t="shared" si="0"/>
        <v>0</v>
      </c>
      <c r="K20" s="56"/>
      <c r="L20" s="99">
        <f t="shared" si="1"/>
        <v>5000</v>
      </c>
      <c r="M20" s="99">
        <v>8929</v>
      </c>
      <c r="N20" s="99">
        <v>1766</v>
      </c>
      <c r="O20" s="99">
        <f t="shared" si="2"/>
        <v>0</v>
      </c>
      <c r="X20" s="5" t="s">
        <v>560</v>
      </c>
    </row>
    <row r="21" spans="1:24" x14ac:dyDescent="0.25">
      <c r="A21" s="100">
        <v>18</v>
      </c>
      <c r="B21" s="100" t="str">
        <v>Exhaust Raw</v>
      </c>
      <c r="C21" s="121">
        <v>3102010010</v>
      </c>
      <c r="D21" s="100" t="str">
        <v>Exhaust Fan Spring (FAN)</v>
      </c>
      <c r="E21" s="100" t="str">
        <v>Pcs</v>
      </c>
      <c r="F21" s="121">
        <v>1</v>
      </c>
      <c r="G21" s="101">
        <f t="shared" si="3"/>
        <v>5252</v>
      </c>
      <c r="H21" s="102">
        <v>3.5999999999999999E-3</v>
      </c>
      <c r="I21" s="102">
        <v>1.1999999999999999E-3</v>
      </c>
      <c r="J21" s="103">
        <f t="shared" si="0"/>
        <v>5251.9952000000003</v>
      </c>
      <c r="K21" s="56"/>
      <c r="L21" s="99">
        <f t="shared" si="1"/>
        <v>5000</v>
      </c>
      <c r="M21" s="99">
        <v>3.5999999999999999E-3</v>
      </c>
      <c r="N21" s="99">
        <v>1.1999999999999999E-3</v>
      </c>
      <c r="O21" s="99">
        <f t="shared" si="2"/>
        <v>4999.9952000000003</v>
      </c>
      <c r="X21" s="5" t="s">
        <v>561</v>
      </c>
    </row>
    <row r="22" spans="1:24" x14ac:dyDescent="0.25">
      <c r="A22" s="100">
        <v>19</v>
      </c>
      <c r="B22" s="100" t="str">
        <v>Packing Materials - FAN</v>
      </c>
      <c r="C22" s="121">
        <v>3201010081</v>
      </c>
      <c r="D22" s="100" t="str">
        <v>Aero Flow Sticker</v>
      </c>
      <c r="E22" s="100" t="str">
        <v>Pcs</v>
      </c>
      <c r="F22" s="121">
        <v>1</v>
      </c>
      <c r="G22" s="101">
        <f t="shared" si="3"/>
        <v>5252</v>
      </c>
      <c r="H22" s="102">
        <v>17750</v>
      </c>
      <c r="I22" s="102">
        <v>3263</v>
      </c>
      <c r="J22" s="103">
        <f t="shared" si="0"/>
        <v>0</v>
      </c>
      <c r="K22" s="56"/>
      <c r="L22" s="99">
        <f t="shared" si="1"/>
        <v>5000</v>
      </c>
      <c r="M22" s="99">
        <v>17750</v>
      </c>
      <c r="N22" s="99">
        <v>3263</v>
      </c>
      <c r="O22" s="99">
        <f t="shared" si="2"/>
        <v>0</v>
      </c>
      <c r="X22" s="5" t="s">
        <v>563</v>
      </c>
    </row>
    <row r="23" spans="1:24" ht="15.75" customHeight="1" thickBot="1" x14ac:dyDescent="0.3">
      <c r="A23" s="100">
        <v>20</v>
      </c>
      <c r="B23" s="100" t="str">
        <v>Exhaust Raw</v>
      </c>
      <c r="C23" s="121">
        <v>3202010008</v>
      </c>
      <c r="D23" s="100" t="str">
        <v>HDPE Poly 20x24``-(Std.W.-0.015016 kg)</v>
      </c>
      <c r="E23" s="100" t="str">
        <v>KG</v>
      </c>
      <c r="F23" s="121">
        <v>1.7000000000000001E-2</v>
      </c>
      <c r="G23" s="101">
        <f t="shared" si="3"/>
        <v>89.284000000000006</v>
      </c>
      <c r="H23" s="102">
        <v>505.00200000000001</v>
      </c>
      <c r="I23" s="102">
        <v>54.055999999999997</v>
      </c>
      <c r="J23" s="103">
        <f t="shared" si="0"/>
        <v>0</v>
      </c>
      <c r="K23" s="56"/>
      <c r="L23" s="99">
        <f t="shared" si="1"/>
        <v>85</v>
      </c>
      <c r="M23" s="99">
        <v>505.00200000000001</v>
      </c>
      <c r="N23" s="99">
        <v>54.055999999999997</v>
      </c>
      <c r="O23" s="99">
        <f t="shared" si="2"/>
        <v>0</v>
      </c>
      <c r="X23" s="45" t="s">
        <v>564</v>
      </c>
    </row>
    <row r="24" spans="1:24" x14ac:dyDescent="0.25">
      <c r="A24" s="100">
        <v>21</v>
      </c>
      <c r="B24" s="100" t="str">
        <v>Exhaust Raw</v>
      </c>
      <c r="C24" s="121">
        <v>3102010019</v>
      </c>
      <c r="D24" s="100" t="str">
        <v>MEP Cable Tie -3.5x150mm</v>
      </c>
      <c r="E24" s="100" t="str">
        <v>Pcs</v>
      </c>
      <c r="F24" s="121">
        <v>1</v>
      </c>
      <c r="G24" s="101">
        <f t="shared" si="3"/>
        <v>5252</v>
      </c>
      <c r="H24" s="102">
        <v>16000</v>
      </c>
      <c r="I24" s="102">
        <v>1187</v>
      </c>
      <c r="J24" s="103">
        <f t="shared" si="0"/>
        <v>0</v>
      </c>
      <c r="K24" s="56"/>
      <c r="L24" s="99">
        <f t="shared" si="1"/>
        <v>5000</v>
      </c>
      <c r="M24" s="99">
        <v>16000</v>
      </c>
      <c r="N24" s="99">
        <v>1187</v>
      </c>
      <c r="O24" s="99">
        <f t="shared" si="2"/>
        <v>0</v>
      </c>
    </row>
    <row r="25" spans="1:24" x14ac:dyDescent="0.25">
      <c r="A25" s="100">
        <v>22</v>
      </c>
      <c r="B25" s="100" t="str">
        <v>Exhaust Raw</v>
      </c>
      <c r="C25" s="121">
        <v>3202010007</v>
      </c>
      <c r="D25" s="100" t="str">
        <v>PP Band Fita</v>
      </c>
      <c r="E25" s="100" t="str">
        <v>KG</v>
      </c>
      <c r="F25" s="121">
        <v>7.0000000000000001E-3</v>
      </c>
      <c r="G25" s="101">
        <f t="shared" si="3"/>
        <v>36.764000000000003</v>
      </c>
      <c r="H25" s="102">
        <v>94.87</v>
      </c>
      <c r="I25" s="102">
        <v>33.712299999999999</v>
      </c>
      <c r="J25" s="103">
        <f t="shared" si="0"/>
        <v>0</v>
      </c>
      <c r="K25" s="56"/>
      <c r="L25" s="99">
        <f t="shared" si="1"/>
        <v>35</v>
      </c>
      <c r="M25" s="99">
        <v>94.87</v>
      </c>
      <c r="N25" s="99">
        <v>33.712299999999999</v>
      </c>
      <c r="O25" s="99">
        <f t="shared" si="2"/>
        <v>0</v>
      </c>
    </row>
    <row r="26" spans="1:24" x14ac:dyDescent="0.25">
      <c r="A26" s="100">
        <v>23</v>
      </c>
      <c r="B26" s="100" t="str">
        <v>Packing Materials - FAN</v>
      </c>
      <c r="C26" s="121">
        <v>3201010080</v>
      </c>
      <c r="D26" s="100" t="str">
        <v>10 Inch Exhaust Fan Body Carton (Alu)</v>
      </c>
      <c r="E26" s="100" t="str">
        <v>Pcs</v>
      </c>
      <c r="F26" s="121">
        <v>1</v>
      </c>
      <c r="G26" s="101">
        <f t="shared" si="3"/>
        <v>5252</v>
      </c>
      <c r="H26" s="102">
        <v>516</v>
      </c>
      <c r="I26" s="102">
        <v>74</v>
      </c>
      <c r="J26" s="103">
        <f t="shared" si="0"/>
        <v>4662</v>
      </c>
      <c r="K26" s="56"/>
      <c r="L26" s="99">
        <f t="shared" si="1"/>
        <v>5000</v>
      </c>
      <c r="M26" s="99">
        <v>516</v>
      </c>
      <c r="N26" s="99">
        <v>74</v>
      </c>
      <c r="O26" s="99">
        <f t="shared" si="2"/>
        <v>4410</v>
      </c>
    </row>
    <row r="27" spans="1:24" x14ac:dyDescent="0.25">
      <c r="A27" s="100">
        <v>24</v>
      </c>
      <c r="B27" s="100" t="str">
        <v>Packing Materials - FAN</v>
      </c>
      <c r="C27" s="121">
        <v>3201010081</v>
      </c>
      <c r="D27" s="100" t="str">
        <v>Aero Flow Sticker</v>
      </c>
      <c r="E27" s="100" t="str">
        <v>Pcs</v>
      </c>
      <c r="F27" s="121">
        <v>1</v>
      </c>
      <c r="G27" s="101">
        <f t="shared" si="3"/>
        <v>5252</v>
      </c>
      <c r="H27" s="102">
        <v>17750</v>
      </c>
      <c r="I27" s="102">
        <v>3263</v>
      </c>
      <c r="J27" s="103">
        <f t="shared" si="0"/>
        <v>0</v>
      </c>
      <c r="K27" s="56"/>
      <c r="L27" s="99">
        <f t="shared" si="1"/>
        <v>5000</v>
      </c>
      <c r="M27" s="99">
        <v>17750</v>
      </c>
      <c r="N27" s="99">
        <v>3263</v>
      </c>
      <c r="O27" s="99">
        <f t="shared" si="2"/>
        <v>0</v>
      </c>
    </row>
    <row r="28" spans="1:24" x14ac:dyDescent="0.25">
      <c r="A28" s="100">
        <v>25</v>
      </c>
      <c r="B28" s="100" t="str">
        <v>Packing Materials - FAN</v>
      </c>
      <c r="C28" s="121">
        <v>3201010046</v>
      </c>
      <c r="D28" s="100" t="str">
        <v>Carton Tape - (W=60mm,L=200m, MEP Print)</v>
      </c>
      <c r="E28" s="100" t="str">
        <v>Mtr</v>
      </c>
      <c r="F28" s="121">
        <v>1.1399999999999999</v>
      </c>
      <c r="G28" s="101">
        <f t="shared" si="3"/>
        <v>5987.28</v>
      </c>
      <c r="H28" s="102">
        <v>18952</v>
      </c>
      <c r="I28" s="102">
        <v>31826.915400000002</v>
      </c>
      <c r="J28" s="103">
        <f t="shared" si="0"/>
        <v>0</v>
      </c>
      <c r="K28" s="56"/>
      <c r="L28" s="99">
        <f t="shared" si="1"/>
        <v>5699.9999999999991</v>
      </c>
      <c r="M28" s="99">
        <v>18952</v>
      </c>
      <c r="N28" s="99">
        <v>31826.915400000002</v>
      </c>
      <c r="O28" s="99">
        <f t="shared" si="2"/>
        <v>0</v>
      </c>
    </row>
    <row r="29" spans="1:24" x14ac:dyDescent="0.25">
      <c r="A29" s="100">
        <v>26</v>
      </c>
      <c r="B29" s="100" t="str">
        <v>Packing Materials - FAN</v>
      </c>
      <c r="C29" s="121">
        <v>3201010014</v>
      </c>
      <c r="D29" s="100" t="str">
        <v>Fan QC Sticker</v>
      </c>
      <c r="E29" s="100" t="str">
        <v>Pcs</v>
      </c>
      <c r="F29" s="121">
        <v>1</v>
      </c>
      <c r="G29" s="101">
        <f t="shared" si="3"/>
        <v>5252</v>
      </c>
      <c r="H29" s="102">
        <v>50500</v>
      </c>
      <c r="I29" s="102">
        <v>39511</v>
      </c>
      <c r="J29" s="103">
        <f t="shared" si="0"/>
        <v>0</v>
      </c>
      <c r="K29" s="56"/>
      <c r="L29" s="99">
        <f t="shared" si="1"/>
        <v>5000</v>
      </c>
      <c r="M29" s="99">
        <v>50500</v>
      </c>
      <c r="N29" s="99">
        <v>39511</v>
      </c>
      <c r="O29" s="99">
        <f t="shared" si="2"/>
        <v>0</v>
      </c>
    </row>
    <row r="30" spans="1:24" x14ac:dyDescent="0.25">
      <c r="A30" s="100">
        <v>27</v>
      </c>
      <c r="B30" s="100" t="str">
        <v>Packing Materials - FAN</v>
      </c>
      <c r="C30" s="121">
        <v>3201010062</v>
      </c>
      <c r="D30" s="100" t="str">
        <v>MEP Hologram Sticker</v>
      </c>
      <c r="E30" s="100" t="str">
        <v>Pcs</v>
      </c>
      <c r="F30" s="121">
        <v>1</v>
      </c>
      <c r="G30" s="101">
        <f t="shared" si="3"/>
        <v>5252</v>
      </c>
      <c r="H30" s="102">
        <v>98100</v>
      </c>
      <c r="I30" s="102">
        <v>28412</v>
      </c>
      <c r="J30" s="103">
        <f t="shared" si="0"/>
        <v>0</v>
      </c>
      <c r="K30" s="56"/>
      <c r="L30" s="99">
        <f t="shared" si="1"/>
        <v>5000</v>
      </c>
      <c r="M30" s="99">
        <v>98100</v>
      </c>
      <c r="N30" s="99">
        <v>28412</v>
      </c>
      <c r="O30" s="99">
        <f t="shared" si="2"/>
        <v>0</v>
      </c>
    </row>
    <row r="31" spans="1:24" x14ac:dyDescent="0.25">
      <c r="A31" s="100"/>
      <c r="B31" s="100"/>
      <c r="C31" s="121"/>
      <c r="D31" s="100"/>
      <c r="E31" s="100"/>
      <c r="F31" s="121"/>
      <c r="G31" s="101">
        <f t="shared" si="3"/>
        <v>0</v>
      </c>
      <c r="H31" s="102">
        <v>0</v>
      </c>
      <c r="I31" s="102">
        <v>0</v>
      </c>
      <c r="J31" s="103">
        <f t="shared" si="0"/>
        <v>0</v>
      </c>
      <c r="K31" s="56"/>
      <c r="L31" s="99">
        <f t="shared" si="1"/>
        <v>0</v>
      </c>
      <c r="M31" s="99">
        <v>0</v>
      </c>
      <c r="N31" s="99">
        <v>0</v>
      </c>
      <c r="O31" s="99">
        <f t="shared" si="2"/>
        <v>0</v>
      </c>
    </row>
    <row r="32" spans="1:24" x14ac:dyDescent="0.25">
      <c r="A32" s="100"/>
      <c r="B32" s="100"/>
      <c r="C32" s="121"/>
      <c r="D32" s="100"/>
      <c r="E32" s="100"/>
      <c r="F32" s="121"/>
      <c r="G32" s="101">
        <f t="shared" si="3"/>
        <v>0</v>
      </c>
      <c r="H32" s="102">
        <v>0</v>
      </c>
      <c r="I32" s="102">
        <v>0</v>
      </c>
      <c r="J32" s="103">
        <f t="shared" si="0"/>
        <v>0</v>
      </c>
      <c r="K32" s="56"/>
      <c r="L32" s="99">
        <f t="shared" si="1"/>
        <v>0</v>
      </c>
      <c r="M32" s="99">
        <v>0</v>
      </c>
      <c r="N32" s="99">
        <v>0</v>
      </c>
      <c r="O32" s="99">
        <f t="shared" si="2"/>
        <v>0</v>
      </c>
    </row>
    <row r="33" spans="1:15" x14ac:dyDescent="0.25">
      <c r="A33" s="100"/>
      <c r="B33" s="100"/>
      <c r="C33" s="121"/>
      <c r="D33" s="100"/>
      <c r="E33" s="100"/>
      <c r="F33" s="121"/>
      <c r="G33" s="101">
        <f t="shared" si="3"/>
        <v>0</v>
      </c>
      <c r="H33" s="102">
        <v>0</v>
      </c>
      <c r="I33" s="102">
        <v>0</v>
      </c>
      <c r="J33" s="103">
        <f t="shared" si="0"/>
        <v>0</v>
      </c>
      <c r="K33" s="56"/>
      <c r="L33" s="99">
        <f t="shared" si="1"/>
        <v>0</v>
      </c>
      <c r="M33" s="99">
        <v>0</v>
      </c>
      <c r="N33" s="99">
        <v>0</v>
      </c>
      <c r="O33" s="99">
        <f t="shared" si="2"/>
        <v>0</v>
      </c>
    </row>
    <row r="34" spans="1:15" x14ac:dyDescent="0.25">
      <c r="A34" s="100"/>
      <c r="B34" s="100"/>
      <c r="C34" s="121"/>
      <c r="D34" s="100"/>
      <c r="E34" s="100"/>
      <c r="F34" s="121"/>
      <c r="G34" s="101">
        <f t="shared" si="3"/>
        <v>0</v>
      </c>
      <c r="H34" s="102">
        <v>0</v>
      </c>
      <c r="I34" s="102">
        <v>0</v>
      </c>
      <c r="J34" s="103">
        <f t="shared" si="0"/>
        <v>0</v>
      </c>
      <c r="K34" s="56"/>
      <c r="L34" s="99">
        <f t="shared" si="1"/>
        <v>0</v>
      </c>
      <c r="M34" s="99">
        <v>0</v>
      </c>
      <c r="N34" s="99">
        <v>0</v>
      </c>
      <c r="O34" s="99">
        <f t="shared" si="2"/>
        <v>0</v>
      </c>
    </row>
    <row r="35" spans="1:15" x14ac:dyDescent="0.25">
      <c r="A35" s="100"/>
      <c r="B35" s="100"/>
      <c r="C35" s="121"/>
      <c r="D35" s="100"/>
      <c r="E35" s="100"/>
      <c r="F35" s="121"/>
      <c r="G35" s="101">
        <f t="shared" si="3"/>
        <v>0</v>
      </c>
      <c r="H35" s="102">
        <v>0</v>
      </c>
      <c r="I35" s="102">
        <v>0</v>
      </c>
      <c r="J35" s="103">
        <f t="shared" si="0"/>
        <v>0</v>
      </c>
      <c r="K35" s="56"/>
      <c r="L35" s="99">
        <f t="shared" si="1"/>
        <v>0</v>
      </c>
      <c r="M35" s="99">
        <v>0</v>
      </c>
      <c r="N35" s="99">
        <v>0</v>
      </c>
      <c r="O35" s="99">
        <f t="shared" si="2"/>
        <v>0</v>
      </c>
    </row>
    <row r="36" spans="1:15" x14ac:dyDescent="0.25">
      <c r="A36" s="100"/>
      <c r="B36" s="100"/>
      <c r="C36" s="121"/>
      <c r="D36" s="100"/>
      <c r="E36" s="100"/>
      <c r="F36" s="121"/>
      <c r="G36" s="101">
        <f t="shared" si="3"/>
        <v>0</v>
      </c>
      <c r="H36" s="102">
        <v>0</v>
      </c>
      <c r="I36" s="102">
        <v>0</v>
      </c>
      <c r="J36" s="103">
        <f t="shared" si="0"/>
        <v>0</v>
      </c>
      <c r="K36" s="56"/>
      <c r="L36" s="99">
        <f t="shared" si="1"/>
        <v>0</v>
      </c>
      <c r="M36" s="99">
        <v>0</v>
      </c>
      <c r="N36" s="99">
        <v>0</v>
      </c>
      <c r="O36" s="99">
        <f t="shared" si="2"/>
        <v>0</v>
      </c>
    </row>
    <row r="37" spans="1:15" x14ac:dyDescent="0.25">
      <c r="A37" s="100"/>
      <c r="B37" s="100"/>
      <c r="C37" s="121"/>
      <c r="D37" s="100"/>
      <c r="E37" s="100"/>
      <c r="F37" s="121"/>
      <c r="G37" s="101">
        <f t="shared" si="3"/>
        <v>0</v>
      </c>
      <c r="H37" s="102">
        <v>0</v>
      </c>
      <c r="I37" s="102">
        <v>0</v>
      </c>
      <c r="J37" s="103">
        <f t="shared" si="0"/>
        <v>0</v>
      </c>
      <c r="K37" s="56"/>
      <c r="L37" s="99">
        <f t="shared" si="1"/>
        <v>0</v>
      </c>
      <c r="M37" s="99">
        <v>0</v>
      </c>
      <c r="N37" s="99">
        <v>0</v>
      </c>
      <c r="O37" s="99">
        <f t="shared" si="2"/>
        <v>0</v>
      </c>
    </row>
    <row r="38" spans="1:15" x14ac:dyDescent="0.25">
      <c r="A38" s="100"/>
      <c r="B38" s="100"/>
      <c r="C38" s="121"/>
      <c r="D38" s="100"/>
      <c r="E38" s="100"/>
      <c r="F38" s="121"/>
      <c r="G38" s="101">
        <f t="shared" si="3"/>
        <v>0</v>
      </c>
      <c r="H38" s="102">
        <v>0</v>
      </c>
      <c r="I38" s="102">
        <v>0</v>
      </c>
      <c r="J38" s="103">
        <f t="shared" si="0"/>
        <v>0</v>
      </c>
      <c r="K38" s="56"/>
      <c r="L38" s="99">
        <f t="shared" si="1"/>
        <v>0</v>
      </c>
      <c r="M38" s="99">
        <v>0</v>
      </c>
      <c r="N38" s="99">
        <v>0</v>
      </c>
      <c r="O38" s="99">
        <f t="shared" si="2"/>
        <v>0</v>
      </c>
    </row>
    <row r="39" spans="1:15" x14ac:dyDescent="0.25">
      <c r="A39" s="100"/>
      <c r="B39" s="100"/>
      <c r="C39" s="121"/>
      <c r="D39" s="100"/>
      <c r="E39" s="100"/>
      <c r="F39" s="121"/>
      <c r="G39" s="101">
        <f t="shared" si="3"/>
        <v>0</v>
      </c>
      <c r="H39" s="102">
        <v>0</v>
      </c>
      <c r="I39" s="102">
        <v>0</v>
      </c>
      <c r="J39" s="103">
        <f t="shared" si="0"/>
        <v>0</v>
      </c>
      <c r="K39" s="56"/>
      <c r="L39" s="99">
        <f t="shared" si="1"/>
        <v>0</v>
      </c>
      <c r="M39" s="99">
        <v>0</v>
      </c>
      <c r="N39" s="99">
        <v>0</v>
      </c>
      <c r="O39" s="99">
        <f t="shared" si="2"/>
        <v>0</v>
      </c>
    </row>
    <row r="40" spans="1:15" x14ac:dyDescent="0.25">
      <c r="A40" s="100"/>
      <c r="B40" s="100"/>
      <c r="C40" s="121"/>
      <c r="D40" s="100"/>
      <c r="E40" s="100"/>
      <c r="F40" s="121"/>
      <c r="G40" s="101">
        <f t="shared" si="3"/>
        <v>0</v>
      </c>
      <c r="H40" s="102">
        <v>0</v>
      </c>
      <c r="I40" s="102">
        <v>0</v>
      </c>
      <c r="J40" s="103">
        <f t="shared" si="0"/>
        <v>0</v>
      </c>
      <c r="K40" s="56"/>
      <c r="L40" s="99">
        <f t="shared" si="1"/>
        <v>0</v>
      </c>
      <c r="M40" s="99">
        <v>0</v>
      </c>
      <c r="N40" s="99">
        <v>0</v>
      </c>
      <c r="O40" s="99">
        <f t="shared" si="2"/>
        <v>0</v>
      </c>
    </row>
    <row r="41" spans="1:15" x14ac:dyDescent="0.25">
      <c r="A41" s="100"/>
      <c r="B41" s="100"/>
      <c r="C41" s="121"/>
      <c r="D41" s="100"/>
      <c r="E41" s="100"/>
      <c r="F41" s="121"/>
      <c r="G41" s="101">
        <f t="shared" si="3"/>
        <v>0</v>
      </c>
      <c r="H41" s="102">
        <v>0</v>
      </c>
      <c r="I41" s="102">
        <v>0</v>
      </c>
      <c r="J41" s="103">
        <f t="shared" si="0"/>
        <v>0</v>
      </c>
      <c r="K41" s="56"/>
      <c r="L41" s="99">
        <f t="shared" si="1"/>
        <v>0</v>
      </c>
      <c r="M41" s="99">
        <v>0</v>
      </c>
      <c r="N41" s="99">
        <v>0</v>
      </c>
      <c r="O41" s="99">
        <f t="shared" si="2"/>
        <v>0</v>
      </c>
    </row>
    <row r="42" spans="1:15" x14ac:dyDescent="0.25">
      <c r="A42" s="100"/>
      <c r="B42" s="100"/>
      <c r="C42" s="121"/>
      <c r="D42" s="100"/>
      <c r="E42" s="100"/>
      <c r="F42" s="121"/>
      <c r="G42" s="101">
        <f t="shared" si="3"/>
        <v>0</v>
      </c>
      <c r="H42" s="102">
        <v>0</v>
      </c>
      <c r="I42" s="102">
        <v>0</v>
      </c>
      <c r="J42" s="103">
        <f t="shared" si="0"/>
        <v>0</v>
      </c>
      <c r="K42" s="56"/>
      <c r="L42" s="99">
        <f t="shared" si="1"/>
        <v>0</v>
      </c>
      <c r="M42" s="99">
        <v>0</v>
      </c>
      <c r="N42" s="99">
        <v>0</v>
      </c>
      <c r="O42" s="99">
        <f t="shared" si="2"/>
        <v>0</v>
      </c>
    </row>
    <row r="43" spans="1:15" x14ac:dyDescent="0.25">
      <c r="A43" s="100"/>
      <c r="B43" s="100"/>
      <c r="C43" s="121"/>
      <c r="D43" s="100"/>
      <c r="E43" s="100"/>
      <c r="F43" s="121"/>
      <c r="G43" s="101">
        <f t="shared" si="3"/>
        <v>0</v>
      </c>
      <c r="H43" s="102">
        <v>0</v>
      </c>
      <c r="I43" s="102">
        <v>0</v>
      </c>
      <c r="J43" s="103">
        <f t="shared" si="0"/>
        <v>0</v>
      </c>
      <c r="K43" s="56"/>
      <c r="L43" s="99">
        <f t="shared" si="1"/>
        <v>0</v>
      </c>
      <c r="M43" s="99">
        <v>0</v>
      </c>
      <c r="N43" s="99">
        <v>0</v>
      </c>
      <c r="O43" s="99">
        <f t="shared" si="2"/>
        <v>0</v>
      </c>
    </row>
    <row r="44" spans="1:15" x14ac:dyDescent="0.25">
      <c r="A44" s="100"/>
      <c r="B44" s="100"/>
      <c r="C44" s="121"/>
      <c r="D44" s="100"/>
      <c r="E44" s="100"/>
      <c r="F44" s="121"/>
      <c r="G44" s="101">
        <f t="shared" si="3"/>
        <v>0</v>
      </c>
      <c r="H44" s="102">
        <v>0</v>
      </c>
      <c r="I44" s="102">
        <v>0</v>
      </c>
      <c r="J44" s="103">
        <f t="shared" si="0"/>
        <v>0</v>
      </c>
      <c r="K44" s="56"/>
      <c r="L44" s="99">
        <f t="shared" si="1"/>
        <v>0</v>
      </c>
      <c r="M44" s="99">
        <v>0</v>
      </c>
      <c r="N44" s="99">
        <v>0</v>
      </c>
      <c r="O44" s="99">
        <f t="shared" si="2"/>
        <v>0</v>
      </c>
    </row>
  </sheetData>
  <autoFilter ref="A3:O44" xr:uid="{00000000-0009-0000-0000-000001000000}"/>
  <mergeCells count="1">
    <mergeCell ref="A1:O2"/>
  </mergeCells>
  <conditionalFormatting sqref="A4:J44 L4:N44">
    <cfRule type="expression" dxfId="82" priority="3">
      <formula>$O4&gt;0</formula>
    </cfRule>
  </conditionalFormatting>
  <conditionalFormatting sqref="O4:O44">
    <cfRule type="cellIs" dxfId="81" priority="2" operator="greaterThan">
      <formula>0</formula>
    </cfRule>
  </conditionalFormatting>
  <dataValidations count="1">
    <dataValidation type="list" allowBlank="1" showInputMessage="1" showErrorMessage="1" sqref="Q2" xr:uid="{00000000-0002-0000-0100-000000000000}">
      <formula1>$X$10:$X$23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K465"/>
  <sheetViews>
    <sheetView workbookViewId="0">
      <pane ySplit="6" topLeftCell="A7" activePane="bottomLeft" state="frozen"/>
      <selection pane="bottomLeft" sqref="A1:K425"/>
    </sheetView>
  </sheetViews>
  <sheetFormatPr defaultRowHeight="14.4" x14ac:dyDescent="0.3"/>
  <sheetData>
    <row r="1" spans="1:11" ht="24" customHeight="1" x14ac:dyDescent="0.3">
      <c r="A1" s="388" t="s">
        <v>779</v>
      </c>
      <c r="B1" s="389"/>
      <c r="C1" s="389"/>
      <c r="D1" s="389"/>
      <c r="E1" s="389"/>
      <c r="F1" s="389"/>
      <c r="G1" s="389"/>
      <c r="H1" s="389"/>
      <c r="I1" s="389"/>
      <c r="J1" s="389"/>
      <c r="K1" s="390"/>
    </row>
    <row r="2" spans="1:11" x14ac:dyDescent="0.3">
      <c r="A2" s="391"/>
      <c r="B2" s="392"/>
      <c r="C2" s="392"/>
      <c r="D2" s="392"/>
      <c r="E2" s="392"/>
      <c r="F2" s="392"/>
      <c r="G2" s="392"/>
      <c r="H2" s="392"/>
      <c r="I2" s="392"/>
      <c r="J2" s="392"/>
      <c r="K2" s="393"/>
    </row>
    <row r="3" spans="1:11" ht="24" customHeight="1" x14ac:dyDescent="0.3">
      <c r="A3" s="394" t="s">
        <v>784</v>
      </c>
      <c r="B3" s="395"/>
      <c r="C3" s="395"/>
      <c r="D3" s="395"/>
      <c r="E3" s="395"/>
      <c r="F3" s="395"/>
      <c r="G3" s="395"/>
      <c r="H3" s="395"/>
      <c r="I3" s="395"/>
      <c r="J3" s="395"/>
      <c r="K3" s="396"/>
    </row>
    <row r="4" spans="1:11" ht="23.25" customHeight="1" x14ac:dyDescent="0.3">
      <c r="A4" s="391"/>
      <c r="B4" s="392"/>
      <c r="C4" s="392"/>
      <c r="D4" s="392"/>
      <c r="E4" s="392"/>
      <c r="F4" s="392"/>
      <c r="G4" s="392"/>
      <c r="H4" s="392"/>
      <c r="I4" s="392"/>
      <c r="J4" s="392"/>
      <c r="K4" s="393"/>
    </row>
    <row r="5" spans="1:11" ht="15" customHeight="1" x14ac:dyDescent="0.3">
      <c r="A5" s="397" t="s">
        <v>785</v>
      </c>
      <c r="B5" s="398"/>
      <c r="C5" s="398"/>
      <c r="D5" s="398"/>
      <c r="E5" s="398"/>
      <c r="F5" s="398"/>
      <c r="G5" s="398"/>
      <c r="H5" s="398"/>
      <c r="I5" s="398"/>
      <c r="J5" s="398"/>
      <c r="K5" s="399"/>
    </row>
    <row r="6" spans="1:11" ht="23.25" customHeight="1" x14ac:dyDescent="0.3">
      <c r="A6" s="278" t="s">
        <v>0</v>
      </c>
      <c r="B6" s="278" t="s">
        <v>1</v>
      </c>
      <c r="C6" s="278" t="s">
        <v>2</v>
      </c>
      <c r="D6" s="278" t="s">
        <v>3</v>
      </c>
      <c r="E6" s="278" t="s">
        <v>4</v>
      </c>
      <c r="F6" s="278" t="s">
        <v>5</v>
      </c>
      <c r="G6" s="278" t="s">
        <v>6</v>
      </c>
      <c r="H6" s="278" t="s">
        <v>7</v>
      </c>
      <c r="I6" s="278" t="s">
        <v>8</v>
      </c>
      <c r="J6" s="278" t="s">
        <v>9</v>
      </c>
      <c r="K6" s="278" t="s">
        <v>10</v>
      </c>
    </row>
    <row r="7" spans="1:11" ht="45" customHeight="1" x14ac:dyDescent="0.3">
      <c r="A7" s="281">
        <v>1</v>
      </c>
      <c r="B7" s="281" t="s">
        <v>11</v>
      </c>
      <c r="C7" s="281"/>
      <c r="D7" s="281"/>
      <c r="E7" s="281" t="s">
        <v>12</v>
      </c>
      <c r="F7" s="281">
        <v>1500100001</v>
      </c>
      <c r="G7" s="281">
        <v>1500100001</v>
      </c>
      <c r="H7" s="281" t="s">
        <v>13</v>
      </c>
      <c r="I7" s="281" t="s">
        <v>14</v>
      </c>
      <c r="J7" s="285">
        <v>0</v>
      </c>
      <c r="K7" s="285">
        <v>7528.4029899999996</v>
      </c>
    </row>
    <row r="8" spans="1:11" ht="22.5" customHeight="1" x14ac:dyDescent="0.3">
      <c r="A8" s="281">
        <v>2</v>
      </c>
      <c r="B8" s="281" t="s">
        <v>11</v>
      </c>
      <c r="C8" s="281"/>
      <c r="D8" s="281"/>
      <c r="E8" s="281" t="s">
        <v>12</v>
      </c>
      <c r="F8" s="281">
        <v>1500100003</v>
      </c>
      <c r="G8" s="281">
        <v>1500100003</v>
      </c>
      <c r="H8" s="281" t="s">
        <v>15</v>
      </c>
      <c r="I8" s="281" t="s">
        <v>14</v>
      </c>
      <c r="J8" s="285">
        <v>0</v>
      </c>
      <c r="K8" s="285">
        <v>33798.194499999998</v>
      </c>
    </row>
    <row r="9" spans="1:11" ht="75" customHeight="1" x14ac:dyDescent="0.3">
      <c r="A9" s="281">
        <v>3</v>
      </c>
      <c r="B9" s="281" t="s">
        <v>11</v>
      </c>
      <c r="C9" s="281"/>
      <c r="D9" s="281"/>
      <c r="E9" s="281" t="s">
        <v>12</v>
      </c>
      <c r="F9" s="281">
        <v>1500100014</v>
      </c>
      <c r="G9" s="281">
        <v>1500100014</v>
      </c>
      <c r="H9" s="281" t="s">
        <v>780</v>
      </c>
      <c r="I9" s="281" t="s">
        <v>14</v>
      </c>
      <c r="J9" s="285">
        <v>0</v>
      </c>
      <c r="K9" s="285">
        <v>0</v>
      </c>
    </row>
    <row r="10" spans="1:11" ht="23.25" customHeight="1" x14ac:dyDescent="0.3">
      <c r="A10" s="281">
        <v>4</v>
      </c>
      <c r="B10" s="281" t="s">
        <v>11</v>
      </c>
      <c r="C10" s="281"/>
      <c r="D10" s="281"/>
      <c r="E10" s="281" t="s">
        <v>16</v>
      </c>
      <c r="F10" s="281">
        <v>200100002</v>
      </c>
      <c r="G10" s="281">
        <v>3101010001</v>
      </c>
      <c r="H10" s="281" t="s">
        <v>17</v>
      </c>
      <c r="I10" s="281" t="s">
        <v>14</v>
      </c>
      <c r="J10" s="285">
        <v>34000</v>
      </c>
      <c r="K10" s="285">
        <v>2427.8789999999999</v>
      </c>
    </row>
    <row r="11" spans="1:11" ht="30" customHeight="1" x14ac:dyDescent="0.3">
      <c r="A11" s="281">
        <v>5</v>
      </c>
      <c r="B11" s="281" t="s">
        <v>11</v>
      </c>
      <c r="C11" s="281"/>
      <c r="D11" s="281"/>
      <c r="E11" s="281" t="s">
        <v>16</v>
      </c>
      <c r="F11" s="281">
        <v>200100003</v>
      </c>
      <c r="G11" s="281">
        <v>3101010002</v>
      </c>
      <c r="H11" s="281" t="s">
        <v>18</v>
      </c>
      <c r="I11" s="281" t="s">
        <v>14</v>
      </c>
      <c r="J11" s="285">
        <v>0</v>
      </c>
      <c r="K11" s="285">
        <v>0</v>
      </c>
    </row>
    <row r="12" spans="1:11" ht="15.75" customHeight="1" x14ac:dyDescent="0.3">
      <c r="A12" s="281">
        <v>6</v>
      </c>
      <c r="B12" s="281" t="s">
        <v>11</v>
      </c>
      <c r="C12" s="281"/>
      <c r="D12" s="281"/>
      <c r="E12" s="281" t="s">
        <v>16</v>
      </c>
      <c r="F12" s="281">
        <v>200100005</v>
      </c>
      <c r="G12" s="281">
        <v>3101010004</v>
      </c>
      <c r="H12" s="281" t="s">
        <v>19</v>
      </c>
      <c r="I12" s="281" t="s">
        <v>14</v>
      </c>
      <c r="J12" s="285">
        <v>9348</v>
      </c>
      <c r="K12" s="285">
        <v>14712.012000000001</v>
      </c>
    </row>
    <row r="13" spans="1:11" ht="75" customHeight="1" x14ac:dyDescent="0.3">
      <c r="A13" s="281">
        <v>7</v>
      </c>
      <c r="B13" s="281" t="s">
        <v>11</v>
      </c>
      <c r="C13" s="281"/>
      <c r="D13" s="281"/>
      <c r="E13" s="281" t="s">
        <v>16</v>
      </c>
      <c r="F13" s="281">
        <v>200100006</v>
      </c>
      <c r="G13" s="281">
        <v>3101010005</v>
      </c>
      <c r="H13" s="281" t="s">
        <v>20</v>
      </c>
      <c r="I13" s="281" t="s">
        <v>14</v>
      </c>
      <c r="J13" s="285">
        <v>95315</v>
      </c>
      <c r="K13" s="285"/>
    </row>
    <row r="14" spans="1:11" ht="105" customHeight="1" x14ac:dyDescent="0.3">
      <c r="A14" s="281">
        <v>8</v>
      </c>
      <c r="B14" s="281" t="s">
        <v>11</v>
      </c>
      <c r="C14" s="281"/>
      <c r="D14" s="281"/>
      <c r="E14" s="281" t="s">
        <v>16</v>
      </c>
      <c r="F14" s="281">
        <v>200100007</v>
      </c>
      <c r="G14" s="281">
        <v>3101010006</v>
      </c>
      <c r="H14" s="281" t="s">
        <v>21</v>
      </c>
      <c r="I14" s="281" t="s">
        <v>14</v>
      </c>
      <c r="J14" s="285">
        <v>0</v>
      </c>
      <c r="K14" s="285">
        <v>84037.203999999998</v>
      </c>
    </row>
    <row r="15" spans="1:11" ht="105" customHeight="1" x14ac:dyDescent="0.3">
      <c r="A15" s="281">
        <v>9</v>
      </c>
      <c r="B15" s="281" t="s">
        <v>11</v>
      </c>
      <c r="C15" s="281"/>
      <c r="D15" s="281"/>
      <c r="E15" s="281" t="s">
        <v>16</v>
      </c>
      <c r="F15" s="281">
        <v>200100008</v>
      </c>
      <c r="G15" s="281">
        <v>3101010007</v>
      </c>
      <c r="H15" s="281" t="s">
        <v>22</v>
      </c>
      <c r="I15" s="281" t="s">
        <v>14</v>
      </c>
      <c r="J15" s="285">
        <v>0</v>
      </c>
      <c r="K15" s="285">
        <v>3313.7489999999998</v>
      </c>
    </row>
    <row r="16" spans="1:11" ht="120" customHeight="1" x14ac:dyDescent="0.3">
      <c r="A16" s="281">
        <v>10</v>
      </c>
      <c r="B16" s="281" t="s">
        <v>11</v>
      </c>
      <c r="C16" s="281"/>
      <c r="D16" s="281"/>
      <c r="E16" s="281" t="s">
        <v>16</v>
      </c>
      <c r="F16" s="281">
        <v>200100009</v>
      </c>
      <c r="G16" s="281">
        <v>3101010008</v>
      </c>
      <c r="H16" s="281" t="s">
        <v>23</v>
      </c>
      <c r="I16" s="281" t="s">
        <v>14</v>
      </c>
      <c r="J16" s="285">
        <v>0</v>
      </c>
      <c r="K16" s="285">
        <v>12357.3508</v>
      </c>
    </row>
    <row r="17" spans="1:11" ht="90" customHeight="1" x14ac:dyDescent="0.3">
      <c r="A17" s="281">
        <v>11</v>
      </c>
      <c r="B17" s="281" t="s">
        <v>11</v>
      </c>
      <c r="C17" s="281"/>
      <c r="D17" s="281"/>
      <c r="E17" s="281" t="s">
        <v>16</v>
      </c>
      <c r="F17" s="281">
        <v>200100012</v>
      </c>
      <c r="G17" s="281">
        <v>3101010011</v>
      </c>
      <c r="H17" s="281" t="s">
        <v>24</v>
      </c>
      <c r="I17" s="281" t="s">
        <v>14</v>
      </c>
      <c r="J17" s="285">
        <v>0</v>
      </c>
      <c r="K17" s="285">
        <v>10130.713</v>
      </c>
    </row>
    <row r="18" spans="1:11" ht="90" customHeight="1" x14ac:dyDescent="0.3">
      <c r="A18" s="281">
        <v>12</v>
      </c>
      <c r="B18" s="281" t="s">
        <v>11</v>
      </c>
      <c r="C18" s="281"/>
      <c r="D18" s="281"/>
      <c r="E18" s="281" t="s">
        <v>16</v>
      </c>
      <c r="F18" s="281">
        <v>200100013</v>
      </c>
      <c r="G18" s="281">
        <v>3101010012</v>
      </c>
      <c r="H18" s="281" t="s">
        <v>25</v>
      </c>
      <c r="I18" s="281" t="s">
        <v>14</v>
      </c>
      <c r="J18" s="285">
        <v>0</v>
      </c>
      <c r="K18" s="285">
        <v>5751.2240000000002</v>
      </c>
    </row>
    <row r="19" spans="1:11" ht="75" customHeight="1" x14ac:dyDescent="0.3">
      <c r="A19" s="281">
        <v>13</v>
      </c>
      <c r="B19" s="281" t="s">
        <v>11</v>
      </c>
      <c r="C19" s="281"/>
      <c r="D19" s="281"/>
      <c r="E19" s="281" t="s">
        <v>16</v>
      </c>
      <c r="F19" s="281">
        <v>200100014</v>
      </c>
      <c r="G19" s="281">
        <v>3101010013</v>
      </c>
      <c r="H19" s="281" t="s">
        <v>26</v>
      </c>
      <c r="I19" s="281" t="s">
        <v>14</v>
      </c>
      <c r="J19" s="285">
        <v>0</v>
      </c>
      <c r="K19" s="285">
        <v>7438.0219999999999</v>
      </c>
    </row>
    <row r="20" spans="1:11" ht="75" customHeight="1" x14ac:dyDescent="0.3">
      <c r="A20" s="281">
        <v>14</v>
      </c>
      <c r="B20" s="281" t="s">
        <v>11</v>
      </c>
      <c r="C20" s="281"/>
      <c r="D20" s="281"/>
      <c r="E20" s="281" t="s">
        <v>16</v>
      </c>
      <c r="F20" s="281">
        <v>200100015</v>
      </c>
      <c r="G20" s="281">
        <v>3101010014</v>
      </c>
      <c r="H20" s="281" t="s">
        <v>27</v>
      </c>
      <c r="I20" s="281" t="s">
        <v>14</v>
      </c>
      <c r="J20" s="285">
        <v>8205</v>
      </c>
      <c r="K20" s="285">
        <v>969.39200000000005</v>
      </c>
    </row>
    <row r="21" spans="1:11" ht="105" customHeight="1" x14ac:dyDescent="0.3">
      <c r="A21" s="281">
        <v>15</v>
      </c>
      <c r="B21" s="281" t="s">
        <v>11</v>
      </c>
      <c r="C21" s="281"/>
      <c r="D21" s="281"/>
      <c r="E21" s="281" t="s">
        <v>16</v>
      </c>
      <c r="F21" s="281">
        <v>200100016</v>
      </c>
      <c r="G21" s="281">
        <v>3101010015</v>
      </c>
      <c r="H21" s="281" t="s">
        <v>28</v>
      </c>
      <c r="I21" s="281" t="s">
        <v>29</v>
      </c>
      <c r="J21" s="285">
        <v>40000</v>
      </c>
      <c r="K21" s="285">
        <v>1560.85</v>
      </c>
    </row>
    <row r="22" spans="1:11" ht="75" customHeight="1" x14ac:dyDescent="0.3">
      <c r="A22" s="281">
        <v>16</v>
      </c>
      <c r="B22" s="281" t="s">
        <v>11</v>
      </c>
      <c r="C22" s="281"/>
      <c r="D22" s="281"/>
      <c r="E22" s="281" t="s">
        <v>16</v>
      </c>
      <c r="F22" s="281">
        <v>200100017</v>
      </c>
      <c r="G22" s="281">
        <v>3101010016</v>
      </c>
      <c r="H22" s="281" t="s">
        <v>30</v>
      </c>
      <c r="I22" s="281" t="s">
        <v>14</v>
      </c>
      <c r="J22" s="285">
        <v>6718.7</v>
      </c>
      <c r="K22" s="285">
        <v>17.29</v>
      </c>
    </row>
    <row r="23" spans="1:11" ht="75" customHeight="1" x14ac:dyDescent="0.3">
      <c r="A23" s="281">
        <v>17</v>
      </c>
      <c r="B23" s="281" t="s">
        <v>11</v>
      </c>
      <c r="C23" s="281"/>
      <c r="D23" s="281"/>
      <c r="E23" s="281" t="s">
        <v>16</v>
      </c>
      <c r="F23" s="281">
        <v>200100018</v>
      </c>
      <c r="G23" s="281">
        <v>3101010017</v>
      </c>
      <c r="H23" s="281" t="s">
        <v>31</v>
      </c>
      <c r="I23" s="281" t="s">
        <v>14</v>
      </c>
      <c r="J23" s="285">
        <v>10.38</v>
      </c>
      <c r="K23" s="285">
        <v>14.375999999999999</v>
      </c>
    </row>
    <row r="24" spans="1:11" ht="75" customHeight="1" x14ac:dyDescent="0.3">
      <c r="A24" s="281">
        <v>18</v>
      </c>
      <c r="B24" s="281" t="s">
        <v>11</v>
      </c>
      <c r="C24" s="281"/>
      <c r="D24" s="281"/>
      <c r="E24" s="281" t="s">
        <v>16</v>
      </c>
      <c r="F24" s="281">
        <v>200100019</v>
      </c>
      <c r="G24" s="281">
        <v>3101010018</v>
      </c>
      <c r="H24" s="281" t="s">
        <v>32</v>
      </c>
      <c r="I24" s="281" t="s">
        <v>14</v>
      </c>
      <c r="J24" s="285">
        <v>65.650000000000006</v>
      </c>
      <c r="K24" s="285">
        <v>39.22</v>
      </c>
    </row>
    <row r="25" spans="1:11" ht="60" customHeight="1" x14ac:dyDescent="0.3">
      <c r="A25" s="281">
        <v>19</v>
      </c>
      <c r="B25" s="281" t="s">
        <v>11</v>
      </c>
      <c r="C25" s="281"/>
      <c r="D25" s="281"/>
      <c r="E25" s="281" t="s">
        <v>16</v>
      </c>
      <c r="F25" s="281">
        <v>200100020</v>
      </c>
      <c r="G25" s="281">
        <v>3101010019</v>
      </c>
      <c r="H25" s="281" t="s">
        <v>33</v>
      </c>
      <c r="I25" s="281" t="s">
        <v>14</v>
      </c>
      <c r="J25" s="285">
        <v>1728.7329999999999</v>
      </c>
      <c r="K25" s="285">
        <v>74.119</v>
      </c>
    </row>
    <row r="26" spans="1:11" ht="60" customHeight="1" x14ac:dyDescent="0.3">
      <c r="A26" s="281">
        <v>20</v>
      </c>
      <c r="B26" s="281" t="s">
        <v>11</v>
      </c>
      <c r="C26" s="281"/>
      <c r="D26" s="281"/>
      <c r="E26" s="281" t="s">
        <v>16</v>
      </c>
      <c r="F26" s="281">
        <v>200100021</v>
      </c>
      <c r="G26" s="281">
        <v>3101010020</v>
      </c>
      <c r="H26" s="281" t="s">
        <v>34</v>
      </c>
      <c r="I26" s="281" t="s">
        <v>14</v>
      </c>
      <c r="J26" s="285">
        <v>2153.71</v>
      </c>
      <c r="K26" s="285">
        <v>184.82499999999999</v>
      </c>
    </row>
    <row r="27" spans="1:11" ht="45" customHeight="1" x14ac:dyDescent="0.3">
      <c r="A27" s="281">
        <v>21</v>
      </c>
      <c r="B27" s="281" t="s">
        <v>11</v>
      </c>
      <c r="C27" s="281"/>
      <c r="D27" s="281"/>
      <c r="E27" s="281" t="s">
        <v>16</v>
      </c>
      <c r="F27" s="281">
        <v>200100022</v>
      </c>
      <c r="G27" s="281">
        <v>3101010021</v>
      </c>
      <c r="H27" s="281" t="s">
        <v>35</v>
      </c>
      <c r="I27" s="281" t="s">
        <v>14</v>
      </c>
      <c r="J27" s="285">
        <v>55.002000000000002</v>
      </c>
      <c r="K27" s="285">
        <v>41.478000000000002</v>
      </c>
    </row>
    <row r="28" spans="1:11" ht="60" customHeight="1" x14ac:dyDescent="0.3">
      <c r="A28" s="281">
        <v>22</v>
      </c>
      <c r="B28" s="281" t="s">
        <v>11</v>
      </c>
      <c r="C28" s="281"/>
      <c r="D28" s="281"/>
      <c r="E28" s="281" t="s">
        <v>16</v>
      </c>
      <c r="F28" s="281">
        <v>200100023</v>
      </c>
      <c r="G28" s="281">
        <v>3101010022</v>
      </c>
      <c r="H28" s="281" t="s">
        <v>36</v>
      </c>
      <c r="I28" s="281" t="s">
        <v>37</v>
      </c>
      <c r="J28" s="285">
        <v>1780</v>
      </c>
      <c r="K28" s="285">
        <v>5031.93</v>
      </c>
    </row>
    <row r="29" spans="1:11" ht="60" customHeight="1" x14ac:dyDescent="0.3">
      <c r="A29" s="281">
        <v>23</v>
      </c>
      <c r="B29" s="281" t="s">
        <v>11</v>
      </c>
      <c r="C29" s="281"/>
      <c r="D29" s="281"/>
      <c r="E29" s="281" t="s">
        <v>16</v>
      </c>
      <c r="F29" s="281">
        <v>200100024</v>
      </c>
      <c r="G29" s="281">
        <v>3101010023</v>
      </c>
      <c r="H29" s="281" t="s">
        <v>38</v>
      </c>
      <c r="I29" s="281" t="s">
        <v>37</v>
      </c>
      <c r="J29" s="285">
        <v>3200.0039999999999</v>
      </c>
      <c r="K29" s="285">
        <v>3475.627</v>
      </c>
    </row>
    <row r="30" spans="1:11" ht="60" customHeight="1" x14ac:dyDescent="0.3">
      <c r="A30" s="281">
        <v>24</v>
      </c>
      <c r="B30" s="281" t="s">
        <v>11</v>
      </c>
      <c r="C30" s="281"/>
      <c r="D30" s="281"/>
      <c r="E30" s="281" t="s">
        <v>16</v>
      </c>
      <c r="F30" s="281">
        <v>200100025</v>
      </c>
      <c r="G30" s="281">
        <v>3101010024</v>
      </c>
      <c r="H30" s="281" t="s">
        <v>39</v>
      </c>
      <c r="I30" s="281" t="s">
        <v>37</v>
      </c>
      <c r="J30" s="285">
        <v>400</v>
      </c>
      <c r="K30" s="285">
        <v>1040.3620000000001</v>
      </c>
    </row>
    <row r="31" spans="1:11" ht="60" customHeight="1" x14ac:dyDescent="0.3">
      <c r="A31" s="281">
        <v>25</v>
      </c>
      <c r="B31" s="281" t="s">
        <v>11</v>
      </c>
      <c r="C31" s="281"/>
      <c r="D31" s="281"/>
      <c r="E31" s="281" t="s">
        <v>16</v>
      </c>
      <c r="F31" s="281">
        <v>200100026</v>
      </c>
      <c r="G31" s="281">
        <v>3101010025</v>
      </c>
      <c r="H31" s="281" t="s">
        <v>40</v>
      </c>
      <c r="I31" s="281" t="s">
        <v>41</v>
      </c>
      <c r="J31" s="285">
        <v>0</v>
      </c>
      <c r="K31" s="285">
        <v>0</v>
      </c>
    </row>
    <row r="32" spans="1:11" ht="30" customHeight="1" x14ac:dyDescent="0.3">
      <c r="A32" s="281">
        <v>26</v>
      </c>
      <c r="B32" s="281" t="s">
        <v>11</v>
      </c>
      <c r="C32" s="281"/>
      <c r="D32" s="281"/>
      <c r="E32" s="281" t="s">
        <v>16</v>
      </c>
      <c r="F32" s="281">
        <v>200100027</v>
      </c>
      <c r="G32" s="281">
        <v>3101010026</v>
      </c>
      <c r="H32" s="281" t="s">
        <v>42</v>
      </c>
      <c r="I32" s="281" t="s">
        <v>43</v>
      </c>
      <c r="J32" s="285">
        <v>1470</v>
      </c>
      <c r="K32" s="285">
        <v>415.49900000000002</v>
      </c>
    </row>
    <row r="33" spans="1:11" ht="30" customHeight="1" x14ac:dyDescent="0.3">
      <c r="A33" s="281">
        <v>27</v>
      </c>
      <c r="B33" s="281" t="s">
        <v>11</v>
      </c>
      <c r="C33" s="281"/>
      <c r="D33" s="281"/>
      <c r="E33" s="281" t="s">
        <v>16</v>
      </c>
      <c r="F33" s="281">
        <v>200100028</v>
      </c>
      <c r="G33" s="281">
        <v>3101010027</v>
      </c>
      <c r="H33" s="281" t="s">
        <v>44</v>
      </c>
      <c r="I33" s="281" t="s">
        <v>43</v>
      </c>
      <c r="J33" s="285">
        <v>3480</v>
      </c>
      <c r="K33" s="285">
        <v>378.31299999999999</v>
      </c>
    </row>
    <row r="34" spans="1:11" ht="30" customHeight="1" x14ac:dyDescent="0.3">
      <c r="A34" s="281">
        <v>28</v>
      </c>
      <c r="B34" s="281" t="s">
        <v>11</v>
      </c>
      <c r="C34" s="281"/>
      <c r="D34" s="281"/>
      <c r="E34" s="281" t="s">
        <v>16</v>
      </c>
      <c r="F34" s="281">
        <v>200100029</v>
      </c>
      <c r="G34" s="281">
        <v>3101010028</v>
      </c>
      <c r="H34" s="281" t="s">
        <v>45</v>
      </c>
      <c r="I34" s="281" t="s">
        <v>14</v>
      </c>
      <c r="J34" s="285">
        <v>37.97</v>
      </c>
      <c r="K34" s="285">
        <v>0.878</v>
      </c>
    </row>
    <row r="35" spans="1:11" ht="45" customHeight="1" x14ac:dyDescent="0.3">
      <c r="A35" s="281">
        <v>29</v>
      </c>
      <c r="B35" s="281" t="s">
        <v>11</v>
      </c>
      <c r="C35" s="281"/>
      <c r="D35" s="281"/>
      <c r="E35" s="281" t="s">
        <v>16</v>
      </c>
      <c r="F35" s="281">
        <v>200100031</v>
      </c>
      <c r="G35" s="281">
        <v>3101010030</v>
      </c>
      <c r="H35" s="281" t="s">
        <v>46</v>
      </c>
      <c r="I35" s="281" t="s">
        <v>41</v>
      </c>
      <c r="J35" s="285">
        <v>23788</v>
      </c>
      <c r="K35" s="285">
        <v>14063</v>
      </c>
    </row>
    <row r="36" spans="1:11" ht="45" customHeight="1" x14ac:dyDescent="0.3">
      <c r="A36" s="281">
        <v>30</v>
      </c>
      <c r="B36" s="281" t="s">
        <v>11</v>
      </c>
      <c r="C36" s="281"/>
      <c r="D36" s="281"/>
      <c r="E36" s="281" t="s">
        <v>16</v>
      </c>
      <c r="F36" s="281">
        <v>200100032</v>
      </c>
      <c r="G36" s="281">
        <v>3101010031</v>
      </c>
      <c r="H36" s="281" t="s">
        <v>47</v>
      </c>
      <c r="I36" s="281" t="s">
        <v>48</v>
      </c>
      <c r="J36" s="285">
        <v>17730</v>
      </c>
      <c r="K36" s="285">
        <v>1581</v>
      </c>
    </row>
    <row r="37" spans="1:11" ht="75" customHeight="1" x14ac:dyDescent="0.3">
      <c r="A37" s="281">
        <v>31</v>
      </c>
      <c r="B37" s="281" t="s">
        <v>11</v>
      </c>
      <c r="C37" s="281"/>
      <c r="D37" s="281"/>
      <c r="E37" s="281" t="s">
        <v>16</v>
      </c>
      <c r="F37" s="281">
        <v>200100033</v>
      </c>
      <c r="G37" s="281">
        <v>3101010032</v>
      </c>
      <c r="H37" s="281" t="s">
        <v>49</v>
      </c>
      <c r="I37" s="281" t="s">
        <v>41</v>
      </c>
      <c r="J37" s="285">
        <v>0</v>
      </c>
      <c r="K37" s="285">
        <v>0</v>
      </c>
    </row>
    <row r="38" spans="1:11" ht="75" customHeight="1" x14ac:dyDescent="0.3">
      <c r="A38" s="281">
        <v>32</v>
      </c>
      <c r="B38" s="281" t="s">
        <v>11</v>
      </c>
      <c r="C38" s="281"/>
      <c r="D38" s="281"/>
      <c r="E38" s="281" t="s">
        <v>16</v>
      </c>
      <c r="F38" s="281">
        <v>200100034</v>
      </c>
      <c r="G38" s="281">
        <v>3101010033</v>
      </c>
      <c r="H38" s="281" t="s">
        <v>50</v>
      </c>
      <c r="I38" s="281" t="s">
        <v>41</v>
      </c>
      <c r="J38" s="285">
        <v>2360</v>
      </c>
      <c r="K38" s="285">
        <v>0</v>
      </c>
    </row>
    <row r="39" spans="1:11" ht="45" customHeight="1" x14ac:dyDescent="0.3">
      <c r="A39" s="281">
        <v>33</v>
      </c>
      <c r="B39" s="281" t="s">
        <v>11</v>
      </c>
      <c r="C39" s="281"/>
      <c r="D39" s="281"/>
      <c r="E39" s="281" t="s">
        <v>16</v>
      </c>
      <c r="F39" s="281">
        <v>200100035</v>
      </c>
      <c r="G39" s="281">
        <v>3101010034</v>
      </c>
      <c r="H39" s="281" t="s">
        <v>51</v>
      </c>
      <c r="I39" s="281" t="s">
        <v>41</v>
      </c>
      <c r="J39" s="285">
        <v>4000</v>
      </c>
      <c r="K39" s="285">
        <v>5371</v>
      </c>
    </row>
    <row r="40" spans="1:11" ht="30" customHeight="1" x14ac:dyDescent="0.3">
      <c r="A40" s="281">
        <v>34</v>
      </c>
      <c r="B40" s="281" t="s">
        <v>11</v>
      </c>
      <c r="C40" s="281"/>
      <c r="D40" s="281"/>
      <c r="E40" s="281" t="s">
        <v>16</v>
      </c>
      <c r="F40" s="281">
        <v>200100036</v>
      </c>
      <c r="G40" s="281">
        <v>3101010035</v>
      </c>
      <c r="H40" s="281" t="s">
        <v>52</v>
      </c>
      <c r="I40" s="281" t="s">
        <v>41</v>
      </c>
      <c r="J40" s="285">
        <v>6000</v>
      </c>
      <c r="K40" s="285">
        <v>5710</v>
      </c>
    </row>
    <row r="41" spans="1:11" ht="60" customHeight="1" x14ac:dyDescent="0.3">
      <c r="A41" s="281">
        <v>35</v>
      </c>
      <c r="B41" s="281" t="s">
        <v>11</v>
      </c>
      <c r="C41" s="281"/>
      <c r="D41" s="281"/>
      <c r="E41" s="281" t="s">
        <v>16</v>
      </c>
      <c r="F41" s="281">
        <v>200100037</v>
      </c>
      <c r="G41" s="281">
        <v>3101010036</v>
      </c>
      <c r="H41" s="281" t="s">
        <v>53</v>
      </c>
      <c r="I41" s="281" t="s">
        <v>14</v>
      </c>
      <c r="J41" s="285">
        <v>47.000799999999998</v>
      </c>
      <c r="K41" s="285">
        <v>5.6273400000000002</v>
      </c>
    </row>
    <row r="42" spans="1:11" ht="60" customHeight="1" x14ac:dyDescent="0.3">
      <c r="A42" s="281">
        <v>36</v>
      </c>
      <c r="B42" s="281" t="s">
        <v>11</v>
      </c>
      <c r="C42" s="281"/>
      <c r="D42" s="281"/>
      <c r="E42" s="281" t="s">
        <v>16</v>
      </c>
      <c r="F42" s="281">
        <v>200100038</v>
      </c>
      <c r="G42" s="281">
        <v>3101010037</v>
      </c>
      <c r="H42" s="281" t="s">
        <v>54</v>
      </c>
      <c r="I42" s="281" t="s">
        <v>14</v>
      </c>
      <c r="J42" s="285">
        <v>9.0030000000000001</v>
      </c>
      <c r="K42" s="285">
        <v>5.72905</v>
      </c>
    </row>
    <row r="43" spans="1:11" ht="30" customHeight="1" x14ac:dyDescent="0.3">
      <c r="A43" s="281">
        <v>37</v>
      </c>
      <c r="B43" s="281" t="s">
        <v>11</v>
      </c>
      <c r="C43" s="281"/>
      <c r="D43" s="281"/>
      <c r="E43" s="281" t="s">
        <v>16</v>
      </c>
      <c r="F43" s="281">
        <v>200100039</v>
      </c>
      <c r="G43" s="281">
        <v>3101010038</v>
      </c>
      <c r="H43" s="281" t="s">
        <v>55</v>
      </c>
      <c r="I43" s="281" t="s">
        <v>14</v>
      </c>
      <c r="J43" s="285">
        <v>3.9962</v>
      </c>
      <c r="K43" s="285">
        <v>1.5642</v>
      </c>
    </row>
    <row r="44" spans="1:11" ht="60" customHeight="1" x14ac:dyDescent="0.3">
      <c r="A44" s="281">
        <v>38</v>
      </c>
      <c r="B44" s="281" t="s">
        <v>11</v>
      </c>
      <c r="C44" s="281"/>
      <c r="D44" s="281"/>
      <c r="E44" s="281" t="s">
        <v>16</v>
      </c>
      <c r="F44" s="281">
        <v>200100040</v>
      </c>
      <c r="G44" s="281">
        <v>3101010039</v>
      </c>
      <c r="H44" s="281" t="s">
        <v>56</v>
      </c>
      <c r="I44" s="281" t="s">
        <v>14</v>
      </c>
      <c r="J44" s="285">
        <v>4480</v>
      </c>
      <c r="K44" s="285">
        <v>1079.354</v>
      </c>
    </row>
    <row r="45" spans="1:11" ht="60" customHeight="1" x14ac:dyDescent="0.3">
      <c r="A45" s="281">
        <v>39</v>
      </c>
      <c r="B45" s="281" t="s">
        <v>11</v>
      </c>
      <c r="C45" s="281"/>
      <c r="D45" s="281"/>
      <c r="E45" s="281" t="s">
        <v>16</v>
      </c>
      <c r="F45" s="281">
        <v>200100041</v>
      </c>
      <c r="G45" s="281">
        <v>3101010040</v>
      </c>
      <c r="H45" s="281" t="s">
        <v>57</v>
      </c>
      <c r="I45" s="281" t="s">
        <v>14</v>
      </c>
      <c r="J45" s="285">
        <v>325</v>
      </c>
      <c r="K45" s="285">
        <v>309.45319999999998</v>
      </c>
    </row>
    <row r="46" spans="1:11" ht="45" customHeight="1" x14ac:dyDescent="0.3">
      <c r="A46" s="281">
        <v>40</v>
      </c>
      <c r="B46" s="281" t="s">
        <v>11</v>
      </c>
      <c r="C46" s="281"/>
      <c r="D46" s="281"/>
      <c r="E46" s="281" t="s">
        <v>16</v>
      </c>
      <c r="F46" s="281">
        <v>200100042</v>
      </c>
      <c r="G46" s="281">
        <v>3101010041</v>
      </c>
      <c r="H46" s="281" t="s">
        <v>58</v>
      </c>
      <c r="I46" s="281" t="s">
        <v>43</v>
      </c>
      <c r="J46" s="285">
        <v>350</v>
      </c>
      <c r="K46" s="285">
        <v>182.48670000000001</v>
      </c>
    </row>
    <row r="47" spans="1:11" ht="45" customHeight="1" x14ac:dyDescent="0.3">
      <c r="A47" s="281">
        <v>41</v>
      </c>
      <c r="B47" s="281" t="s">
        <v>11</v>
      </c>
      <c r="C47" s="281"/>
      <c r="D47" s="281"/>
      <c r="E47" s="281" t="s">
        <v>16</v>
      </c>
      <c r="F47" s="281">
        <v>200100043</v>
      </c>
      <c r="G47" s="281">
        <v>3101010042</v>
      </c>
      <c r="H47" s="281" t="s">
        <v>59</v>
      </c>
      <c r="I47" s="281" t="s">
        <v>43</v>
      </c>
      <c r="J47" s="285">
        <v>480</v>
      </c>
      <c r="K47" s="285">
        <v>123.97645</v>
      </c>
    </row>
    <row r="48" spans="1:11" ht="45" customHeight="1" x14ac:dyDescent="0.3">
      <c r="A48" s="281">
        <v>42</v>
      </c>
      <c r="B48" s="281" t="s">
        <v>11</v>
      </c>
      <c r="C48" s="281"/>
      <c r="D48" s="281"/>
      <c r="E48" s="281" t="s">
        <v>16</v>
      </c>
      <c r="F48" s="281">
        <v>200100044</v>
      </c>
      <c r="G48" s="281">
        <v>3101010043</v>
      </c>
      <c r="H48" s="281" t="s">
        <v>60</v>
      </c>
      <c r="I48" s="281" t="s">
        <v>43</v>
      </c>
      <c r="J48" s="285">
        <v>625</v>
      </c>
      <c r="K48" s="285">
        <v>109.87</v>
      </c>
    </row>
    <row r="49" spans="1:11" ht="45" customHeight="1" x14ac:dyDescent="0.3">
      <c r="A49" s="281">
        <v>43</v>
      </c>
      <c r="B49" s="281" t="s">
        <v>11</v>
      </c>
      <c r="C49" s="281"/>
      <c r="D49" s="281"/>
      <c r="E49" s="281" t="s">
        <v>16</v>
      </c>
      <c r="F49" s="281">
        <v>200100045</v>
      </c>
      <c r="G49" s="281">
        <v>3101010044</v>
      </c>
      <c r="H49" s="281" t="s">
        <v>61</v>
      </c>
      <c r="I49" s="281" t="s">
        <v>43</v>
      </c>
      <c r="J49" s="285">
        <v>100</v>
      </c>
      <c r="K49" s="285">
        <v>53.282499999999999</v>
      </c>
    </row>
    <row r="50" spans="1:11" ht="30" customHeight="1" x14ac:dyDescent="0.3">
      <c r="A50" s="281">
        <v>44</v>
      </c>
      <c r="B50" s="281" t="s">
        <v>11</v>
      </c>
      <c r="C50" s="281"/>
      <c r="D50" s="281"/>
      <c r="E50" s="281" t="s">
        <v>16</v>
      </c>
      <c r="F50" s="281">
        <v>200100046</v>
      </c>
      <c r="G50" s="281">
        <v>3101010045</v>
      </c>
      <c r="H50" s="281" t="s">
        <v>62</v>
      </c>
      <c r="I50" s="281" t="s">
        <v>63</v>
      </c>
      <c r="J50" s="285">
        <v>25</v>
      </c>
      <c r="K50" s="285">
        <v>126.44575</v>
      </c>
    </row>
    <row r="51" spans="1:11" ht="30" customHeight="1" x14ac:dyDescent="0.3">
      <c r="A51" s="281">
        <v>45</v>
      </c>
      <c r="B51" s="281" t="s">
        <v>11</v>
      </c>
      <c r="C51" s="281"/>
      <c r="D51" s="281"/>
      <c r="E51" s="281" t="s">
        <v>16</v>
      </c>
      <c r="F51" s="281">
        <v>200100047</v>
      </c>
      <c r="G51" s="281">
        <v>3101010046</v>
      </c>
      <c r="H51" s="281" t="s">
        <v>64</v>
      </c>
      <c r="I51" s="281" t="s">
        <v>43</v>
      </c>
      <c r="J51" s="285">
        <v>240</v>
      </c>
      <c r="K51" s="285">
        <v>67.404499999999999</v>
      </c>
    </row>
    <row r="52" spans="1:11" ht="30" customHeight="1" x14ac:dyDescent="0.3">
      <c r="A52" s="281">
        <v>46</v>
      </c>
      <c r="B52" s="281" t="s">
        <v>11</v>
      </c>
      <c r="C52" s="281"/>
      <c r="D52" s="281"/>
      <c r="E52" s="281" t="s">
        <v>16</v>
      </c>
      <c r="F52" s="281">
        <v>200100048</v>
      </c>
      <c r="G52" s="281">
        <v>3101010047</v>
      </c>
      <c r="H52" s="281" t="s">
        <v>65</v>
      </c>
      <c r="I52" s="281" t="s">
        <v>66</v>
      </c>
      <c r="J52" s="285">
        <v>55</v>
      </c>
      <c r="K52" s="285">
        <v>7</v>
      </c>
    </row>
    <row r="53" spans="1:11" ht="30" customHeight="1" x14ac:dyDescent="0.3">
      <c r="A53" s="281">
        <v>47</v>
      </c>
      <c r="B53" s="281" t="s">
        <v>11</v>
      </c>
      <c r="C53" s="281"/>
      <c r="D53" s="281"/>
      <c r="E53" s="281" t="s">
        <v>16</v>
      </c>
      <c r="F53" s="281">
        <v>200100049</v>
      </c>
      <c r="G53" s="281">
        <v>3101010048</v>
      </c>
      <c r="H53" s="281" t="s">
        <v>67</v>
      </c>
      <c r="I53" s="281" t="s">
        <v>66</v>
      </c>
      <c r="J53" s="285">
        <v>35</v>
      </c>
      <c r="K53" s="285">
        <v>8.0340000000000007</v>
      </c>
    </row>
    <row r="54" spans="1:11" ht="45" customHeight="1" x14ac:dyDescent="0.3">
      <c r="A54" s="281">
        <v>48</v>
      </c>
      <c r="B54" s="281" t="s">
        <v>11</v>
      </c>
      <c r="C54" s="281"/>
      <c r="D54" s="281"/>
      <c r="E54" s="281" t="s">
        <v>16</v>
      </c>
      <c r="F54" s="281">
        <v>200100050</v>
      </c>
      <c r="G54" s="281">
        <v>3101010049</v>
      </c>
      <c r="H54" s="281" t="s">
        <v>68</v>
      </c>
      <c r="I54" s="281" t="s">
        <v>66</v>
      </c>
      <c r="J54" s="285">
        <v>30</v>
      </c>
      <c r="K54" s="285">
        <v>46.66386</v>
      </c>
    </row>
    <row r="55" spans="1:11" ht="30" customHeight="1" x14ac:dyDescent="0.3">
      <c r="A55" s="281">
        <v>49</v>
      </c>
      <c r="B55" s="281" t="s">
        <v>11</v>
      </c>
      <c r="C55" s="281"/>
      <c r="D55" s="281"/>
      <c r="E55" s="281" t="s">
        <v>16</v>
      </c>
      <c r="F55" s="281">
        <v>200100055</v>
      </c>
      <c r="G55" s="281">
        <v>3101010054</v>
      </c>
      <c r="H55" s="281" t="s">
        <v>69</v>
      </c>
      <c r="I55" s="281" t="s">
        <v>66</v>
      </c>
      <c r="J55" s="285">
        <v>5.0030000000000001</v>
      </c>
      <c r="K55" s="285">
        <v>4.3375000000000004</v>
      </c>
    </row>
    <row r="56" spans="1:11" ht="45" customHeight="1" x14ac:dyDescent="0.3">
      <c r="A56" s="281">
        <v>50</v>
      </c>
      <c r="B56" s="281" t="s">
        <v>11</v>
      </c>
      <c r="C56" s="281"/>
      <c r="D56" s="281"/>
      <c r="E56" s="281" t="s">
        <v>16</v>
      </c>
      <c r="F56" s="281">
        <v>200100057</v>
      </c>
      <c r="G56" s="281">
        <v>3101010056</v>
      </c>
      <c r="H56" s="281" t="s">
        <v>70</v>
      </c>
      <c r="I56" s="281" t="s">
        <v>41</v>
      </c>
      <c r="J56" s="285">
        <v>147749</v>
      </c>
      <c r="K56" s="285">
        <v>7649</v>
      </c>
    </row>
    <row r="57" spans="1:11" ht="75" customHeight="1" x14ac:dyDescent="0.3">
      <c r="A57" s="281">
        <v>51</v>
      </c>
      <c r="B57" s="281" t="s">
        <v>11</v>
      </c>
      <c r="C57" s="281"/>
      <c r="D57" s="281"/>
      <c r="E57" s="281" t="s">
        <v>16</v>
      </c>
      <c r="F57" s="281">
        <v>200100058</v>
      </c>
      <c r="G57" s="281">
        <v>3101010057</v>
      </c>
      <c r="H57" s="281" t="s">
        <v>71</v>
      </c>
      <c r="I57" s="281" t="s">
        <v>41</v>
      </c>
      <c r="J57" s="285">
        <v>8861</v>
      </c>
      <c r="K57" s="285">
        <v>514</v>
      </c>
    </row>
    <row r="58" spans="1:11" ht="75" customHeight="1" x14ac:dyDescent="0.3">
      <c r="A58" s="281">
        <v>52</v>
      </c>
      <c r="B58" s="281" t="s">
        <v>11</v>
      </c>
      <c r="C58" s="281"/>
      <c r="D58" s="281"/>
      <c r="E58" s="281" t="s">
        <v>16</v>
      </c>
      <c r="F58" s="281">
        <v>200100059</v>
      </c>
      <c r="G58" s="281">
        <v>3101010058</v>
      </c>
      <c r="H58" s="281" t="s">
        <v>72</v>
      </c>
      <c r="I58" s="281" t="s">
        <v>41</v>
      </c>
      <c r="J58" s="285">
        <v>1500</v>
      </c>
      <c r="K58" s="285">
        <v>7041</v>
      </c>
    </row>
    <row r="59" spans="1:11" ht="60" customHeight="1" x14ac:dyDescent="0.3">
      <c r="A59" s="281">
        <v>53</v>
      </c>
      <c r="B59" s="281" t="s">
        <v>11</v>
      </c>
      <c r="C59" s="281"/>
      <c r="D59" s="281"/>
      <c r="E59" s="281" t="s">
        <v>16</v>
      </c>
      <c r="F59" s="281">
        <v>200100060</v>
      </c>
      <c r="G59" s="281">
        <v>3101010059</v>
      </c>
      <c r="H59" s="281" t="s">
        <v>73</v>
      </c>
      <c r="I59" s="281" t="s">
        <v>41</v>
      </c>
      <c r="J59" s="285">
        <v>22200</v>
      </c>
      <c r="K59" s="285">
        <v>2619</v>
      </c>
    </row>
    <row r="60" spans="1:11" ht="30" customHeight="1" x14ac:dyDescent="0.3">
      <c r="A60" s="281">
        <v>54</v>
      </c>
      <c r="B60" s="281" t="s">
        <v>11</v>
      </c>
      <c r="C60" s="281"/>
      <c r="D60" s="281"/>
      <c r="E60" s="281" t="s">
        <v>16</v>
      </c>
      <c r="F60" s="281">
        <v>200100061</v>
      </c>
      <c r="G60" s="281">
        <v>3101010060</v>
      </c>
      <c r="H60" s="281" t="s">
        <v>74</v>
      </c>
      <c r="I60" s="281" t="s">
        <v>41</v>
      </c>
      <c r="J60" s="285">
        <v>52200</v>
      </c>
      <c r="K60" s="285">
        <v>17863</v>
      </c>
    </row>
    <row r="61" spans="1:11" ht="30" customHeight="1" x14ac:dyDescent="0.3">
      <c r="A61" s="281">
        <v>55</v>
      </c>
      <c r="B61" s="281" t="s">
        <v>11</v>
      </c>
      <c r="C61" s="281"/>
      <c r="D61" s="281"/>
      <c r="E61" s="281" t="s">
        <v>16</v>
      </c>
      <c r="F61" s="281">
        <v>200100062</v>
      </c>
      <c r="G61" s="281">
        <v>3101010061</v>
      </c>
      <c r="H61" s="281" t="s">
        <v>75</v>
      </c>
      <c r="I61" s="281" t="s">
        <v>41</v>
      </c>
      <c r="J61" s="285">
        <v>45000</v>
      </c>
      <c r="K61" s="285">
        <v>16534</v>
      </c>
    </row>
    <row r="62" spans="1:11" ht="45" customHeight="1" x14ac:dyDescent="0.3">
      <c r="A62" s="281">
        <v>56</v>
      </c>
      <c r="B62" s="281" t="s">
        <v>11</v>
      </c>
      <c r="C62" s="281"/>
      <c r="D62" s="281"/>
      <c r="E62" s="281" t="s">
        <v>16</v>
      </c>
      <c r="F62" s="281">
        <v>200100063</v>
      </c>
      <c r="G62" s="281">
        <v>3101010062</v>
      </c>
      <c r="H62" s="281" t="s">
        <v>76</v>
      </c>
      <c r="I62" s="281" t="s">
        <v>37</v>
      </c>
      <c r="J62" s="285">
        <v>53440</v>
      </c>
      <c r="K62" s="285">
        <v>5842</v>
      </c>
    </row>
    <row r="63" spans="1:11" ht="45" customHeight="1" x14ac:dyDescent="0.3">
      <c r="A63" s="281">
        <v>57</v>
      </c>
      <c r="B63" s="281" t="s">
        <v>11</v>
      </c>
      <c r="C63" s="281"/>
      <c r="D63" s="281"/>
      <c r="E63" s="281" t="s">
        <v>16</v>
      </c>
      <c r="F63" s="281">
        <v>200100065</v>
      </c>
      <c r="G63" s="281">
        <v>3101010064</v>
      </c>
      <c r="H63" s="281" t="s">
        <v>77</v>
      </c>
      <c r="I63" s="281" t="s">
        <v>14</v>
      </c>
      <c r="J63" s="285">
        <v>2500</v>
      </c>
      <c r="K63" s="285">
        <v>245.86600000000001</v>
      </c>
    </row>
    <row r="64" spans="1:11" ht="45" customHeight="1" x14ac:dyDescent="0.3">
      <c r="A64" s="281">
        <v>58</v>
      </c>
      <c r="B64" s="281" t="s">
        <v>11</v>
      </c>
      <c r="C64" s="281"/>
      <c r="D64" s="281"/>
      <c r="E64" s="281" t="s">
        <v>16</v>
      </c>
      <c r="F64" s="281">
        <v>200100066</v>
      </c>
      <c r="G64" s="281">
        <v>3101010065</v>
      </c>
      <c r="H64" s="281" t="s">
        <v>78</v>
      </c>
      <c r="I64" s="281" t="s">
        <v>14</v>
      </c>
      <c r="J64" s="285">
        <v>39.998860000000001</v>
      </c>
      <c r="K64" s="285">
        <v>41.704599999999999</v>
      </c>
    </row>
    <row r="65" spans="1:11" ht="60" customHeight="1" x14ac:dyDescent="0.3">
      <c r="A65" s="281">
        <v>59</v>
      </c>
      <c r="B65" s="281" t="s">
        <v>11</v>
      </c>
      <c r="C65" s="281"/>
      <c r="D65" s="281"/>
      <c r="E65" s="281" t="s">
        <v>16</v>
      </c>
      <c r="F65" s="281">
        <v>200100067</v>
      </c>
      <c r="G65" s="281">
        <v>3101010066</v>
      </c>
      <c r="H65" s="281" t="s">
        <v>79</v>
      </c>
      <c r="I65" s="281" t="s">
        <v>14</v>
      </c>
      <c r="J65" s="285">
        <v>725</v>
      </c>
      <c r="K65" s="285">
        <v>192.63</v>
      </c>
    </row>
    <row r="66" spans="1:11" ht="60" customHeight="1" x14ac:dyDescent="0.3">
      <c r="A66" s="281">
        <v>60</v>
      </c>
      <c r="B66" s="281" t="s">
        <v>11</v>
      </c>
      <c r="C66" s="281"/>
      <c r="D66" s="281"/>
      <c r="E66" s="281" t="s">
        <v>16</v>
      </c>
      <c r="F66" s="281">
        <v>200100068</v>
      </c>
      <c r="G66" s="281">
        <v>3101010067</v>
      </c>
      <c r="H66" s="281" t="s">
        <v>80</v>
      </c>
      <c r="I66" s="281" t="s">
        <v>41</v>
      </c>
      <c r="J66" s="285">
        <v>18750</v>
      </c>
      <c r="K66" s="285">
        <v>26376</v>
      </c>
    </row>
    <row r="67" spans="1:11" ht="60" customHeight="1" x14ac:dyDescent="0.3">
      <c r="A67" s="281">
        <v>61</v>
      </c>
      <c r="B67" s="281" t="s">
        <v>11</v>
      </c>
      <c r="C67" s="281"/>
      <c r="D67" s="281"/>
      <c r="E67" s="281" t="s">
        <v>16</v>
      </c>
      <c r="F67" s="281">
        <v>200100069</v>
      </c>
      <c r="G67" s="281">
        <v>3101010068</v>
      </c>
      <c r="H67" s="281" t="s">
        <v>81</v>
      </c>
      <c r="I67" s="281" t="s">
        <v>14</v>
      </c>
      <c r="J67" s="285">
        <v>150.00399999999999</v>
      </c>
      <c r="K67" s="285">
        <v>51.47</v>
      </c>
    </row>
    <row r="68" spans="1:11" ht="60" customHeight="1" x14ac:dyDescent="0.3">
      <c r="A68" s="281">
        <v>62</v>
      </c>
      <c r="B68" s="281" t="s">
        <v>11</v>
      </c>
      <c r="C68" s="281"/>
      <c r="D68" s="281"/>
      <c r="E68" s="281" t="s">
        <v>16</v>
      </c>
      <c r="F68" s="281">
        <v>200100070</v>
      </c>
      <c r="G68" s="281">
        <v>3101010069</v>
      </c>
      <c r="H68" s="281" t="s">
        <v>82</v>
      </c>
      <c r="I68" s="281" t="s">
        <v>14</v>
      </c>
      <c r="J68" s="285">
        <v>100</v>
      </c>
      <c r="K68" s="285">
        <v>45.698599999999999</v>
      </c>
    </row>
    <row r="69" spans="1:11" ht="60" customHeight="1" x14ac:dyDescent="0.3">
      <c r="A69" s="281">
        <v>63</v>
      </c>
      <c r="B69" s="281" t="s">
        <v>11</v>
      </c>
      <c r="C69" s="281"/>
      <c r="D69" s="281"/>
      <c r="E69" s="281" t="s">
        <v>16</v>
      </c>
      <c r="F69" s="281">
        <v>200100071</v>
      </c>
      <c r="G69" s="281">
        <v>3101010070</v>
      </c>
      <c r="H69" s="281" t="s">
        <v>83</v>
      </c>
      <c r="I69" s="281" t="s">
        <v>14</v>
      </c>
      <c r="J69" s="285">
        <v>0</v>
      </c>
      <c r="K69" s="285">
        <v>90.904399999999995</v>
      </c>
    </row>
    <row r="70" spans="1:11" ht="75" customHeight="1" x14ac:dyDescent="0.3">
      <c r="A70" s="281">
        <v>64</v>
      </c>
      <c r="B70" s="281" t="s">
        <v>11</v>
      </c>
      <c r="C70" s="281"/>
      <c r="D70" s="281"/>
      <c r="E70" s="281" t="s">
        <v>16</v>
      </c>
      <c r="F70" s="281">
        <v>200100072</v>
      </c>
      <c r="G70" s="281">
        <v>3101010071</v>
      </c>
      <c r="H70" s="281" t="s">
        <v>84</v>
      </c>
      <c r="I70" s="281" t="s">
        <v>41</v>
      </c>
      <c r="J70" s="285">
        <v>6514</v>
      </c>
      <c r="K70" s="285">
        <v>56061</v>
      </c>
    </row>
    <row r="71" spans="1:11" ht="75" customHeight="1" x14ac:dyDescent="0.3">
      <c r="A71" s="281">
        <v>65</v>
      </c>
      <c r="B71" s="281" t="s">
        <v>11</v>
      </c>
      <c r="C71" s="281"/>
      <c r="D71" s="281"/>
      <c r="E71" s="281" t="s">
        <v>16</v>
      </c>
      <c r="F71" s="281">
        <v>200100073</v>
      </c>
      <c r="G71" s="281">
        <v>3101010072</v>
      </c>
      <c r="H71" s="281" t="s">
        <v>85</v>
      </c>
      <c r="I71" s="281" t="s">
        <v>41</v>
      </c>
      <c r="J71" s="285">
        <v>0</v>
      </c>
      <c r="K71" s="285">
        <v>10149.799999999999</v>
      </c>
    </row>
    <row r="72" spans="1:11" ht="45" customHeight="1" x14ac:dyDescent="0.3">
      <c r="A72" s="281">
        <v>66</v>
      </c>
      <c r="B72" s="281" t="s">
        <v>11</v>
      </c>
      <c r="C72" s="281"/>
      <c r="D72" s="281"/>
      <c r="E72" s="281" t="s">
        <v>16</v>
      </c>
      <c r="F72" s="281">
        <v>200100074</v>
      </c>
      <c r="G72" s="281">
        <v>3101010073</v>
      </c>
      <c r="H72" s="281" t="s">
        <v>86</v>
      </c>
      <c r="I72" s="281" t="s">
        <v>41</v>
      </c>
      <c r="J72" s="285">
        <v>0</v>
      </c>
      <c r="K72" s="285">
        <v>259909</v>
      </c>
    </row>
    <row r="73" spans="1:11" ht="105" customHeight="1" x14ac:dyDescent="0.3">
      <c r="A73" s="281">
        <v>67</v>
      </c>
      <c r="B73" s="281" t="s">
        <v>11</v>
      </c>
      <c r="C73" s="281"/>
      <c r="D73" s="281"/>
      <c r="E73" s="281" t="s">
        <v>16</v>
      </c>
      <c r="F73" s="281">
        <v>200100075</v>
      </c>
      <c r="G73" s="281">
        <v>3101010074</v>
      </c>
      <c r="H73" s="281" t="s">
        <v>87</v>
      </c>
      <c r="I73" s="281" t="s">
        <v>14</v>
      </c>
      <c r="J73" s="285">
        <v>4.0000000000000001E-3</v>
      </c>
      <c r="K73" s="285">
        <v>344.35599999999999</v>
      </c>
    </row>
    <row r="74" spans="1:11" ht="75" customHeight="1" x14ac:dyDescent="0.3">
      <c r="A74" s="281">
        <v>68</v>
      </c>
      <c r="B74" s="281" t="s">
        <v>11</v>
      </c>
      <c r="C74" s="281"/>
      <c r="D74" s="281"/>
      <c r="E74" s="281" t="s">
        <v>16</v>
      </c>
      <c r="F74" s="281">
        <v>200100076</v>
      </c>
      <c r="G74" s="281">
        <v>3101010075</v>
      </c>
      <c r="H74" s="281" t="s">
        <v>88</v>
      </c>
      <c r="I74" s="281" t="s">
        <v>14</v>
      </c>
      <c r="J74" s="285">
        <v>3.202</v>
      </c>
      <c r="K74" s="285">
        <v>300.18</v>
      </c>
    </row>
    <row r="75" spans="1:11" ht="75" customHeight="1" x14ac:dyDescent="0.3">
      <c r="A75" s="281">
        <v>69</v>
      </c>
      <c r="B75" s="281" t="s">
        <v>11</v>
      </c>
      <c r="C75" s="281"/>
      <c r="D75" s="281"/>
      <c r="E75" s="281" t="s">
        <v>16</v>
      </c>
      <c r="F75" s="281">
        <v>200100077</v>
      </c>
      <c r="G75" s="281">
        <v>3101010076</v>
      </c>
      <c r="H75" s="281" t="s">
        <v>89</v>
      </c>
      <c r="I75" s="281" t="s">
        <v>14</v>
      </c>
      <c r="J75" s="285">
        <v>-4.0000000000000001E-3</v>
      </c>
      <c r="K75" s="285">
        <v>26.88</v>
      </c>
    </row>
    <row r="76" spans="1:11" ht="90" customHeight="1" x14ac:dyDescent="0.3">
      <c r="A76" s="281">
        <v>70</v>
      </c>
      <c r="B76" s="281" t="s">
        <v>11</v>
      </c>
      <c r="C76" s="281"/>
      <c r="D76" s="281"/>
      <c r="E76" s="281" t="s">
        <v>16</v>
      </c>
      <c r="F76" s="281">
        <v>200100078</v>
      </c>
      <c r="G76" s="281">
        <v>3101010077</v>
      </c>
      <c r="H76" s="281" t="s">
        <v>90</v>
      </c>
      <c r="I76" s="281" t="s">
        <v>14</v>
      </c>
      <c r="J76" s="285">
        <v>1015.6961</v>
      </c>
      <c r="K76" s="285">
        <v>456.18650000000002</v>
      </c>
    </row>
    <row r="77" spans="1:11" ht="30" customHeight="1" x14ac:dyDescent="0.3">
      <c r="A77" s="281">
        <v>71</v>
      </c>
      <c r="B77" s="281" t="s">
        <v>11</v>
      </c>
      <c r="C77" s="281"/>
      <c r="D77" s="281"/>
      <c r="E77" s="281" t="s">
        <v>16</v>
      </c>
      <c r="F77" s="281">
        <v>200100079</v>
      </c>
      <c r="G77" s="281">
        <v>3101010078</v>
      </c>
      <c r="H77" s="281" t="s">
        <v>91</v>
      </c>
      <c r="I77" s="281" t="s">
        <v>41</v>
      </c>
      <c r="J77" s="285">
        <v>12730</v>
      </c>
      <c r="K77" s="285">
        <v>22792</v>
      </c>
    </row>
    <row r="78" spans="1:11" ht="30" customHeight="1" x14ac:dyDescent="0.3">
      <c r="A78" s="281">
        <v>72</v>
      </c>
      <c r="B78" s="281" t="s">
        <v>11</v>
      </c>
      <c r="C78" s="281"/>
      <c r="D78" s="281"/>
      <c r="E78" s="281" t="s">
        <v>16</v>
      </c>
      <c r="F78" s="281">
        <v>200100080</v>
      </c>
      <c r="G78" s="281">
        <v>3101010079</v>
      </c>
      <c r="H78" s="281" t="s">
        <v>92</v>
      </c>
      <c r="I78" s="281" t="s">
        <v>41</v>
      </c>
      <c r="J78" s="285">
        <v>0</v>
      </c>
      <c r="K78" s="285">
        <v>0</v>
      </c>
    </row>
    <row r="79" spans="1:11" ht="30" customHeight="1" x14ac:dyDescent="0.3">
      <c r="A79" s="281">
        <v>73</v>
      </c>
      <c r="B79" s="281" t="s">
        <v>11</v>
      </c>
      <c r="C79" s="281"/>
      <c r="D79" s="281"/>
      <c r="E79" s="281" t="s">
        <v>16</v>
      </c>
      <c r="F79" s="281">
        <v>200100081</v>
      </c>
      <c r="G79" s="281">
        <v>3101010080</v>
      </c>
      <c r="H79" s="281" t="s">
        <v>93</v>
      </c>
      <c r="I79" s="281" t="s">
        <v>41</v>
      </c>
      <c r="J79" s="285">
        <v>20300</v>
      </c>
      <c r="K79" s="285">
        <v>0</v>
      </c>
    </row>
    <row r="80" spans="1:11" ht="60" customHeight="1" x14ac:dyDescent="0.3">
      <c r="A80" s="281">
        <v>74</v>
      </c>
      <c r="B80" s="281" t="s">
        <v>11</v>
      </c>
      <c r="C80" s="281"/>
      <c r="D80" s="281"/>
      <c r="E80" s="281" t="s">
        <v>16</v>
      </c>
      <c r="F80" s="281">
        <v>200100082</v>
      </c>
      <c r="G80" s="281">
        <v>3101010081</v>
      </c>
      <c r="H80" s="281" t="s">
        <v>94</v>
      </c>
      <c r="I80" s="281" t="s">
        <v>41</v>
      </c>
      <c r="J80" s="285">
        <v>7400</v>
      </c>
      <c r="K80" s="285">
        <v>54537</v>
      </c>
    </row>
    <row r="81" spans="1:11" ht="60" customHeight="1" x14ac:dyDescent="0.3">
      <c r="A81" s="281">
        <v>75</v>
      </c>
      <c r="B81" s="281" t="s">
        <v>11</v>
      </c>
      <c r="C81" s="281"/>
      <c r="D81" s="281"/>
      <c r="E81" s="281" t="s">
        <v>16</v>
      </c>
      <c r="F81" s="281">
        <v>200100084</v>
      </c>
      <c r="G81" s="281">
        <v>3101010083</v>
      </c>
      <c r="H81" s="281" t="s">
        <v>95</v>
      </c>
      <c r="I81" s="281" t="s">
        <v>41</v>
      </c>
      <c r="J81" s="285">
        <v>0</v>
      </c>
      <c r="K81" s="285">
        <v>51011</v>
      </c>
    </row>
    <row r="82" spans="1:11" ht="30" customHeight="1" x14ac:dyDescent="0.3">
      <c r="A82" s="281">
        <v>76</v>
      </c>
      <c r="B82" s="281" t="s">
        <v>11</v>
      </c>
      <c r="C82" s="281"/>
      <c r="D82" s="281"/>
      <c r="E82" s="281" t="s">
        <v>16</v>
      </c>
      <c r="F82" s="281">
        <v>200100085</v>
      </c>
      <c r="G82" s="281">
        <v>3101010084</v>
      </c>
      <c r="H82" s="281" t="s">
        <v>96</v>
      </c>
      <c r="I82" s="281" t="s">
        <v>41</v>
      </c>
      <c r="J82" s="285">
        <v>1000.001</v>
      </c>
      <c r="K82" s="285">
        <v>17842</v>
      </c>
    </row>
    <row r="83" spans="1:11" ht="30" customHeight="1" x14ac:dyDescent="0.3">
      <c r="A83" s="281">
        <v>77</v>
      </c>
      <c r="B83" s="281" t="s">
        <v>11</v>
      </c>
      <c r="C83" s="281"/>
      <c r="D83" s="281"/>
      <c r="E83" s="281" t="s">
        <v>16</v>
      </c>
      <c r="F83" s="281">
        <v>200100086</v>
      </c>
      <c r="G83" s="281">
        <v>3101010085</v>
      </c>
      <c r="H83" s="281" t="s">
        <v>97</v>
      </c>
      <c r="I83" s="281" t="s">
        <v>41</v>
      </c>
      <c r="J83" s="285">
        <v>16120</v>
      </c>
      <c r="K83" s="285">
        <v>56001</v>
      </c>
    </row>
    <row r="84" spans="1:11" ht="45" customHeight="1" x14ac:dyDescent="0.3">
      <c r="A84" s="281">
        <v>78</v>
      </c>
      <c r="B84" s="281" t="s">
        <v>11</v>
      </c>
      <c r="C84" s="281"/>
      <c r="D84" s="281"/>
      <c r="E84" s="281" t="s">
        <v>16</v>
      </c>
      <c r="F84" s="281">
        <v>200100087</v>
      </c>
      <c r="G84" s="281">
        <v>3101010086</v>
      </c>
      <c r="H84" s="281" t="s">
        <v>98</v>
      </c>
      <c r="I84" s="281" t="s">
        <v>41</v>
      </c>
      <c r="J84" s="285">
        <v>0</v>
      </c>
      <c r="K84" s="285">
        <v>126865</v>
      </c>
    </row>
    <row r="85" spans="1:11" ht="30" customHeight="1" x14ac:dyDescent="0.3">
      <c r="A85" s="281">
        <v>79</v>
      </c>
      <c r="B85" s="281" t="s">
        <v>11</v>
      </c>
      <c r="C85" s="281"/>
      <c r="D85" s="281"/>
      <c r="E85" s="281" t="s">
        <v>16</v>
      </c>
      <c r="F85" s="281">
        <v>200100088</v>
      </c>
      <c r="G85" s="281">
        <v>3101010087</v>
      </c>
      <c r="H85" s="281" t="s">
        <v>99</v>
      </c>
      <c r="I85" s="281" t="s">
        <v>14</v>
      </c>
      <c r="J85" s="285">
        <v>0</v>
      </c>
      <c r="K85" s="285">
        <v>0</v>
      </c>
    </row>
    <row r="86" spans="1:11" ht="60" customHeight="1" x14ac:dyDescent="0.3">
      <c r="A86" s="281">
        <v>80</v>
      </c>
      <c r="B86" s="281" t="s">
        <v>11</v>
      </c>
      <c r="C86" s="281"/>
      <c r="D86" s="281"/>
      <c r="E86" s="281" t="s">
        <v>16</v>
      </c>
      <c r="F86" s="281">
        <v>200100091</v>
      </c>
      <c r="G86" s="281">
        <v>3101010090</v>
      </c>
      <c r="H86" s="281" t="s">
        <v>100</v>
      </c>
      <c r="I86" s="281" t="s">
        <v>37</v>
      </c>
      <c r="J86" s="285">
        <v>31340</v>
      </c>
      <c r="K86" s="285">
        <v>16449.764999999999</v>
      </c>
    </row>
    <row r="87" spans="1:11" ht="60" customHeight="1" x14ac:dyDescent="0.3">
      <c r="A87" s="281">
        <v>81</v>
      </c>
      <c r="B87" s="281" t="s">
        <v>11</v>
      </c>
      <c r="C87" s="281"/>
      <c r="D87" s="281"/>
      <c r="E87" s="281" t="s">
        <v>16</v>
      </c>
      <c r="F87" s="281">
        <v>200100092</v>
      </c>
      <c r="G87" s="281">
        <v>3101010091</v>
      </c>
      <c r="H87" s="281" t="s">
        <v>101</v>
      </c>
      <c r="I87" s="281" t="s">
        <v>37</v>
      </c>
      <c r="J87" s="285">
        <v>4900</v>
      </c>
      <c r="K87" s="285">
        <v>4428.7860000000001</v>
      </c>
    </row>
    <row r="88" spans="1:11" ht="60" customHeight="1" x14ac:dyDescent="0.3">
      <c r="A88" s="281">
        <v>82</v>
      </c>
      <c r="B88" s="281" t="s">
        <v>11</v>
      </c>
      <c r="C88" s="281"/>
      <c r="D88" s="281"/>
      <c r="E88" s="281" t="s">
        <v>16</v>
      </c>
      <c r="F88" s="281">
        <v>200100093</v>
      </c>
      <c r="G88" s="281">
        <v>3101010092</v>
      </c>
      <c r="H88" s="281" t="s">
        <v>102</v>
      </c>
      <c r="I88" s="281" t="s">
        <v>14</v>
      </c>
      <c r="J88" s="285">
        <v>20</v>
      </c>
      <c r="K88" s="285">
        <v>9.0250000000000004</v>
      </c>
    </row>
    <row r="89" spans="1:11" ht="30" customHeight="1" x14ac:dyDescent="0.3">
      <c r="A89" s="281">
        <v>83</v>
      </c>
      <c r="B89" s="281" t="s">
        <v>11</v>
      </c>
      <c r="C89" s="281"/>
      <c r="D89" s="281"/>
      <c r="E89" s="281" t="s">
        <v>16</v>
      </c>
      <c r="F89" s="281">
        <v>200100095</v>
      </c>
      <c r="G89" s="281">
        <v>3101010094</v>
      </c>
      <c r="H89" s="281" t="s">
        <v>103</v>
      </c>
      <c r="I89" s="281" t="s">
        <v>14</v>
      </c>
      <c r="J89" s="285">
        <v>27.997</v>
      </c>
      <c r="K89" s="285">
        <v>5.9909999999999997</v>
      </c>
    </row>
    <row r="90" spans="1:11" ht="75" customHeight="1" x14ac:dyDescent="0.3">
      <c r="A90" s="281">
        <v>84</v>
      </c>
      <c r="B90" s="281" t="s">
        <v>11</v>
      </c>
      <c r="C90" s="281"/>
      <c r="D90" s="281"/>
      <c r="E90" s="281" t="s">
        <v>16</v>
      </c>
      <c r="F90" s="281">
        <v>200100107</v>
      </c>
      <c r="G90" s="281">
        <v>3101010107</v>
      </c>
      <c r="H90" s="281" t="s">
        <v>104</v>
      </c>
      <c r="I90" s="281" t="s">
        <v>41</v>
      </c>
      <c r="J90" s="285">
        <v>6600</v>
      </c>
      <c r="K90" s="285">
        <v>0</v>
      </c>
    </row>
    <row r="91" spans="1:11" ht="30" customHeight="1" x14ac:dyDescent="0.3">
      <c r="A91" s="281">
        <v>85</v>
      </c>
      <c r="B91" s="281" t="s">
        <v>11</v>
      </c>
      <c r="C91" s="281"/>
      <c r="D91" s="281"/>
      <c r="E91" s="281" t="s">
        <v>16</v>
      </c>
      <c r="F91" s="281">
        <v>200100108</v>
      </c>
      <c r="G91" s="281">
        <v>3101010108</v>
      </c>
      <c r="H91" s="281" t="s">
        <v>105</v>
      </c>
      <c r="I91" s="281" t="s">
        <v>43</v>
      </c>
      <c r="J91" s="285">
        <v>91.637</v>
      </c>
      <c r="K91" s="285">
        <v>65.962500000000006</v>
      </c>
    </row>
    <row r="92" spans="1:11" ht="60" customHeight="1" x14ac:dyDescent="0.3">
      <c r="A92" s="281">
        <v>86</v>
      </c>
      <c r="B92" s="281" t="s">
        <v>11</v>
      </c>
      <c r="C92" s="281"/>
      <c r="D92" s="281"/>
      <c r="E92" s="281" t="s">
        <v>16</v>
      </c>
      <c r="F92" s="281">
        <v>200100109</v>
      </c>
      <c r="G92" s="281">
        <v>3101010109</v>
      </c>
      <c r="H92" s="281" t="s">
        <v>106</v>
      </c>
      <c r="I92" s="281" t="s">
        <v>41</v>
      </c>
      <c r="J92" s="285">
        <v>7700</v>
      </c>
      <c r="K92" s="285">
        <v>185</v>
      </c>
    </row>
    <row r="93" spans="1:11" ht="45" customHeight="1" x14ac:dyDescent="0.3">
      <c r="A93" s="281">
        <v>87</v>
      </c>
      <c r="B93" s="281" t="s">
        <v>11</v>
      </c>
      <c r="C93" s="281"/>
      <c r="D93" s="281"/>
      <c r="E93" s="281" t="s">
        <v>16</v>
      </c>
      <c r="F93" s="281">
        <v>200100110</v>
      </c>
      <c r="G93" s="281">
        <v>3101010110</v>
      </c>
      <c r="H93" s="281" t="s">
        <v>107</v>
      </c>
      <c r="I93" s="281" t="s">
        <v>41</v>
      </c>
      <c r="J93" s="285">
        <v>0</v>
      </c>
      <c r="K93" s="285">
        <v>16663.57</v>
      </c>
    </row>
    <row r="94" spans="1:11" ht="75" customHeight="1" x14ac:dyDescent="0.3">
      <c r="A94" s="281">
        <v>88</v>
      </c>
      <c r="B94" s="281" t="s">
        <v>11</v>
      </c>
      <c r="C94" s="281"/>
      <c r="D94" s="281"/>
      <c r="E94" s="281" t="s">
        <v>16</v>
      </c>
      <c r="F94" s="281">
        <v>200100111</v>
      </c>
      <c r="G94" s="281">
        <v>3101010111</v>
      </c>
      <c r="H94" s="281" t="s">
        <v>108</v>
      </c>
      <c r="I94" s="281" t="s">
        <v>37</v>
      </c>
      <c r="J94" s="285">
        <v>13000</v>
      </c>
      <c r="K94" s="285">
        <v>8032.7349999999997</v>
      </c>
    </row>
    <row r="95" spans="1:11" ht="60" customHeight="1" x14ac:dyDescent="0.3">
      <c r="A95" s="281">
        <v>89</v>
      </c>
      <c r="B95" s="281" t="s">
        <v>11</v>
      </c>
      <c r="C95" s="281"/>
      <c r="D95" s="281"/>
      <c r="E95" s="281" t="s">
        <v>16</v>
      </c>
      <c r="F95" s="281">
        <v>200100112</v>
      </c>
      <c r="G95" s="281">
        <v>3101010112</v>
      </c>
      <c r="H95" s="281" t="s">
        <v>109</v>
      </c>
      <c r="I95" s="281" t="s">
        <v>37</v>
      </c>
      <c r="J95" s="285">
        <v>26100</v>
      </c>
      <c r="K95" s="285">
        <v>12627.1865</v>
      </c>
    </row>
    <row r="96" spans="1:11" ht="60" customHeight="1" x14ac:dyDescent="0.3">
      <c r="A96" s="281">
        <v>90</v>
      </c>
      <c r="B96" s="281" t="s">
        <v>11</v>
      </c>
      <c r="C96" s="281"/>
      <c r="D96" s="281"/>
      <c r="E96" s="281" t="s">
        <v>16</v>
      </c>
      <c r="F96" s="281">
        <v>200100113</v>
      </c>
      <c r="G96" s="281">
        <v>3101010113</v>
      </c>
      <c r="H96" s="281" t="s">
        <v>110</v>
      </c>
      <c r="I96" s="281" t="s">
        <v>41</v>
      </c>
      <c r="J96" s="285">
        <v>0</v>
      </c>
      <c r="K96" s="285">
        <v>0</v>
      </c>
    </row>
    <row r="97" spans="1:11" ht="60" customHeight="1" x14ac:dyDescent="0.3">
      <c r="A97" s="281">
        <v>91</v>
      </c>
      <c r="B97" s="281" t="s">
        <v>11</v>
      </c>
      <c r="C97" s="281"/>
      <c r="D97" s="281"/>
      <c r="E97" s="281" t="s">
        <v>16</v>
      </c>
      <c r="F97" s="281">
        <v>200100114</v>
      </c>
      <c r="G97" s="281">
        <v>3101010114</v>
      </c>
      <c r="H97" s="281" t="s">
        <v>111</v>
      </c>
      <c r="I97" s="281" t="s">
        <v>41</v>
      </c>
      <c r="J97" s="285">
        <v>0</v>
      </c>
      <c r="K97" s="285">
        <v>0</v>
      </c>
    </row>
    <row r="98" spans="1:11" ht="60" customHeight="1" x14ac:dyDescent="0.3">
      <c r="A98" s="281">
        <v>92</v>
      </c>
      <c r="B98" s="281" t="s">
        <v>11</v>
      </c>
      <c r="C98" s="281"/>
      <c r="D98" s="281"/>
      <c r="E98" s="281" t="s">
        <v>16</v>
      </c>
      <c r="F98" s="281">
        <v>200100115</v>
      </c>
      <c r="G98" s="281">
        <v>3101010115</v>
      </c>
      <c r="H98" s="281" t="s">
        <v>112</v>
      </c>
      <c r="I98" s="281" t="s">
        <v>41</v>
      </c>
      <c r="J98" s="285">
        <v>0</v>
      </c>
      <c r="K98" s="285">
        <v>43</v>
      </c>
    </row>
    <row r="99" spans="1:11" ht="30" customHeight="1" x14ac:dyDescent="0.3">
      <c r="A99" s="281">
        <v>93</v>
      </c>
      <c r="B99" s="281" t="s">
        <v>11</v>
      </c>
      <c r="C99" s="281"/>
      <c r="D99" s="281"/>
      <c r="E99" s="281" t="s">
        <v>16</v>
      </c>
      <c r="F99" s="281">
        <v>200100116</v>
      </c>
      <c r="G99" s="281">
        <v>3101010117</v>
      </c>
      <c r="H99" s="281" t="s">
        <v>113</v>
      </c>
      <c r="I99" s="281" t="s">
        <v>41</v>
      </c>
      <c r="J99" s="285">
        <v>10</v>
      </c>
      <c r="K99" s="285">
        <v>25</v>
      </c>
    </row>
    <row r="100" spans="1:11" ht="60" customHeight="1" x14ac:dyDescent="0.3">
      <c r="A100" s="281">
        <v>94</v>
      </c>
      <c r="B100" s="281" t="s">
        <v>11</v>
      </c>
      <c r="C100" s="281"/>
      <c r="D100" s="281"/>
      <c r="E100" s="281" t="s">
        <v>16</v>
      </c>
      <c r="F100" s="281">
        <v>200100118</v>
      </c>
      <c r="G100" s="281">
        <v>3101010118</v>
      </c>
      <c r="H100" s="281" t="s">
        <v>114</v>
      </c>
      <c r="I100" s="281" t="s">
        <v>14</v>
      </c>
      <c r="J100" s="285">
        <v>15900.29</v>
      </c>
      <c r="K100" s="285"/>
    </row>
    <row r="101" spans="1:11" ht="75" customHeight="1" x14ac:dyDescent="0.3">
      <c r="A101" s="281">
        <v>95</v>
      </c>
      <c r="B101" s="281" t="s">
        <v>11</v>
      </c>
      <c r="C101" s="281"/>
      <c r="D101" s="281"/>
      <c r="E101" s="281" t="s">
        <v>16</v>
      </c>
      <c r="F101" s="281">
        <v>200100119</v>
      </c>
      <c r="G101" s="281">
        <v>3101010119</v>
      </c>
      <c r="H101" s="281" t="s">
        <v>115</v>
      </c>
      <c r="I101" s="281" t="s">
        <v>41</v>
      </c>
      <c r="J101" s="285">
        <v>785</v>
      </c>
      <c r="K101" s="285">
        <v>0</v>
      </c>
    </row>
    <row r="102" spans="1:11" ht="30" customHeight="1" x14ac:dyDescent="0.3">
      <c r="A102" s="281">
        <v>96</v>
      </c>
      <c r="B102" s="281" t="s">
        <v>11</v>
      </c>
      <c r="C102" s="281"/>
      <c r="D102" s="281"/>
      <c r="E102" s="281" t="s">
        <v>16</v>
      </c>
      <c r="F102" s="281">
        <v>200100120</v>
      </c>
      <c r="G102" s="281">
        <v>3101010120</v>
      </c>
      <c r="H102" s="281" t="s">
        <v>116</v>
      </c>
      <c r="I102" s="281" t="s">
        <v>41</v>
      </c>
      <c r="J102" s="285">
        <v>742</v>
      </c>
      <c r="K102" s="285">
        <v>742</v>
      </c>
    </row>
    <row r="103" spans="1:11" ht="45" customHeight="1" x14ac:dyDescent="0.3">
      <c r="A103" s="281">
        <v>97</v>
      </c>
      <c r="B103" s="281" t="s">
        <v>11</v>
      </c>
      <c r="C103" s="281"/>
      <c r="D103" s="281"/>
      <c r="E103" s="281" t="s">
        <v>16</v>
      </c>
      <c r="F103" s="281">
        <v>200100121</v>
      </c>
      <c r="G103" s="281">
        <v>3101010121</v>
      </c>
      <c r="H103" s="281" t="s">
        <v>117</v>
      </c>
      <c r="I103" s="281" t="s">
        <v>41</v>
      </c>
      <c r="J103" s="285">
        <v>1100</v>
      </c>
      <c r="K103" s="285">
        <v>343</v>
      </c>
    </row>
    <row r="104" spans="1:11" ht="30" customHeight="1" x14ac:dyDescent="0.3">
      <c r="A104" s="281">
        <v>98</v>
      </c>
      <c r="B104" s="281" t="s">
        <v>11</v>
      </c>
      <c r="C104" s="281"/>
      <c r="D104" s="281"/>
      <c r="E104" s="281" t="s">
        <v>16</v>
      </c>
      <c r="F104" s="281">
        <v>200100122</v>
      </c>
      <c r="G104" s="281">
        <v>3101010122</v>
      </c>
      <c r="H104" s="281" t="s">
        <v>118</v>
      </c>
      <c r="I104" s="281" t="s">
        <v>41</v>
      </c>
      <c r="J104" s="285">
        <v>700</v>
      </c>
      <c r="K104" s="285">
        <v>687</v>
      </c>
    </row>
    <row r="105" spans="1:11" ht="45" customHeight="1" x14ac:dyDescent="0.3">
      <c r="A105" s="281">
        <v>99</v>
      </c>
      <c r="B105" s="281" t="s">
        <v>11</v>
      </c>
      <c r="C105" s="281"/>
      <c r="D105" s="281"/>
      <c r="E105" s="281" t="s">
        <v>16</v>
      </c>
      <c r="F105" s="281">
        <v>200100123</v>
      </c>
      <c r="G105" s="281">
        <v>3101010123</v>
      </c>
      <c r="H105" s="281" t="s">
        <v>119</v>
      </c>
      <c r="I105" s="281" t="s">
        <v>41</v>
      </c>
      <c r="J105" s="285">
        <v>638</v>
      </c>
      <c r="K105" s="285">
        <v>198</v>
      </c>
    </row>
    <row r="106" spans="1:11" ht="60" customHeight="1" x14ac:dyDescent="0.3">
      <c r="A106" s="281">
        <v>100</v>
      </c>
      <c r="B106" s="281" t="s">
        <v>11</v>
      </c>
      <c r="C106" s="281"/>
      <c r="D106" s="281"/>
      <c r="E106" s="281" t="s">
        <v>16</v>
      </c>
      <c r="F106" s="281">
        <v>200100124</v>
      </c>
      <c r="G106" s="281">
        <v>3101010124</v>
      </c>
      <c r="H106" s="281" t="s">
        <v>120</v>
      </c>
      <c r="I106" s="281" t="s">
        <v>41</v>
      </c>
      <c r="J106" s="285">
        <v>184</v>
      </c>
      <c r="K106" s="285">
        <v>192</v>
      </c>
    </row>
    <row r="107" spans="1:11" ht="60" customHeight="1" x14ac:dyDescent="0.3">
      <c r="A107" s="281">
        <v>101</v>
      </c>
      <c r="B107" s="281" t="s">
        <v>11</v>
      </c>
      <c r="C107" s="281"/>
      <c r="D107" s="281"/>
      <c r="E107" s="281" t="s">
        <v>16</v>
      </c>
      <c r="F107" s="281">
        <v>200100125</v>
      </c>
      <c r="G107" s="281">
        <v>3101010125</v>
      </c>
      <c r="H107" s="281" t="s">
        <v>121</v>
      </c>
      <c r="I107" s="281" t="s">
        <v>41</v>
      </c>
      <c r="J107" s="285">
        <v>0</v>
      </c>
      <c r="K107" s="285">
        <v>585</v>
      </c>
    </row>
    <row r="108" spans="1:11" ht="45" customHeight="1" x14ac:dyDescent="0.3">
      <c r="A108" s="281">
        <v>102</v>
      </c>
      <c r="B108" s="281" t="s">
        <v>11</v>
      </c>
      <c r="C108" s="281"/>
      <c r="D108" s="281"/>
      <c r="E108" s="281" t="s">
        <v>16</v>
      </c>
      <c r="F108" s="281">
        <v>200100126</v>
      </c>
      <c r="G108" s="281">
        <v>3101010126</v>
      </c>
      <c r="H108" s="281" t="s">
        <v>122</v>
      </c>
      <c r="I108" s="281" t="s">
        <v>41</v>
      </c>
      <c r="J108" s="285">
        <v>0</v>
      </c>
      <c r="K108" s="285">
        <v>1164</v>
      </c>
    </row>
    <row r="109" spans="1:11" ht="45" customHeight="1" x14ac:dyDescent="0.3">
      <c r="A109" s="281">
        <v>103</v>
      </c>
      <c r="B109" s="281" t="s">
        <v>11</v>
      </c>
      <c r="C109" s="281"/>
      <c r="D109" s="281"/>
      <c r="E109" s="281" t="s">
        <v>16</v>
      </c>
      <c r="F109" s="281">
        <v>200100127</v>
      </c>
      <c r="G109" s="281">
        <v>3101010127</v>
      </c>
      <c r="H109" s="281" t="s">
        <v>123</v>
      </c>
      <c r="I109" s="281" t="s">
        <v>41</v>
      </c>
      <c r="J109" s="285">
        <v>360</v>
      </c>
      <c r="K109" s="285">
        <v>191</v>
      </c>
    </row>
    <row r="110" spans="1:11" ht="60" customHeight="1" x14ac:dyDescent="0.3">
      <c r="A110" s="281">
        <v>104</v>
      </c>
      <c r="B110" s="281" t="s">
        <v>11</v>
      </c>
      <c r="C110" s="281"/>
      <c r="D110" s="281"/>
      <c r="E110" s="281" t="s">
        <v>16</v>
      </c>
      <c r="F110" s="281">
        <v>200100128</v>
      </c>
      <c r="G110" s="281">
        <v>3101010128</v>
      </c>
      <c r="H110" s="281" t="s">
        <v>124</v>
      </c>
      <c r="I110" s="281" t="s">
        <v>41</v>
      </c>
      <c r="J110" s="285">
        <v>200</v>
      </c>
      <c r="K110" s="285"/>
    </row>
    <row r="111" spans="1:11" ht="60" customHeight="1" x14ac:dyDescent="0.3">
      <c r="A111" s="281">
        <v>105</v>
      </c>
      <c r="B111" s="281" t="s">
        <v>11</v>
      </c>
      <c r="C111" s="281"/>
      <c r="D111" s="281"/>
      <c r="E111" s="281" t="s">
        <v>16</v>
      </c>
      <c r="F111" s="281">
        <v>200100129</v>
      </c>
      <c r="G111" s="281">
        <v>3101010129</v>
      </c>
      <c r="H111" s="281" t="s">
        <v>125</v>
      </c>
      <c r="I111" s="281" t="s">
        <v>126</v>
      </c>
      <c r="J111" s="285">
        <v>0</v>
      </c>
      <c r="K111" s="285">
        <v>2181</v>
      </c>
    </row>
    <row r="112" spans="1:11" ht="60" customHeight="1" x14ac:dyDescent="0.3">
      <c r="A112" s="281">
        <v>106</v>
      </c>
      <c r="B112" s="281" t="s">
        <v>11</v>
      </c>
      <c r="C112" s="281"/>
      <c r="D112" s="281"/>
      <c r="E112" s="281" t="s">
        <v>16</v>
      </c>
      <c r="F112" s="281">
        <v>200100130</v>
      </c>
      <c r="G112" s="281">
        <v>3101010130</v>
      </c>
      <c r="H112" s="281" t="s">
        <v>127</v>
      </c>
      <c r="I112" s="281" t="s">
        <v>14</v>
      </c>
      <c r="J112" s="285">
        <v>10.000999999999999</v>
      </c>
      <c r="K112" s="285">
        <v>10.151</v>
      </c>
    </row>
    <row r="113" spans="1:11" ht="45" customHeight="1" x14ac:dyDescent="0.3">
      <c r="A113" s="281">
        <v>107</v>
      </c>
      <c r="B113" s="281" t="s">
        <v>11</v>
      </c>
      <c r="C113" s="281"/>
      <c r="D113" s="281"/>
      <c r="E113" s="281" t="s">
        <v>16</v>
      </c>
      <c r="F113" s="281">
        <v>200100131</v>
      </c>
      <c r="G113" s="281">
        <v>3101010131</v>
      </c>
      <c r="H113" s="281" t="s">
        <v>128</v>
      </c>
      <c r="I113" s="281" t="s">
        <v>14</v>
      </c>
      <c r="J113" s="285">
        <v>0</v>
      </c>
      <c r="K113" s="285">
        <v>0</v>
      </c>
    </row>
    <row r="114" spans="1:11" ht="75" customHeight="1" x14ac:dyDescent="0.3">
      <c r="A114" s="281">
        <v>108</v>
      </c>
      <c r="B114" s="281" t="s">
        <v>11</v>
      </c>
      <c r="C114" s="281"/>
      <c r="D114" s="281"/>
      <c r="E114" s="281" t="s">
        <v>16</v>
      </c>
      <c r="F114" s="281">
        <v>200100132</v>
      </c>
      <c r="G114" s="281">
        <v>3101010132</v>
      </c>
      <c r="H114" s="281" t="s">
        <v>129</v>
      </c>
      <c r="I114" s="281" t="s">
        <v>14</v>
      </c>
      <c r="J114" s="285">
        <v>2E-3</v>
      </c>
      <c r="K114" s="285">
        <v>0.16994000000000001</v>
      </c>
    </row>
    <row r="115" spans="1:11" ht="90" customHeight="1" x14ac:dyDescent="0.3">
      <c r="A115" s="281">
        <v>109</v>
      </c>
      <c r="B115" s="281" t="s">
        <v>11</v>
      </c>
      <c r="C115" s="281"/>
      <c r="D115" s="281"/>
      <c r="E115" s="281" t="s">
        <v>16</v>
      </c>
      <c r="F115" s="281">
        <v>200100133</v>
      </c>
      <c r="G115" s="281">
        <v>3101010133</v>
      </c>
      <c r="H115" s="281" t="s">
        <v>130</v>
      </c>
      <c r="I115" s="281" t="s">
        <v>14</v>
      </c>
      <c r="J115" s="285">
        <v>42.63</v>
      </c>
      <c r="K115" s="285"/>
    </row>
    <row r="116" spans="1:11" ht="45" customHeight="1" x14ac:dyDescent="0.3">
      <c r="A116" s="281">
        <v>110</v>
      </c>
      <c r="B116" s="281" t="s">
        <v>11</v>
      </c>
      <c r="C116" s="281"/>
      <c r="D116" s="281"/>
      <c r="E116" s="281" t="s">
        <v>16</v>
      </c>
      <c r="F116" s="281">
        <v>200100134</v>
      </c>
      <c r="G116" s="281">
        <v>3101010134</v>
      </c>
      <c r="H116" s="281" t="s">
        <v>131</v>
      </c>
      <c r="I116" s="281" t="s">
        <v>14</v>
      </c>
      <c r="J116" s="285">
        <v>21810</v>
      </c>
      <c r="K116" s="285"/>
    </row>
    <row r="117" spans="1:11" ht="60" customHeight="1" x14ac:dyDescent="0.3">
      <c r="A117" s="281">
        <v>111</v>
      </c>
      <c r="B117" s="281" t="s">
        <v>11</v>
      </c>
      <c r="C117" s="281"/>
      <c r="D117" s="281"/>
      <c r="E117" s="281" t="s">
        <v>16</v>
      </c>
      <c r="F117" s="281">
        <v>200100135</v>
      </c>
      <c r="G117" s="281">
        <v>3101010135</v>
      </c>
      <c r="H117" s="281" t="s">
        <v>132</v>
      </c>
      <c r="I117" s="281" t="s">
        <v>41</v>
      </c>
      <c r="J117" s="285">
        <v>43200</v>
      </c>
      <c r="K117" s="285">
        <v>9916</v>
      </c>
    </row>
    <row r="118" spans="1:11" ht="60" customHeight="1" x14ac:dyDescent="0.3">
      <c r="A118" s="281">
        <v>112</v>
      </c>
      <c r="B118" s="281" t="s">
        <v>11</v>
      </c>
      <c r="C118" s="281"/>
      <c r="D118" s="281"/>
      <c r="E118" s="281" t="s">
        <v>16</v>
      </c>
      <c r="F118" s="281">
        <v>200100136</v>
      </c>
      <c r="G118" s="281">
        <v>3101010136</v>
      </c>
      <c r="H118" s="281" t="s">
        <v>133</v>
      </c>
      <c r="I118" s="281" t="s">
        <v>41</v>
      </c>
      <c r="J118" s="285">
        <v>44100</v>
      </c>
      <c r="K118" s="285">
        <v>9797</v>
      </c>
    </row>
    <row r="119" spans="1:11" ht="60" customHeight="1" x14ac:dyDescent="0.3">
      <c r="A119" s="281">
        <v>113</v>
      </c>
      <c r="B119" s="281" t="s">
        <v>11</v>
      </c>
      <c r="C119" s="281"/>
      <c r="D119" s="281"/>
      <c r="E119" s="281" t="s">
        <v>16</v>
      </c>
      <c r="F119" s="281">
        <v>200100137</v>
      </c>
      <c r="G119" s="281">
        <v>3101010137</v>
      </c>
      <c r="H119" s="281" t="s">
        <v>134</v>
      </c>
      <c r="I119" s="281" t="s">
        <v>41</v>
      </c>
      <c r="J119" s="285">
        <v>0</v>
      </c>
      <c r="K119" s="285">
        <v>96409</v>
      </c>
    </row>
    <row r="120" spans="1:11" ht="60" customHeight="1" x14ac:dyDescent="0.3">
      <c r="A120" s="281">
        <v>114</v>
      </c>
      <c r="B120" s="281" t="s">
        <v>11</v>
      </c>
      <c r="C120" s="281"/>
      <c r="D120" s="281"/>
      <c r="E120" s="281" t="s">
        <v>16</v>
      </c>
      <c r="F120" s="281">
        <v>200100138</v>
      </c>
      <c r="G120" s="281">
        <v>3101010138</v>
      </c>
      <c r="H120" s="281" t="s">
        <v>135</v>
      </c>
      <c r="I120" s="281" t="s">
        <v>41</v>
      </c>
      <c r="J120" s="285">
        <v>231858</v>
      </c>
      <c r="K120" s="285">
        <v>58028</v>
      </c>
    </row>
    <row r="121" spans="1:11" ht="60" customHeight="1" x14ac:dyDescent="0.3">
      <c r="A121" s="281">
        <v>115</v>
      </c>
      <c r="B121" s="281" t="s">
        <v>11</v>
      </c>
      <c r="C121" s="281"/>
      <c r="D121" s="281"/>
      <c r="E121" s="281" t="s">
        <v>16</v>
      </c>
      <c r="F121" s="281">
        <v>200100139</v>
      </c>
      <c r="G121" s="281">
        <v>3101010139</v>
      </c>
      <c r="H121" s="281" t="s">
        <v>136</v>
      </c>
      <c r="I121" s="281" t="s">
        <v>41</v>
      </c>
      <c r="J121" s="285">
        <v>77752</v>
      </c>
      <c r="K121" s="285">
        <v>176</v>
      </c>
    </row>
    <row r="122" spans="1:11" ht="60" customHeight="1" x14ac:dyDescent="0.3">
      <c r="A122" s="281">
        <v>116</v>
      </c>
      <c r="B122" s="281" t="s">
        <v>11</v>
      </c>
      <c r="C122" s="281"/>
      <c r="D122" s="281"/>
      <c r="E122" s="281" t="s">
        <v>16</v>
      </c>
      <c r="F122" s="281">
        <v>200100140</v>
      </c>
      <c r="G122" s="281">
        <v>3101010140</v>
      </c>
      <c r="H122" s="281" t="s">
        <v>137</v>
      </c>
      <c r="I122" s="281" t="s">
        <v>41</v>
      </c>
      <c r="J122" s="285">
        <v>0</v>
      </c>
      <c r="K122" s="285">
        <v>0</v>
      </c>
    </row>
    <row r="123" spans="1:11" ht="60" customHeight="1" x14ac:dyDescent="0.3">
      <c r="A123" s="281">
        <v>117</v>
      </c>
      <c r="B123" s="281" t="s">
        <v>11</v>
      </c>
      <c r="C123" s="281"/>
      <c r="D123" s="281"/>
      <c r="E123" s="281" t="s">
        <v>16</v>
      </c>
      <c r="F123" s="281">
        <v>200100141</v>
      </c>
      <c r="G123" s="281">
        <v>3101010141</v>
      </c>
      <c r="H123" s="281" t="s">
        <v>138</v>
      </c>
      <c r="I123" s="281" t="s">
        <v>41</v>
      </c>
      <c r="J123" s="285">
        <v>0</v>
      </c>
      <c r="K123" s="285">
        <v>0</v>
      </c>
    </row>
    <row r="124" spans="1:11" ht="45" customHeight="1" x14ac:dyDescent="0.3">
      <c r="A124" s="281">
        <v>118</v>
      </c>
      <c r="B124" s="281" t="s">
        <v>11</v>
      </c>
      <c r="C124" s="281"/>
      <c r="D124" s="281"/>
      <c r="E124" s="281" t="s">
        <v>139</v>
      </c>
      <c r="F124" s="281">
        <v>200200001</v>
      </c>
      <c r="G124" s="281">
        <v>3102010001</v>
      </c>
      <c r="H124" s="281" t="s">
        <v>140</v>
      </c>
      <c r="I124" s="281" t="s">
        <v>41</v>
      </c>
      <c r="J124" s="285">
        <v>0</v>
      </c>
      <c r="K124" s="285">
        <v>2</v>
      </c>
    </row>
    <row r="125" spans="1:11" ht="60" customHeight="1" x14ac:dyDescent="0.3">
      <c r="A125" s="281">
        <v>119</v>
      </c>
      <c r="B125" s="281" t="s">
        <v>11</v>
      </c>
      <c r="C125" s="281"/>
      <c r="D125" s="281"/>
      <c r="E125" s="281" t="s">
        <v>139</v>
      </c>
      <c r="F125" s="281">
        <v>200200002</v>
      </c>
      <c r="G125" s="281">
        <v>3102010002</v>
      </c>
      <c r="H125" s="281" t="s">
        <v>141</v>
      </c>
      <c r="I125" s="281" t="s">
        <v>41</v>
      </c>
      <c r="J125" s="285">
        <v>1131</v>
      </c>
      <c r="K125" s="285">
        <v>506</v>
      </c>
    </row>
    <row r="126" spans="1:11" ht="60" customHeight="1" x14ac:dyDescent="0.3">
      <c r="A126" s="281">
        <v>120</v>
      </c>
      <c r="B126" s="281" t="s">
        <v>11</v>
      </c>
      <c r="C126" s="281"/>
      <c r="D126" s="281"/>
      <c r="E126" s="281" t="s">
        <v>139</v>
      </c>
      <c r="F126" s="281">
        <v>200200003</v>
      </c>
      <c r="G126" s="281">
        <v>3102010003</v>
      </c>
      <c r="H126" s="281" t="s">
        <v>142</v>
      </c>
      <c r="I126" s="281" t="s">
        <v>41</v>
      </c>
      <c r="J126" s="285">
        <v>336</v>
      </c>
      <c r="K126" s="285">
        <v>3213</v>
      </c>
    </row>
    <row r="127" spans="1:11" ht="60" customHeight="1" x14ac:dyDescent="0.3">
      <c r="A127" s="281">
        <v>121</v>
      </c>
      <c r="B127" s="281" t="s">
        <v>11</v>
      </c>
      <c r="C127" s="281"/>
      <c r="D127" s="281"/>
      <c r="E127" s="281" t="s">
        <v>139</v>
      </c>
      <c r="F127" s="281">
        <v>200200004</v>
      </c>
      <c r="G127" s="281">
        <v>3102010004</v>
      </c>
      <c r="H127" s="281" t="s">
        <v>143</v>
      </c>
      <c r="I127" s="281" t="s">
        <v>41</v>
      </c>
      <c r="J127" s="285">
        <v>2690</v>
      </c>
      <c r="K127" s="285">
        <v>985</v>
      </c>
    </row>
    <row r="128" spans="1:11" ht="60" customHeight="1" x14ac:dyDescent="0.3">
      <c r="A128" s="281">
        <v>122</v>
      </c>
      <c r="B128" s="281" t="s">
        <v>11</v>
      </c>
      <c r="C128" s="281"/>
      <c r="D128" s="281"/>
      <c r="E128" s="281" t="s">
        <v>139</v>
      </c>
      <c r="F128" s="281">
        <v>200200005</v>
      </c>
      <c r="G128" s="281">
        <v>3102010005</v>
      </c>
      <c r="H128" s="281" t="s">
        <v>144</v>
      </c>
      <c r="I128" s="281" t="s">
        <v>41</v>
      </c>
      <c r="J128" s="285">
        <v>2595</v>
      </c>
      <c r="K128" s="285">
        <v>1528</v>
      </c>
    </row>
    <row r="129" spans="1:11" ht="90" customHeight="1" x14ac:dyDescent="0.3">
      <c r="A129" s="281">
        <v>123</v>
      </c>
      <c r="B129" s="281" t="s">
        <v>11</v>
      </c>
      <c r="C129" s="281"/>
      <c r="D129" s="281"/>
      <c r="E129" s="281" t="s">
        <v>139</v>
      </c>
      <c r="F129" s="281">
        <v>200200006</v>
      </c>
      <c r="G129" s="281">
        <v>3102010006</v>
      </c>
      <c r="H129" s="281" t="s">
        <v>145</v>
      </c>
      <c r="I129" s="281" t="s">
        <v>41</v>
      </c>
      <c r="J129" s="285">
        <v>0</v>
      </c>
      <c r="K129" s="285">
        <v>3320</v>
      </c>
    </row>
    <row r="130" spans="1:11" ht="60" customHeight="1" x14ac:dyDescent="0.3">
      <c r="A130" s="281">
        <v>124</v>
      </c>
      <c r="B130" s="281" t="s">
        <v>11</v>
      </c>
      <c r="C130" s="281"/>
      <c r="D130" s="281"/>
      <c r="E130" s="281" t="s">
        <v>139</v>
      </c>
      <c r="F130" s="281">
        <v>200200007</v>
      </c>
      <c r="G130" s="281">
        <v>3102010007</v>
      </c>
      <c r="H130" s="281" t="s">
        <v>146</v>
      </c>
      <c r="I130" s="281" t="s">
        <v>41</v>
      </c>
      <c r="J130" s="285">
        <v>4572</v>
      </c>
      <c r="K130" s="285">
        <v>1646</v>
      </c>
    </row>
    <row r="131" spans="1:11" ht="45" customHeight="1" x14ac:dyDescent="0.3">
      <c r="A131" s="281">
        <v>125</v>
      </c>
      <c r="B131" s="281" t="s">
        <v>11</v>
      </c>
      <c r="C131" s="281"/>
      <c r="D131" s="281"/>
      <c r="E131" s="281" t="s">
        <v>139</v>
      </c>
      <c r="F131" s="281">
        <v>200200008</v>
      </c>
      <c r="G131" s="281">
        <v>3102010008</v>
      </c>
      <c r="H131" s="281" t="s">
        <v>147</v>
      </c>
      <c r="I131" s="281" t="s">
        <v>41</v>
      </c>
      <c r="J131" s="285">
        <v>6434</v>
      </c>
      <c r="K131" s="285">
        <v>532</v>
      </c>
    </row>
    <row r="132" spans="1:11" ht="45" customHeight="1" x14ac:dyDescent="0.3">
      <c r="A132" s="281">
        <v>126</v>
      </c>
      <c r="B132" s="281" t="s">
        <v>11</v>
      </c>
      <c r="C132" s="281"/>
      <c r="D132" s="281"/>
      <c r="E132" s="281" t="s">
        <v>139</v>
      </c>
      <c r="F132" s="281">
        <v>200200009</v>
      </c>
      <c r="G132" s="281">
        <v>3102010009</v>
      </c>
      <c r="H132" s="281" t="s">
        <v>148</v>
      </c>
      <c r="I132" s="281" t="s">
        <v>41</v>
      </c>
      <c r="J132" s="285">
        <v>0</v>
      </c>
      <c r="K132" s="285">
        <v>18417</v>
      </c>
    </row>
    <row r="133" spans="1:11" ht="60" customHeight="1" x14ac:dyDescent="0.3">
      <c r="A133" s="281">
        <v>127</v>
      </c>
      <c r="B133" s="281" t="s">
        <v>11</v>
      </c>
      <c r="C133" s="281"/>
      <c r="D133" s="281"/>
      <c r="E133" s="281" t="s">
        <v>139</v>
      </c>
      <c r="F133" s="281">
        <v>200200044</v>
      </c>
      <c r="G133" s="281">
        <v>3102010010</v>
      </c>
      <c r="H133" s="281" t="s">
        <v>149</v>
      </c>
      <c r="I133" s="281" t="s">
        <v>14</v>
      </c>
      <c r="J133" s="285">
        <v>3.5999999999999999E-3</v>
      </c>
      <c r="K133" s="285">
        <v>1.1999999999999999E-3</v>
      </c>
    </row>
    <row r="134" spans="1:11" ht="60" customHeight="1" x14ac:dyDescent="0.3">
      <c r="A134" s="281">
        <v>128</v>
      </c>
      <c r="B134" s="281" t="s">
        <v>11</v>
      </c>
      <c r="C134" s="281"/>
      <c r="D134" s="281"/>
      <c r="E134" s="281" t="s">
        <v>139</v>
      </c>
      <c r="F134" s="281">
        <v>200200011</v>
      </c>
      <c r="G134" s="281">
        <v>3102010011</v>
      </c>
      <c r="H134" s="281" t="s">
        <v>150</v>
      </c>
      <c r="I134" s="281" t="s">
        <v>41</v>
      </c>
      <c r="J134" s="285">
        <v>3500</v>
      </c>
      <c r="K134" s="285">
        <v>7365</v>
      </c>
    </row>
    <row r="135" spans="1:11" ht="45" customHeight="1" x14ac:dyDescent="0.3">
      <c r="A135" s="281">
        <v>129</v>
      </c>
      <c r="B135" s="281" t="s">
        <v>11</v>
      </c>
      <c r="C135" s="281"/>
      <c r="D135" s="281"/>
      <c r="E135" s="281" t="s">
        <v>139</v>
      </c>
      <c r="F135" s="281">
        <v>200200012</v>
      </c>
      <c r="G135" s="281">
        <v>3102010012</v>
      </c>
      <c r="H135" s="281" t="s">
        <v>151</v>
      </c>
      <c r="I135" s="281" t="s">
        <v>37</v>
      </c>
      <c r="J135" s="285">
        <v>5000</v>
      </c>
      <c r="K135" s="285">
        <v>774.54</v>
      </c>
    </row>
    <row r="136" spans="1:11" ht="60" customHeight="1" x14ac:dyDescent="0.3">
      <c r="A136" s="281">
        <v>130</v>
      </c>
      <c r="B136" s="281" t="s">
        <v>11</v>
      </c>
      <c r="C136" s="281"/>
      <c r="D136" s="281"/>
      <c r="E136" s="281" t="s">
        <v>139</v>
      </c>
      <c r="F136" s="281">
        <v>200200013</v>
      </c>
      <c r="G136" s="281">
        <v>3102010013</v>
      </c>
      <c r="H136" s="281" t="s">
        <v>152</v>
      </c>
      <c r="I136" s="281" t="s">
        <v>14</v>
      </c>
      <c r="J136" s="285">
        <v>4.0000000000000001E-3</v>
      </c>
      <c r="K136" s="285">
        <v>28.452999999999999</v>
      </c>
    </row>
    <row r="137" spans="1:11" ht="60" customHeight="1" x14ac:dyDescent="0.3">
      <c r="A137" s="281">
        <v>131</v>
      </c>
      <c r="B137" s="281" t="s">
        <v>11</v>
      </c>
      <c r="C137" s="281"/>
      <c r="D137" s="281"/>
      <c r="E137" s="281" t="s">
        <v>139</v>
      </c>
      <c r="F137" s="281">
        <v>200200014</v>
      </c>
      <c r="G137" s="281">
        <v>3102010014</v>
      </c>
      <c r="H137" s="281" t="s">
        <v>153</v>
      </c>
      <c r="I137" s="281" t="s">
        <v>41</v>
      </c>
      <c r="J137" s="285">
        <v>0</v>
      </c>
      <c r="K137" s="285">
        <v>0</v>
      </c>
    </row>
    <row r="138" spans="1:11" ht="75" customHeight="1" x14ac:dyDescent="0.3">
      <c r="A138" s="281">
        <v>132</v>
      </c>
      <c r="B138" s="281" t="s">
        <v>11</v>
      </c>
      <c r="C138" s="281"/>
      <c r="D138" s="281"/>
      <c r="E138" s="281" t="s">
        <v>139</v>
      </c>
      <c r="F138" s="281">
        <v>200200016</v>
      </c>
      <c r="G138" s="281">
        <v>3102010016</v>
      </c>
      <c r="H138" s="281" t="s">
        <v>154</v>
      </c>
      <c r="I138" s="281" t="s">
        <v>41</v>
      </c>
      <c r="J138" s="285">
        <v>0</v>
      </c>
      <c r="K138" s="285">
        <v>0</v>
      </c>
    </row>
    <row r="139" spans="1:11" ht="60" customHeight="1" x14ac:dyDescent="0.3">
      <c r="A139" s="281">
        <v>133</v>
      </c>
      <c r="B139" s="281" t="s">
        <v>11</v>
      </c>
      <c r="C139" s="281"/>
      <c r="D139" s="281"/>
      <c r="E139" s="281" t="s">
        <v>139</v>
      </c>
      <c r="F139" s="281">
        <v>200200017</v>
      </c>
      <c r="G139" s="281">
        <v>3102010017</v>
      </c>
      <c r="H139" s="281" t="s">
        <v>155</v>
      </c>
      <c r="I139" s="281" t="s">
        <v>41</v>
      </c>
      <c r="J139" s="285">
        <v>0</v>
      </c>
      <c r="K139" s="285">
        <v>21</v>
      </c>
    </row>
    <row r="140" spans="1:11" ht="75" customHeight="1" x14ac:dyDescent="0.3">
      <c r="A140" s="281">
        <v>134</v>
      </c>
      <c r="B140" s="281" t="s">
        <v>11</v>
      </c>
      <c r="C140" s="281"/>
      <c r="D140" s="281"/>
      <c r="E140" s="281" t="s">
        <v>139</v>
      </c>
      <c r="F140" s="281">
        <v>200200045</v>
      </c>
      <c r="G140" s="281">
        <v>3102010019</v>
      </c>
      <c r="H140" s="281" t="s">
        <v>156</v>
      </c>
      <c r="I140" s="281" t="s">
        <v>41</v>
      </c>
      <c r="J140" s="285">
        <v>16000</v>
      </c>
      <c r="K140" s="285">
        <v>1187</v>
      </c>
    </row>
    <row r="141" spans="1:11" ht="60" customHeight="1" x14ac:dyDescent="0.3">
      <c r="A141" s="281">
        <v>135</v>
      </c>
      <c r="B141" s="281" t="s">
        <v>11</v>
      </c>
      <c r="C141" s="281"/>
      <c r="D141" s="281"/>
      <c r="E141" s="281" t="s">
        <v>139</v>
      </c>
      <c r="F141" s="281">
        <v>200200046</v>
      </c>
      <c r="G141" s="281">
        <v>3102010020</v>
      </c>
      <c r="H141" s="281" t="s">
        <v>157</v>
      </c>
      <c r="I141" s="281" t="s">
        <v>41</v>
      </c>
      <c r="J141" s="285">
        <v>2700</v>
      </c>
      <c r="K141" s="285">
        <v>14</v>
      </c>
    </row>
    <row r="142" spans="1:11" ht="75" customHeight="1" x14ac:dyDescent="0.3">
      <c r="A142" s="281">
        <v>136</v>
      </c>
      <c r="B142" s="281" t="s">
        <v>11</v>
      </c>
      <c r="C142" s="281"/>
      <c r="D142" s="281"/>
      <c r="E142" s="281" t="s">
        <v>139</v>
      </c>
      <c r="F142" s="281">
        <v>200200047</v>
      </c>
      <c r="G142" s="281">
        <v>3102010021</v>
      </c>
      <c r="H142" s="281" t="s">
        <v>158</v>
      </c>
      <c r="I142" s="281" t="s">
        <v>41</v>
      </c>
      <c r="J142" s="285">
        <v>0</v>
      </c>
      <c r="K142" s="285">
        <v>2549</v>
      </c>
    </row>
    <row r="143" spans="1:11" ht="60" customHeight="1" x14ac:dyDescent="0.3">
      <c r="A143" s="281">
        <v>137</v>
      </c>
      <c r="B143" s="281" t="s">
        <v>11</v>
      </c>
      <c r="C143" s="281"/>
      <c r="D143" s="281"/>
      <c r="E143" s="281" t="s">
        <v>139</v>
      </c>
      <c r="F143" s="281">
        <v>200200048</v>
      </c>
      <c r="G143" s="281">
        <v>3102010022</v>
      </c>
      <c r="H143" s="281" t="s">
        <v>687</v>
      </c>
      <c r="I143" s="281" t="s">
        <v>41</v>
      </c>
      <c r="J143" s="285">
        <v>0</v>
      </c>
      <c r="K143" s="285">
        <v>5263</v>
      </c>
    </row>
    <row r="144" spans="1:11" ht="60" customHeight="1" x14ac:dyDescent="0.3">
      <c r="A144" s="281">
        <v>138</v>
      </c>
      <c r="B144" s="281" t="s">
        <v>11</v>
      </c>
      <c r="C144" s="281"/>
      <c r="D144" s="281"/>
      <c r="E144" s="281" t="s">
        <v>139</v>
      </c>
      <c r="F144" s="281">
        <v>200200049</v>
      </c>
      <c r="G144" s="281">
        <v>3102010023</v>
      </c>
      <c r="H144" s="281" t="s">
        <v>781</v>
      </c>
      <c r="I144" s="281" t="s">
        <v>41</v>
      </c>
      <c r="J144" s="285">
        <v>850</v>
      </c>
      <c r="K144" s="285">
        <v>474</v>
      </c>
    </row>
    <row r="145" spans="1:11" ht="60" customHeight="1" x14ac:dyDescent="0.3">
      <c r="A145" s="281">
        <v>139</v>
      </c>
      <c r="B145" s="281" t="s">
        <v>11</v>
      </c>
      <c r="C145" s="281"/>
      <c r="D145" s="281"/>
      <c r="E145" s="281" t="s">
        <v>139</v>
      </c>
      <c r="F145" s="281">
        <v>200200050</v>
      </c>
      <c r="G145" s="281">
        <v>3102010024</v>
      </c>
      <c r="H145" s="281" t="s">
        <v>159</v>
      </c>
      <c r="I145" s="281" t="s">
        <v>41</v>
      </c>
      <c r="J145" s="285">
        <v>0</v>
      </c>
      <c r="K145" s="285">
        <v>0</v>
      </c>
    </row>
    <row r="146" spans="1:11" ht="75" customHeight="1" x14ac:dyDescent="0.3">
      <c r="A146" s="281">
        <v>140</v>
      </c>
      <c r="B146" s="281" t="s">
        <v>11</v>
      </c>
      <c r="C146" s="281"/>
      <c r="D146" s="281"/>
      <c r="E146" s="281" t="s">
        <v>139</v>
      </c>
      <c r="F146" s="281">
        <v>200200025</v>
      </c>
      <c r="G146" s="281">
        <v>3102010025</v>
      </c>
      <c r="H146" s="281" t="s">
        <v>160</v>
      </c>
      <c r="I146" s="281" t="s">
        <v>41</v>
      </c>
      <c r="J146" s="285">
        <v>0</v>
      </c>
      <c r="K146" s="285">
        <v>766</v>
      </c>
    </row>
    <row r="147" spans="1:11" ht="60" customHeight="1" x14ac:dyDescent="0.3">
      <c r="A147" s="281">
        <v>141</v>
      </c>
      <c r="B147" s="281" t="s">
        <v>11</v>
      </c>
      <c r="C147" s="281"/>
      <c r="D147" s="281"/>
      <c r="E147" s="281" t="s">
        <v>139</v>
      </c>
      <c r="F147" s="281">
        <v>200200026</v>
      </c>
      <c r="G147" s="281">
        <v>3102010026</v>
      </c>
      <c r="H147" s="281" t="s">
        <v>161</v>
      </c>
      <c r="I147" s="281" t="s">
        <v>41</v>
      </c>
      <c r="J147" s="285">
        <v>0</v>
      </c>
      <c r="K147" s="285">
        <v>750</v>
      </c>
    </row>
    <row r="148" spans="1:11" ht="30" customHeight="1" x14ac:dyDescent="0.3">
      <c r="A148" s="281">
        <v>142</v>
      </c>
      <c r="B148" s="281" t="s">
        <v>11</v>
      </c>
      <c r="C148" s="281"/>
      <c r="D148" s="281"/>
      <c r="E148" s="281" t="s">
        <v>162</v>
      </c>
      <c r="F148" s="281">
        <v>203000001</v>
      </c>
      <c r="G148" s="281">
        <v>3103010000</v>
      </c>
      <c r="H148" s="281" t="s">
        <v>163</v>
      </c>
      <c r="I148" s="281" t="s">
        <v>41</v>
      </c>
      <c r="J148" s="285">
        <v>151</v>
      </c>
      <c r="K148" s="285">
        <v>1019</v>
      </c>
    </row>
    <row r="149" spans="1:11" ht="60" customHeight="1" x14ac:dyDescent="0.3">
      <c r="A149" s="281">
        <v>143</v>
      </c>
      <c r="B149" s="281" t="s">
        <v>11</v>
      </c>
      <c r="C149" s="281"/>
      <c r="D149" s="281"/>
      <c r="E149" s="281" t="s">
        <v>162</v>
      </c>
      <c r="F149" s="281">
        <v>203000002</v>
      </c>
      <c r="G149" s="281">
        <v>3103010001</v>
      </c>
      <c r="H149" s="281" t="s">
        <v>164</v>
      </c>
      <c r="I149" s="281" t="s">
        <v>41</v>
      </c>
      <c r="J149" s="285">
        <v>274</v>
      </c>
      <c r="K149" s="285">
        <v>856</v>
      </c>
    </row>
    <row r="150" spans="1:11" ht="30" customHeight="1" x14ac:dyDescent="0.3">
      <c r="A150" s="281">
        <v>144</v>
      </c>
      <c r="B150" s="281" t="s">
        <v>11</v>
      </c>
      <c r="C150" s="281"/>
      <c r="D150" s="281"/>
      <c r="E150" s="281" t="s">
        <v>162</v>
      </c>
      <c r="F150" s="281">
        <v>203000003</v>
      </c>
      <c r="G150" s="281">
        <v>3103010002</v>
      </c>
      <c r="H150" s="281" t="s">
        <v>165</v>
      </c>
      <c r="I150" s="281" t="s">
        <v>41</v>
      </c>
      <c r="J150" s="285">
        <v>528</v>
      </c>
      <c r="K150" s="285">
        <v>441</v>
      </c>
    </row>
    <row r="151" spans="1:11" ht="30" customHeight="1" x14ac:dyDescent="0.3">
      <c r="A151" s="281">
        <v>145</v>
      </c>
      <c r="B151" s="281" t="s">
        <v>11</v>
      </c>
      <c r="C151" s="281"/>
      <c r="D151" s="281"/>
      <c r="E151" s="281" t="s">
        <v>162</v>
      </c>
      <c r="F151" s="281">
        <v>203000004</v>
      </c>
      <c r="G151" s="281">
        <v>3103010003</v>
      </c>
      <c r="H151" s="281" t="s">
        <v>166</v>
      </c>
      <c r="I151" s="281" t="s">
        <v>41</v>
      </c>
      <c r="J151" s="285">
        <v>312</v>
      </c>
      <c r="K151" s="285">
        <v>670</v>
      </c>
    </row>
    <row r="152" spans="1:11" ht="75" customHeight="1" x14ac:dyDescent="0.3">
      <c r="A152" s="281">
        <v>146</v>
      </c>
      <c r="B152" s="281" t="s">
        <v>11</v>
      </c>
      <c r="C152" s="281"/>
      <c r="D152" s="281"/>
      <c r="E152" s="281" t="s">
        <v>162</v>
      </c>
      <c r="F152" s="281">
        <v>203000005</v>
      </c>
      <c r="G152" s="281">
        <v>3103010004</v>
      </c>
      <c r="H152" s="281" t="s">
        <v>167</v>
      </c>
      <c r="I152" s="281" t="s">
        <v>41</v>
      </c>
      <c r="J152" s="285">
        <v>273</v>
      </c>
      <c r="K152" s="285">
        <v>797</v>
      </c>
    </row>
    <row r="153" spans="1:11" ht="60" customHeight="1" x14ac:dyDescent="0.3">
      <c r="A153" s="281">
        <v>147</v>
      </c>
      <c r="B153" s="281" t="s">
        <v>11</v>
      </c>
      <c r="C153" s="281"/>
      <c r="D153" s="281"/>
      <c r="E153" s="281" t="s">
        <v>162</v>
      </c>
      <c r="F153" s="281">
        <v>203000006</v>
      </c>
      <c r="G153" s="281">
        <v>3103010005</v>
      </c>
      <c r="H153" s="281" t="s">
        <v>168</v>
      </c>
      <c r="I153" s="281" t="s">
        <v>41</v>
      </c>
      <c r="J153" s="285">
        <v>1002</v>
      </c>
      <c r="K153" s="285">
        <v>52</v>
      </c>
    </row>
    <row r="154" spans="1:11" ht="75" customHeight="1" x14ac:dyDescent="0.3">
      <c r="A154" s="281">
        <v>148</v>
      </c>
      <c r="B154" s="281" t="s">
        <v>11</v>
      </c>
      <c r="C154" s="281"/>
      <c r="D154" s="281"/>
      <c r="E154" s="281" t="s">
        <v>162</v>
      </c>
      <c r="F154" s="281">
        <v>203000007</v>
      </c>
      <c r="G154" s="281">
        <v>3103010006</v>
      </c>
      <c r="H154" s="281" t="s">
        <v>169</v>
      </c>
      <c r="I154" s="281" t="s">
        <v>41</v>
      </c>
      <c r="J154" s="285">
        <v>3</v>
      </c>
      <c r="K154" s="285">
        <v>1051</v>
      </c>
    </row>
    <row r="155" spans="1:11" ht="60" customHeight="1" x14ac:dyDescent="0.3">
      <c r="A155" s="281">
        <v>149</v>
      </c>
      <c r="B155" s="281" t="s">
        <v>11</v>
      </c>
      <c r="C155" s="281"/>
      <c r="D155" s="281"/>
      <c r="E155" s="281" t="s">
        <v>162</v>
      </c>
      <c r="F155" s="281">
        <v>203000008</v>
      </c>
      <c r="G155" s="281">
        <v>3103010007</v>
      </c>
      <c r="H155" s="281" t="s">
        <v>170</v>
      </c>
      <c r="I155" s="281" t="s">
        <v>41</v>
      </c>
      <c r="J155" s="285">
        <v>32</v>
      </c>
      <c r="K155" s="285">
        <v>1038</v>
      </c>
    </row>
    <row r="156" spans="1:11" ht="60" customHeight="1" x14ac:dyDescent="0.3">
      <c r="A156" s="281">
        <v>150</v>
      </c>
      <c r="B156" s="281" t="s">
        <v>11</v>
      </c>
      <c r="C156" s="281"/>
      <c r="D156" s="281"/>
      <c r="E156" s="281" t="s">
        <v>162</v>
      </c>
      <c r="F156" s="281">
        <v>203000009</v>
      </c>
      <c r="G156" s="281">
        <v>3103010008</v>
      </c>
      <c r="H156" s="281" t="s">
        <v>171</v>
      </c>
      <c r="I156" s="281" t="s">
        <v>41</v>
      </c>
      <c r="J156" s="285">
        <v>112</v>
      </c>
      <c r="K156" s="285">
        <v>1048</v>
      </c>
    </row>
    <row r="157" spans="1:11" ht="30" customHeight="1" x14ac:dyDescent="0.3">
      <c r="A157" s="281">
        <v>151</v>
      </c>
      <c r="B157" s="281" t="s">
        <v>11</v>
      </c>
      <c r="C157" s="281"/>
      <c r="D157" s="281"/>
      <c r="E157" s="281" t="s">
        <v>162</v>
      </c>
      <c r="F157" s="281">
        <v>203000010</v>
      </c>
      <c r="G157" s="281">
        <v>3103010009</v>
      </c>
      <c r="H157" s="281" t="s">
        <v>172</v>
      </c>
      <c r="I157" s="281" t="s">
        <v>41</v>
      </c>
      <c r="J157" s="285">
        <v>206</v>
      </c>
      <c r="K157" s="285">
        <v>2103</v>
      </c>
    </row>
    <row r="158" spans="1:11" ht="45" customHeight="1" x14ac:dyDescent="0.3">
      <c r="A158" s="281">
        <v>152</v>
      </c>
      <c r="B158" s="281" t="s">
        <v>11</v>
      </c>
      <c r="C158" s="281"/>
      <c r="D158" s="281"/>
      <c r="E158" s="281" t="s">
        <v>162</v>
      </c>
      <c r="F158" s="281">
        <v>203000011</v>
      </c>
      <c r="G158" s="281">
        <v>3103010010</v>
      </c>
      <c r="H158" s="281" t="s">
        <v>173</v>
      </c>
      <c r="I158" s="281" t="s">
        <v>41</v>
      </c>
      <c r="J158" s="285">
        <v>98</v>
      </c>
      <c r="K158" s="285">
        <v>1894</v>
      </c>
    </row>
    <row r="159" spans="1:11" ht="45" customHeight="1" x14ac:dyDescent="0.3">
      <c r="A159" s="281">
        <v>153</v>
      </c>
      <c r="B159" s="281" t="s">
        <v>11</v>
      </c>
      <c r="C159" s="281"/>
      <c r="D159" s="281"/>
      <c r="E159" s="281" t="s">
        <v>162</v>
      </c>
      <c r="F159" s="281">
        <v>203000012</v>
      </c>
      <c r="G159" s="281">
        <v>3103010011</v>
      </c>
      <c r="H159" s="281" t="s">
        <v>174</v>
      </c>
      <c r="I159" s="281" t="s">
        <v>41</v>
      </c>
      <c r="J159" s="285">
        <v>8</v>
      </c>
      <c r="K159" s="285">
        <v>2095</v>
      </c>
    </row>
    <row r="160" spans="1:11" ht="30" customHeight="1" x14ac:dyDescent="0.3">
      <c r="A160" s="281">
        <v>154</v>
      </c>
      <c r="B160" s="281" t="s">
        <v>11</v>
      </c>
      <c r="C160" s="281"/>
      <c r="D160" s="281"/>
      <c r="E160" s="281" t="s">
        <v>162</v>
      </c>
      <c r="F160" s="281">
        <v>203000013</v>
      </c>
      <c r="G160" s="281">
        <v>3103010012</v>
      </c>
      <c r="H160" s="281" t="s">
        <v>175</v>
      </c>
      <c r="I160" s="281" t="s">
        <v>41</v>
      </c>
      <c r="J160" s="285">
        <v>404</v>
      </c>
      <c r="K160" s="285">
        <v>1731</v>
      </c>
    </row>
    <row r="161" spans="1:11" ht="30" customHeight="1" x14ac:dyDescent="0.3">
      <c r="A161" s="281">
        <v>155</v>
      </c>
      <c r="B161" s="281" t="s">
        <v>11</v>
      </c>
      <c r="C161" s="281"/>
      <c r="D161" s="281"/>
      <c r="E161" s="281" t="s">
        <v>162</v>
      </c>
      <c r="F161" s="281">
        <v>203000014</v>
      </c>
      <c r="G161" s="281">
        <v>3103010013</v>
      </c>
      <c r="H161" s="281" t="s">
        <v>176</v>
      </c>
      <c r="I161" s="281" t="s">
        <v>41</v>
      </c>
      <c r="J161" s="285">
        <v>191</v>
      </c>
      <c r="K161" s="285">
        <v>1830</v>
      </c>
    </row>
    <row r="162" spans="1:11" ht="60" customHeight="1" x14ac:dyDescent="0.3">
      <c r="A162" s="281">
        <v>156</v>
      </c>
      <c r="B162" s="281" t="s">
        <v>11</v>
      </c>
      <c r="C162" s="281"/>
      <c r="D162" s="281"/>
      <c r="E162" s="281" t="s">
        <v>162</v>
      </c>
      <c r="F162" s="281">
        <v>203000015</v>
      </c>
      <c r="G162" s="281">
        <v>3103010014</v>
      </c>
      <c r="H162" s="281" t="s">
        <v>177</v>
      </c>
      <c r="I162" s="281" t="s">
        <v>41</v>
      </c>
      <c r="J162" s="285">
        <v>8</v>
      </c>
      <c r="K162" s="285">
        <v>1825</v>
      </c>
    </row>
    <row r="163" spans="1:11" ht="45" customHeight="1" x14ac:dyDescent="0.3">
      <c r="A163" s="281">
        <v>157</v>
      </c>
      <c r="B163" s="281" t="s">
        <v>11</v>
      </c>
      <c r="C163" s="281"/>
      <c r="D163" s="281"/>
      <c r="E163" s="281" t="s">
        <v>162</v>
      </c>
      <c r="F163" s="281">
        <v>203000016</v>
      </c>
      <c r="G163" s="281">
        <v>3103010015</v>
      </c>
      <c r="H163" s="281" t="s">
        <v>178</v>
      </c>
      <c r="I163" s="281" t="s">
        <v>41</v>
      </c>
      <c r="J163" s="285">
        <v>0</v>
      </c>
      <c r="K163" s="285">
        <v>1954</v>
      </c>
    </row>
    <row r="164" spans="1:11" ht="75" customHeight="1" x14ac:dyDescent="0.3">
      <c r="A164" s="281">
        <v>158</v>
      </c>
      <c r="B164" s="281" t="s">
        <v>11</v>
      </c>
      <c r="C164" s="281"/>
      <c r="D164" s="281"/>
      <c r="E164" s="281" t="s">
        <v>162</v>
      </c>
      <c r="F164" s="281">
        <v>203000017</v>
      </c>
      <c r="G164" s="281">
        <v>3103010016</v>
      </c>
      <c r="H164" s="281" t="s">
        <v>179</v>
      </c>
      <c r="I164" s="281" t="s">
        <v>41</v>
      </c>
      <c r="J164" s="285">
        <v>29</v>
      </c>
      <c r="K164" s="285">
        <v>1987</v>
      </c>
    </row>
    <row r="165" spans="1:11" ht="30" customHeight="1" x14ac:dyDescent="0.3">
      <c r="A165" s="281">
        <v>159</v>
      </c>
      <c r="B165" s="281" t="s">
        <v>11</v>
      </c>
      <c r="C165" s="281"/>
      <c r="D165" s="281"/>
      <c r="E165" s="281" t="s">
        <v>162</v>
      </c>
      <c r="F165" s="281">
        <v>203000018</v>
      </c>
      <c r="G165" s="281">
        <v>3103010017</v>
      </c>
      <c r="H165" s="281" t="s">
        <v>180</v>
      </c>
      <c r="I165" s="281" t="s">
        <v>41</v>
      </c>
      <c r="J165" s="285">
        <v>14</v>
      </c>
      <c r="K165" s="285">
        <v>2008</v>
      </c>
    </row>
    <row r="166" spans="1:11" ht="30" customHeight="1" x14ac:dyDescent="0.3">
      <c r="A166" s="281">
        <v>160</v>
      </c>
      <c r="B166" s="281" t="s">
        <v>11</v>
      </c>
      <c r="C166" s="281"/>
      <c r="D166" s="281"/>
      <c r="E166" s="281" t="s">
        <v>162</v>
      </c>
      <c r="F166" s="281">
        <v>203000019</v>
      </c>
      <c r="G166" s="281">
        <v>3103010018</v>
      </c>
      <c r="H166" s="281" t="s">
        <v>181</v>
      </c>
      <c r="I166" s="281" t="s">
        <v>41</v>
      </c>
      <c r="J166" s="285">
        <v>60</v>
      </c>
      <c r="K166" s="285">
        <v>1884</v>
      </c>
    </row>
    <row r="167" spans="1:11" ht="30" customHeight="1" x14ac:dyDescent="0.3">
      <c r="A167" s="281">
        <v>161</v>
      </c>
      <c r="B167" s="281" t="s">
        <v>11</v>
      </c>
      <c r="C167" s="281"/>
      <c r="D167" s="281"/>
      <c r="E167" s="281" t="s">
        <v>162</v>
      </c>
      <c r="F167" s="281">
        <v>203000020</v>
      </c>
      <c r="G167" s="281">
        <v>3103010019</v>
      </c>
      <c r="H167" s="281" t="s">
        <v>182</v>
      </c>
      <c r="I167" s="281" t="s">
        <v>41</v>
      </c>
      <c r="J167" s="285">
        <v>10</v>
      </c>
      <c r="K167" s="285">
        <v>1954</v>
      </c>
    </row>
    <row r="168" spans="1:11" ht="30" customHeight="1" x14ac:dyDescent="0.3">
      <c r="A168" s="281">
        <v>162</v>
      </c>
      <c r="B168" s="281" t="s">
        <v>11</v>
      </c>
      <c r="C168" s="281"/>
      <c r="D168" s="281"/>
      <c r="E168" s="281" t="s">
        <v>162</v>
      </c>
      <c r="F168" s="281">
        <v>203000038</v>
      </c>
      <c r="G168" s="281">
        <v>3103010020</v>
      </c>
      <c r="H168" s="281" t="s">
        <v>183</v>
      </c>
      <c r="I168" s="281" t="s">
        <v>41</v>
      </c>
      <c r="J168" s="285">
        <v>633</v>
      </c>
      <c r="K168" s="285">
        <v>1570</v>
      </c>
    </row>
    <row r="169" spans="1:11" ht="45" customHeight="1" x14ac:dyDescent="0.3">
      <c r="A169" s="281">
        <v>163</v>
      </c>
      <c r="B169" s="281" t="s">
        <v>11</v>
      </c>
      <c r="C169" s="281"/>
      <c r="D169" s="281"/>
      <c r="E169" s="281" t="s">
        <v>162</v>
      </c>
      <c r="F169" s="281">
        <v>203000021</v>
      </c>
      <c r="G169" s="281">
        <v>3103010021</v>
      </c>
      <c r="H169" s="281" t="s">
        <v>184</v>
      </c>
      <c r="I169" s="281" t="s">
        <v>41</v>
      </c>
      <c r="J169" s="285">
        <v>395</v>
      </c>
      <c r="K169" s="285">
        <v>1408</v>
      </c>
    </row>
    <row r="170" spans="1:11" ht="45" customHeight="1" x14ac:dyDescent="0.3">
      <c r="A170" s="281">
        <v>164</v>
      </c>
      <c r="B170" s="281" t="s">
        <v>11</v>
      </c>
      <c r="C170" s="281"/>
      <c r="D170" s="281"/>
      <c r="E170" s="281" t="s">
        <v>162</v>
      </c>
      <c r="F170" s="281">
        <v>203000022</v>
      </c>
      <c r="G170" s="281">
        <v>3103010022</v>
      </c>
      <c r="H170" s="281" t="s">
        <v>185</v>
      </c>
      <c r="I170" s="281" t="s">
        <v>41</v>
      </c>
      <c r="J170" s="285">
        <v>0</v>
      </c>
      <c r="K170" s="285">
        <v>2070</v>
      </c>
    </row>
    <row r="171" spans="1:11" ht="60" customHeight="1" x14ac:dyDescent="0.3">
      <c r="A171" s="281">
        <v>165</v>
      </c>
      <c r="B171" s="281" t="s">
        <v>11</v>
      </c>
      <c r="C171" s="281"/>
      <c r="D171" s="281"/>
      <c r="E171" s="281" t="s">
        <v>162</v>
      </c>
      <c r="F171" s="281">
        <v>203000023</v>
      </c>
      <c r="G171" s="281">
        <v>3103010023</v>
      </c>
      <c r="H171" s="281" t="s">
        <v>186</v>
      </c>
      <c r="I171" s="281" t="s">
        <v>41</v>
      </c>
      <c r="J171" s="285">
        <v>232</v>
      </c>
      <c r="K171" s="285">
        <v>930</v>
      </c>
    </row>
    <row r="172" spans="1:11" ht="30" customHeight="1" x14ac:dyDescent="0.3">
      <c r="A172" s="281">
        <v>166</v>
      </c>
      <c r="B172" s="281" t="s">
        <v>11</v>
      </c>
      <c r="C172" s="281"/>
      <c r="D172" s="281"/>
      <c r="E172" s="281" t="s">
        <v>162</v>
      </c>
      <c r="F172" s="281">
        <v>203000024</v>
      </c>
      <c r="G172" s="281">
        <v>3103010024</v>
      </c>
      <c r="H172" s="281" t="s">
        <v>187</v>
      </c>
      <c r="I172" s="281" t="s">
        <v>41</v>
      </c>
      <c r="J172" s="285">
        <v>7</v>
      </c>
      <c r="K172" s="285">
        <v>1085</v>
      </c>
    </row>
    <row r="173" spans="1:11" ht="45" customHeight="1" x14ac:dyDescent="0.3">
      <c r="A173" s="281">
        <v>167</v>
      </c>
      <c r="B173" s="281" t="s">
        <v>11</v>
      </c>
      <c r="C173" s="281"/>
      <c r="D173" s="281"/>
      <c r="E173" s="281" t="s">
        <v>162</v>
      </c>
      <c r="F173" s="281">
        <v>203000025</v>
      </c>
      <c r="G173" s="281">
        <v>3103010025</v>
      </c>
      <c r="H173" s="281" t="s">
        <v>188</v>
      </c>
      <c r="I173" s="281" t="s">
        <v>41</v>
      </c>
      <c r="J173" s="285">
        <v>13</v>
      </c>
      <c r="K173" s="285">
        <v>1057</v>
      </c>
    </row>
    <row r="174" spans="1:11" ht="30" customHeight="1" x14ac:dyDescent="0.3">
      <c r="A174" s="281">
        <v>168</v>
      </c>
      <c r="B174" s="281" t="s">
        <v>11</v>
      </c>
      <c r="C174" s="281"/>
      <c r="D174" s="281"/>
      <c r="E174" s="281" t="s">
        <v>162</v>
      </c>
      <c r="F174" s="281">
        <v>203000026</v>
      </c>
      <c r="G174" s="281">
        <v>3103010026</v>
      </c>
      <c r="H174" s="281" t="s">
        <v>189</v>
      </c>
      <c r="I174" s="281" t="s">
        <v>41</v>
      </c>
      <c r="J174" s="285">
        <v>199</v>
      </c>
      <c r="K174" s="285">
        <v>1774</v>
      </c>
    </row>
    <row r="175" spans="1:11" ht="45" customHeight="1" x14ac:dyDescent="0.3">
      <c r="A175" s="281">
        <v>169</v>
      </c>
      <c r="B175" s="281" t="s">
        <v>11</v>
      </c>
      <c r="C175" s="281"/>
      <c r="D175" s="281"/>
      <c r="E175" s="281" t="s">
        <v>162</v>
      </c>
      <c r="F175" s="281">
        <v>203000027</v>
      </c>
      <c r="G175" s="281">
        <v>3103010027</v>
      </c>
      <c r="H175" s="281" t="s">
        <v>190</v>
      </c>
      <c r="I175" s="281" t="s">
        <v>41</v>
      </c>
      <c r="J175" s="285">
        <v>52</v>
      </c>
      <c r="K175" s="285">
        <v>1964</v>
      </c>
    </row>
    <row r="176" spans="1:11" ht="45" customHeight="1" x14ac:dyDescent="0.3">
      <c r="A176" s="281">
        <v>170</v>
      </c>
      <c r="B176" s="281" t="s">
        <v>11</v>
      </c>
      <c r="C176" s="281"/>
      <c r="D176" s="281"/>
      <c r="E176" s="281" t="s">
        <v>162</v>
      </c>
      <c r="F176" s="281">
        <v>203000028</v>
      </c>
      <c r="G176" s="281">
        <v>3103010028</v>
      </c>
      <c r="H176" s="281" t="s">
        <v>191</v>
      </c>
      <c r="I176" s="281" t="s">
        <v>41</v>
      </c>
      <c r="J176" s="285">
        <v>0</v>
      </c>
      <c r="K176" s="285">
        <v>1770</v>
      </c>
    </row>
    <row r="177" spans="1:11" ht="45" customHeight="1" x14ac:dyDescent="0.3">
      <c r="A177" s="281">
        <v>171</v>
      </c>
      <c r="B177" s="281" t="s">
        <v>11</v>
      </c>
      <c r="C177" s="281"/>
      <c r="D177" s="281"/>
      <c r="E177" s="281" t="s">
        <v>162</v>
      </c>
      <c r="F177" s="281">
        <v>203000029</v>
      </c>
      <c r="G177" s="281">
        <v>3103010029</v>
      </c>
      <c r="H177" s="281" t="s">
        <v>192</v>
      </c>
      <c r="I177" s="281" t="s">
        <v>41</v>
      </c>
      <c r="J177" s="285">
        <v>0</v>
      </c>
      <c r="K177" s="285">
        <v>1970</v>
      </c>
    </row>
    <row r="178" spans="1:11" ht="30" customHeight="1" x14ac:dyDescent="0.3">
      <c r="A178" s="281">
        <v>172</v>
      </c>
      <c r="B178" s="281" t="s">
        <v>11</v>
      </c>
      <c r="C178" s="281"/>
      <c r="D178" s="281"/>
      <c r="E178" s="281" t="s">
        <v>162</v>
      </c>
      <c r="F178" s="281">
        <v>203000031</v>
      </c>
      <c r="G178" s="281">
        <v>3103010031</v>
      </c>
      <c r="H178" s="281" t="s">
        <v>193</v>
      </c>
      <c r="I178" s="281" t="s">
        <v>41</v>
      </c>
      <c r="J178" s="285">
        <v>63</v>
      </c>
      <c r="K178" s="285">
        <v>929</v>
      </c>
    </row>
    <row r="179" spans="1:11" ht="30" customHeight="1" x14ac:dyDescent="0.3">
      <c r="A179" s="281">
        <v>173</v>
      </c>
      <c r="B179" s="281" t="s">
        <v>11</v>
      </c>
      <c r="C179" s="281"/>
      <c r="D179" s="281"/>
      <c r="E179" s="281" t="s">
        <v>162</v>
      </c>
      <c r="F179" s="281">
        <v>203000032</v>
      </c>
      <c r="G179" s="281">
        <v>3103010032</v>
      </c>
      <c r="H179" s="281" t="s">
        <v>194</v>
      </c>
      <c r="I179" s="281" t="s">
        <v>41</v>
      </c>
      <c r="J179" s="285">
        <v>687</v>
      </c>
      <c r="K179" s="285">
        <v>1589</v>
      </c>
    </row>
    <row r="180" spans="1:11" ht="60" customHeight="1" x14ac:dyDescent="0.3">
      <c r="A180" s="281">
        <v>174</v>
      </c>
      <c r="B180" s="281" t="s">
        <v>11</v>
      </c>
      <c r="C180" s="281"/>
      <c r="D180" s="281"/>
      <c r="E180" s="281" t="s">
        <v>162</v>
      </c>
      <c r="F180" s="281">
        <v>203000033</v>
      </c>
      <c r="G180" s="281">
        <v>3103010033</v>
      </c>
      <c r="H180" s="281" t="s">
        <v>195</v>
      </c>
      <c r="I180" s="281" t="s">
        <v>41</v>
      </c>
      <c r="J180" s="285">
        <v>182</v>
      </c>
      <c r="K180" s="285">
        <v>930</v>
      </c>
    </row>
    <row r="181" spans="1:11" ht="30" customHeight="1" x14ac:dyDescent="0.3">
      <c r="A181" s="281">
        <v>175</v>
      </c>
      <c r="B181" s="281" t="s">
        <v>11</v>
      </c>
      <c r="C181" s="281"/>
      <c r="D181" s="281"/>
      <c r="E181" s="281" t="s">
        <v>162</v>
      </c>
      <c r="F181" s="281">
        <v>203000034</v>
      </c>
      <c r="G181" s="281">
        <v>3103010034</v>
      </c>
      <c r="H181" s="281" t="s">
        <v>196</v>
      </c>
      <c r="I181" s="281" t="s">
        <v>41</v>
      </c>
      <c r="J181" s="285">
        <v>0</v>
      </c>
      <c r="K181" s="285">
        <v>1956</v>
      </c>
    </row>
    <row r="182" spans="1:11" ht="30" customHeight="1" x14ac:dyDescent="0.3">
      <c r="A182" s="281">
        <v>176</v>
      </c>
      <c r="B182" s="281" t="s">
        <v>11</v>
      </c>
      <c r="C182" s="281"/>
      <c r="D182" s="281"/>
      <c r="E182" s="281" t="s">
        <v>162</v>
      </c>
      <c r="F182" s="281">
        <v>203000035</v>
      </c>
      <c r="G182" s="281">
        <v>3103010035</v>
      </c>
      <c r="H182" s="281" t="s">
        <v>197</v>
      </c>
      <c r="I182" s="281" t="s">
        <v>41</v>
      </c>
      <c r="J182" s="285">
        <v>0</v>
      </c>
      <c r="K182" s="285">
        <v>7880</v>
      </c>
    </row>
    <row r="183" spans="1:11" ht="30" customHeight="1" x14ac:dyDescent="0.3">
      <c r="A183" s="281">
        <v>177</v>
      </c>
      <c r="B183" s="281" t="s">
        <v>11</v>
      </c>
      <c r="C183" s="281"/>
      <c r="D183" s="281"/>
      <c r="E183" s="281" t="s">
        <v>162</v>
      </c>
      <c r="F183" s="281">
        <v>203000036</v>
      </c>
      <c r="G183" s="281">
        <v>3103010036</v>
      </c>
      <c r="H183" s="281" t="s">
        <v>198</v>
      </c>
      <c r="I183" s="281" t="s">
        <v>41</v>
      </c>
      <c r="J183" s="285">
        <v>0</v>
      </c>
      <c r="K183" s="285">
        <v>35970</v>
      </c>
    </row>
    <row r="184" spans="1:11" ht="30" customHeight="1" x14ac:dyDescent="0.3">
      <c r="A184" s="281">
        <v>178</v>
      </c>
      <c r="B184" s="281" t="s">
        <v>11</v>
      </c>
      <c r="C184" s="281"/>
      <c r="D184" s="281"/>
      <c r="E184" s="281" t="s">
        <v>162</v>
      </c>
      <c r="F184" s="281">
        <v>203000037</v>
      </c>
      <c r="G184" s="281">
        <v>3103010037</v>
      </c>
      <c r="H184" s="281" t="s">
        <v>199</v>
      </c>
      <c r="I184" s="281" t="s">
        <v>41</v>
      </c>
      <c r="J184" s="285">
        <v>1</v>
      </c>
      <c r="K184" s="285">
        <v>1933</v>
      </c>
    </row>
    <row r="185" spans="1:11" ht="30" customHeight="1" x14ac:dyDescent="0.3">
      <c r="A185" s="281">
        <v>179</v>
      </c>
      <c r="B185" s="281" t="s">
        <v>11</v>
      </c>
      <c r="C185" s="281"/>
      <c r="D185" s="281"/>
      <c r="E185" s="281" t="s">
        <v>162</v>
      </c>
      <c r="F185" s="281">
        <v>203000039</v>
      </c>
      <c r="G185" s="281">
        <v>3103010038</v>
      </c>
      <c r="H185" s="281" t="s">
        <v>200</v>
      </c>
      <c r="I185" s="281" t="s">
        <v>41</v>
      </c>
      <c r="J185" s="285">
        <v>0</v>
      </c>
      <c r="K185" s="285">
        <v>1970</v>
      </c>
    </row>
    <row r="186" spans="1:11" ht="45" customHeight="1" x14ac:dyDescent="0.3">
      <c r="A186" s="281">
        <v>180</v>
      </c>
      <c r="B186" s="281" t="s">
        <v>11</v>
      </c>
      <c r="C186" s="281"/>
      <c r="D186" s="281"/>
      <c r="E186" s="281" t="s">
        <v>162</v>
      </c>
      <c r="F186" s="281">
        <v>203000040</v>
      </c>
      <c r="G186" s="281">
        <v>3103010039</v>
      </c>
      <c r="H186" s="281" t="s">
        <v>201</v>
      </c>
      <c r="I186" s="281" t="s">
        <v>41</v>
      </c>
      <c r="J186" s="285">
        <v>0</v>
      </c>
      <c r="K186" s="285">
        <v>1970</v>
      </c>
    </row>
    <row r="187" spans="1:11" ht="30" customHeight="1" x14ac:dyDescent="0.3">
      <c r="A187" s="281">
        <v>181</v>
      </c>
      <c r="B187" s="281" t="s">
        <v>11</v>
      </c>
      <c r="C187" s="281"/>
      <c r="D187" s="281"/>
      <c r="E187" s="281" t="s">
        <v>162</v>
      </c>
      <c r="F187" s="281">
        <v>203000060</v>
      </c>
      <c r="G187" s="281">
        <v>3103010040</v>
      </c>
      <c r="H187" s="281" t="s">
        <v>202</v>
      </c>
      <c r="I187" s="281" t="s">
        <v>41</v>
      </c>
      <c r="J187" s="285">
        <v>0</v>
      </c>
      <c r="K187" s="285">
        <v>1944</v>
      </c>
    </row>
    <row r="188" spans="1:11" ht="45" customHeight="1" x14ac:dyDescent="0.3">
      <c r="A188" s="281">
        <v>182</v>
      </c>
      <c r="B188" s="281" t="s">
        <v>11</v>
      </c>
      <c r="C188" s="281"/>
      <c r="D188" s="281"/>
      <c r="E188" s="281" t="s">
        <v>162</v>
      </c>
      <c r="F188" s="281">
        <v>203000041</v>
      </c>
      <c r="G188" s="281">
        <v>3103010041</v>
      </c>
      <c r="H188" s="281" t="s">
        <v>203</v>
      </c>
      <c r="I188" s="281" t="s">
        <v>41</v>
      </c>
      <c r="J188" s="285">
        <v>0</v>
      </c>
      <c r="K188" s="285">
        <v>1952</v>
      </c>
    </row>
    <row r="189" spans="1:11" ht="45" customHeight="1" x14ac:dyDescent="0.3">
      <c r="A189" s="281">
        <v>183</v>
      </c>
      <c r="B189" s="281" t="s">
        <v>11</v>
      </c>
      <c r="C189" s="281"/>
      <c r="D189" s="281"/>
      <c r="E189" s="281" t="s">
        <v>162</v>
      </c>
      <c r="F189" s="281">
        <v>203000042</v>
      </c>
      <c r="G189" s="281">
        <v>3103010042</v>
      </c>
      <c r="H189" s="281" t="s">
        <v>204</v>
      </c>
      <c r="I189" s="281" t="s">
        <v>41</v>
      </c>
      <c r="J189" s="285">
        <v>0</v>
      </c>
      <c r="K189" s="285">
        <v>1952</v>
      </c>
    </row>
    <row r="190" spans="1:11" ht="30" customHeight="1" x14ac:dyDescent="0.3">
      <c r="A190" s="281">
        <v>184</v>
      </c>
      <c r="B190" s="281" t="s">
        <v>11</v>
      </c>
      <c r="C190" s="281"/>
      <c r="D190" s="281"/>
      <c r="E190" s="281" t="s">
        <v>162</v>
      </c>
      <c r="F190" s="281">
        <v>203000043</v>
      </c>
      <c r="G190" s="281">
        <v>3103010043</v>
      </c>
      <c r="H190" s="281" t="s">
        <v>205</v>
      </c>
      <c r="I190" s="281" t="s">
        <v>41</v>
      </c>
      <c r="J190" s="285">
        <v>0</v>
      </c>
      <c r="K190" s="285">
        <v>1965</v>
      </c>
    </row>
    <row r="191" spans="1:11" ht="30" customHeight="1" x14ac:dyDescent="0.3">
      <c r="A191" s="281">
        <v>185</v>
      </c>
      <c r="B191" s="281" t="s">
        <v>11</v>
      </c>
      <c r="C191" s="281"/>
      <c r="D191" s="281"/>
      <c r="E191" s="281" t="s">
        <v>162</v>
      </c>
      <c r="F191" s="281">
        <v>203000044</v>
      </c>
      <c r="G191" s="281">
        <v>3103010044</v>
      </c>
      <c r="H191" s="281" t="s">
        <v>206</v>
      </c>
      <c r="I191" s="281" t="s">
        <v>41</v>
      </c>
      <c r="J191" s="285">
        <v>0</v>
      </c>
      <c r="K191" s="285">
        <v>1611</v>
      </c>
    </row>
    <row r="192" spans="1:11" ht="45" customHeight="1" x14ac:dyDescent="0.3">
      <c r="A192" s="281">
        <v>186</v>
      </c>
      <c r="B192" s="281" t="s">
        <v>11</v>
      </c>
      <c r="C192" s="281"/>
      <c r="D192" s="281"/>
      <c r="E192" s="281" t="s">
        <v>162</v>
      </c>
      <c r="F192" s="281">
        <v>203000045</v>
      </c>
      <c r="G192" s="281">
        <v>3103010045</v>
      </c>
      <c r="H192" s="281" t="s">
        <v>207</v>
      </c>
      <c r="I192" s="281" t="s">
        <v>41</v>
      </c>
      <c r="J192" s="285">
        <v>0</v>
      </c>
      <c r="K192" s="285">
        <v>1970</v>
      </c>
    </row>
    <row r="193" spans="1:11" ht="30" customHeight="1" x14ac:dyDescent="0.3">
      <c r="A193" s="281">
        <v>187</v>
      </c>
      <c r="B193" s="281" t="s">
        <v>11</v>
      </c>
      <c r="C193" s="281"/>
      <c r="D193" s="281"/>
      <c r="E193" s="281" t="s">
        <v>162</v>
      </c>
      <c r="F193" s="281">
        <v>203000046</v>
      </c>
      <c r="G193" s="281">
        <v>3103010046</v>
      </c>
      <c r="H193" s="281" t="s">
        <v>208</v>
      </c>
      <c r="I193" s="281" t="s">
        <v>41</v>
      </c>
      <c r="J193" s="285">
        <v>0</v>
      </c>
      <c r="K193" s="285">
        <v>3935</v>
      </c>
    </row>
    <row r="194" spans="1:11" ht="45" customHeight="1" x14ac:dyDescent="0.3">
      <c r="A194" s="281">
        <v>188</v>
      </c>
      <c r="B194" s="281" t="s">
        <v>11</v>
      </c>
      <c r="C194" s="281"/>
      <c r="D194" s="281"/>
      <c r="E194" s="281" t="s">
        <v>162</v>
      </c>
      <c r="F194" s="281">
        <v>203000047</v>
      </c>
      <c r="G194" s="281">
        <v>3103010047</v>
      </c>
      <c r="H194" s="281" t="s">
        <v>209</v>
      </c>
      <c r="I194" s="281" t="s">
        <v>41</v>
      </c>
      <c r="J194" s="285">
        <v>0</v>
      </c>
      <c r="K194" s="285">
        <v>5866</v>
      </c>
    </row>
    <row r="195" spans="1:11" ht="45" customHeight="1" x14ac:dyDescent="0.3">
      <c r="A195" s="281">
        <v>189</v>
      </c>
      <c r="B195" s="281" t="s">
        <v>11</v>
      </c>
      <c r="C195" s="281"/>
      <c r="D195" s="281"/>
      <c r="E195" s="281" t="s">
        <v>162</v>
      </c>
      <c r="F195" s="281">
        <v>203000048</v>
      </c>
      <c r="G195" s="281">
        <v>3103010048</v>
      </c>
      <c r="H195" s="281" t="s">
        <v>210</v>
      </c>
      <c r="I195" s="281" t="s">
        <v>41</v>
      </c>
      <c r="J195" s="285">
        <v>0</v>
      </c>
      <c r="K195" s="285">
        <v>3935</v>
      </c>
    </row>
    <row r="196" spans="1:11" ht="30" customHeight="1" x14ac:dyDescent="0.3">
      <c r="A196" s="281">
        <v>190</v>
      </c>
      <c r="B196" s="281" t="s">
        <v>11</v>
      </c>
      <c r="C196" s="281"/>
      <c r="D196" s="281"/>
      <c r="E196" s="281" t="s">
        <v>162</v>
      </c>
      <c r="F196" s="281">
        <v>203000049</v>
      </c>
      <c r="G196" s="281">
        <v>3103010049</v>
      </c>
      <c r="H196" s="281" t="s">
        <v>211</v>
      </c>
      <c r="I196" s="281" t="s">
        <v>41</v>
      </c>
      <c r="J196" s="285">
        <v>0</v>
      </c>
      <c r="K196" s="285">
        <v>3935</v>
      </c>
    </row>
    <row r="197" spans="1:11" ht="45" customHeight="1" x14ac:dyDescent="0.3">
      <c r="A197" s="281">
        <v>191</v>
      </c>
      <c r="B197" s="281" t="s">
        <v>11</v>
      </c>
      <c r="C197" s="281"/>
      <c r="D197" s="281"/>
      <c r="E197" s="281" t="s">
        <v>162</v>
      </c>
      <c r="F197" s="281">
        <v>203000050</v>
      </c>
      <c r="G197" s="281">
        <v>3103010050</v>
      </c>
      <c r="H197" s="281" t="s">
        <v>212</v>
      </c>
      <c r="I197" s="281" t="s">
        <v>41</v>
      </c>
      <c r="J197" s="285">
        <v>0</v>
      </c>
      <c r="K197" s="285">
        <v>34815</v>
      </c>
    </row>
    <row r="198" spans="1:11" ht="30" customHeight="1" x14ac:dyDescent="0.3">
      <c r="A198" s="281">
        <v>192</v>
      </c>
      <c r="B198" s="281" t="s">
        <v>11</v>
      </c>
      <c r="C198" s="281"/>
      <c r="D198" s="281"/>
      <c r="E198" s="281" t="s">
        <v>162</v>
      </c>
      <c r="F198" s="281">
        <v>203000051</v>
      </c>
      <c r="G198" s="281">
        <v>3103010051</v>
      </c>
      <c r="H198" s="281" t="s">
        <v>213</v>
      </c>
      <c r="I198" s="281" t="s">
        <v>41</v>
      </c>
      <c r="J198" s="285">
        <v>0</v>
      </c>
      <c r="K198" s="285">
        <v>3940</v>
      </c>
    </row>
    <row r="199" spans="1:11" ht="45" customHeight="1" x14ac:dyDescent="0.3">
      <c r="A199" s="281">
        <v>193</v>
      </c>
      <c r="B199" s="281" t="s">
        <v>11</v>
      </c>
      <c r="C199" s="281"/>
      <c r="D199" s="281"/>
      <c r="E199" s="281" t="s">
        <v>162</v>
      </c>
      <c r="F199" s="281">
        <v>203000052</v>
      </c>
      <c r="G199" s="281">
        <v>3103010052</v>
      </c>
      <c r="H199" s="281" t="s">
        <v>214</v>
      </c>
      <c r="I199" s="281" t="s">
        <v>41</v>
      </c>
      <c r="J199" s="285">
        <v>0</v>
      </c>
      <c r="K199" s="285">
        <v>17856</v>
      </c>
    </row>
    <row r="200" spans="1:11" ht="30" customHeight="1" x14ac:dyDescent="0.3">
      <c r="A200" s="281">
        <v>194</v>
      </c>
      <c r="B200" s="281" t="s">
        <v>11</v>
      </c>
      <c r="C200" s="281"/>
      <c r="D200" s="281"/>
      <c r="E200" s="281" t="s">
        <v>162</v>
      </c>
      <c r="F200" s="281">
        <v>203000053</v>
      </c>
      <c r="G200" s="281">
        <v>3103010053</v>
      </c>
      <c r="H200" s="281" t="s">
        <v>215</v>
      </c>
      <c r="I200" s="281" t="s">
        <v>41</v>
      </c>
      <c r="J200" s="285">
        <v>0</v>
      </c>
      <c r="K200" s="285">
        <v>3935</v>
      </c>
    </row>
    <row r="201" spans="1:11" ht="45" customHeight="1" x14ac:dyDescent="0.3">
      <c r="A201" s="281">
        <v>195</v>
      </c>
      <c r="B201" s="281" t="s">
        <v>11</v>
      </c>
      <c r="C201" s="281"/>
      <c r="D201" s="281"/>
      <c r="E201" s="281" t="s">
        <v>162</v>
      </c>
      <c r="F201" s="281">
        <v>203000054</v>
      </c>
      <c r="G201" s="281">
        <v>3103010054</v>
      </c>
      <c r="H201" s="281" t="s">
        <v>216</v>
      </c>
      <c r="I201" s="281" t="s">
        <v>41</v>
      </c>
      <c r="J201" s="285">
        <v>0</v>
      </c>
      <c r="K201" s="285">
        <v>1070</v>
      </c>
    </row>
    <row r="202" spans="1:11" ht="45" customHeight="1" x14ac:dyDescent="0.3">
      <c r="A202" s="281">
        <v>196</v>
      </c>
      <c r="B202" s="281" t="s">
        <v>11</v>
      </c>
      <c r="C202" s="281"/>
      <c r="D202" s="281"/>
      <c r="E202" s="281" t="s">
        <v>162</v>
      </c>
      <c r="F202" s="281">
        <v>203000055</v>
      </c>
      <c r="G202" s="281">
        <v>3103010055</v>
      </c>
      <c r="H202" s="281" t="s">
        <v>217</v>
      </c>
      <c r="I202" s="281" t="s">
        <v>41</v>
      </c>
      <c r="J202" s="285">
        <v>0</v>
      </c>
      <c r="K202" s="285">
        <v>1070</v>
      </c>
    </row>
    <row r="203" spans="1:11" ht="45" customHeight="1" x14ac:dyDescent="0.3">
      <c r="A203" s="281">
        <v>197</v>
      </c>
      <c r="B203" s="281" t="s">
        <v>11</v>
      </c>
      <c r="C203" s="281"/>
      <c r="D203" s="281"/>
      <c r="E203" s="281" t="s">
        <v>162</v>
      </c>
      <c r="F203" s="281">
        <v>203000056</v>
      </c>
      <c r="G203" s="281">
        <v>3103010056</v>
      </c>
      <c r="H203" s="281" t="s">
        <v>218</v>
      </c>
      <c r="I203" s="281" t="s">
        <v>41</v>
      </c>
      <c r="J203" s="285">
        <v>0</v>
      </c>
      <c r="K203" s="285">
        <v>1970</v>
      </c>
    </row>
    <row r="204" spans="1:11" ht="60" customHeight="1" x14ac:dyDescent="0.3">
      <c r="A204" s="281">
        <v>198</v>
      </c>
      <c r="B204" s="281" t="s">
        <v>11</v>
      </c>
      <c r="C204" s="281"/>
      <c r="D204" s="281"/>
      <c r="E204" s="281" t="s">
        <v>162</v>
      </c>
      <c r="F204" s="281">
        <v>203000057</v>
      </c>
      <c r="G204" s="281">
        <v>3103010057</v>
      </c>
      <c r="H204" s="281" t="s">
        <v>219</v>
      </c>
      <c r="I204" s="281" t="s">
        <v>41</v>
      </c>
      <c r="J204" s="285">
        <v>0</v>
      </c>
      <c r="K204" s="285">
        <v>1970</v>
      </c>
    </row>
    <row r="205" spans="1:11" ht="30" customHeight="1" x14ac:dyDescent="0.3">
      <c r="A205" s="281">
        <v>199</v>
      </c>
      <c r="B205" s="281" t="s">
        <v>11</v>
      </c>
      <c r="C205" s="281"/>
      <c r="D205" s="281"/>
      <c r="E205" s="281" t="s">
        <v>162</v>
      </c>
      <c r="F205" s="281">
        <v>203000058</v>
      </c>
      <c r="G205" s="281">
        <v>3103010058</v>
      </c>
      <c r="H205" s="281" t="s">
        <v>220</v>
      </c>
      <c r="I205" s="281" t="s">
        <v>41</v>
      </c>
      <c r="J205" s="285">
        <v>0</v>
      </c>
      <c r="K205" s="285">
        <v>1970</v>
      </c>
    </row>
    <row r="206" spans="1:11" ht="30" customHeight="1" x14ac:dyDescent="0.3">
      <c r="A206" s="281">
        <v>200</v>
      </c>
      <c r="B206" s="281" t="s">
        <v>11</v>
      </c>
      <c r="C206" s="281"/>
      <c r="D206" s="281"/>
      <c r="E206" s="281" t="s">
        <v>162</v>
      </c>
      <c r="F206" s="281">
        <v>203000059</v>
      </c>
      <c r="G206" s="281">
        <v>3103010059</v>
      </c>
      <c r="H206" s="281" t="s">
        <v>221</v>
      </c>
      <c r="I206" s="281" t="s">
        <v>41</v>
      </c>
      <c r="J206" s="285">
        <v>0</v>
      </c>
      <c r="K206" s="285">
        <v>1070</v>
      </c>
    </row>
    <row r="207" spans="1:11" ht="45" customHeight="1" x14ac:dyDescent="0.3">
      <c r="A207" s="281">
        <v>201</v>
      </c>
      <c r="B207" s="281" t="s">
        <v>11</v>
      </c>
      <c r="C207" s="281"/>
      <c r="D207" s="281"/>
      <c r="E207" s="281" t="s">
        <v>162</v>
      </c>
      <c r="F207" s="281">
        <v>203000061</v>
      </c>
      <c r="G207" s="281">
        <v>3103010060</v>
      </c>
      <c r="H207" s="281" t="s">
        <v>222</v>
      </c>
      <c r="I207" s="281" t="s">
        <v>41</v>
      </c>
      <c r="J207" s="285">
        <v>899</v>
      </c>
      <c r="K207" s="285">
        <v>1241</v>
      </c>
    </row>
    <row r="208" spans="1:11" ht="60" customHeight="1" x14ac:dyDescent="0.3">
      <c r="A208" s="281">
        <v>202</v>
      </c>
      <c r="B208" s="281" t="s">
        <v>11</v>
      </c>
      <c r="C208" s="281"/>
      <c r="D208" s="281"/>
      <c r="E208" s="281" t="s">
        <v>162</v>
      </c>
      <c r="F208" s="281">
        <v>203000062</v>
      </c>
      <c r="G208" s="281">
        <v>3103010061</v>
      </c>
      <c r="H208" s="281" t="s">
        <v>223</v>
      </c>
      <c r="I208" s="281" t="s">
        <v>41</v>
      </c>
      <c r="J208" s="285">
        <v>264</v>
      </c>
      <c r="K208" s="285">
        <v>968</v>
      </c>
    </row>
    <row r="209" spans="1:11" ht="60" customHeight="1" x14ac:dyDescent="0.3">
      <c r="A209" s="281">
        <v>203</v>
      </c>
      <c r="B209" s="281" t="s">
        <v>11</v>
      </c>
      <c r="C209" s="281"/>
      <c r="D209" s="281"/>
      <c r="E209" s="281" t="s">
        <v>162</v>
      </c>
      <c r="F209" s="281">
        <v>203000063</v>
      </c>
      <c r="G209" s="281">
        <v>3103010062</v>
      </c>
      <c r="H209" s="281" t="s">
        <v>224</v>
      </c>
      <c r="I209" s="281" t="s">
        <v>41</v>
      </c>
      <c r="J209" s="285">
        <v>361</v>
      </c>
      <c r="K209" s="285">
        <v>1063</v>
      </c>
    </row>
    <row r="210" spans="1:11" ht="60" customHeight="1" x14ac:dyDescent="0.3">
      <c r="A210" s="281">
        <v>204</v>
      </c>
      <c r="B210" s="281" t="s">
        <v>11</v>
      </c>
      <c r="C210" s="281"/>
      <c r="D210" s="281"/>
      <c r="E210" s="281" t="s">
        <v>162</v>
      </c>
      <c r="F210" s="281">
        <v>203000064</v>
      </c>
      <c r="G210" s="281">
        <v>3103010063</v>
      </c>
      <c r="H210" s="281" t="s">
        <v>225</v>
      </c>
      <c r="I210" s="281" t="s">
        <v>41</v>
      </c>
      <c r="J210" s="285">
        <v>0</v>
      </c>
      <c r="K210" s="285">
        <v>922</v>
      </c>
    </row>
    <row r="211" spans="1:11" ht="60" customHeight="1" x14ac:dyDescent="0.3">
      <c r="A211" s="281">
        <v>205</v>
      </c>
      <c r="B211" s="281" t="s">
        <v>11</v>
      </c>
      <c r="C211" s="281"/>
      <c r="D211" s="281"/>
      <c r="E211" s="281" t="s">
        <v>162</v>
      </c>
      <c r="F211" s="281">
        <v>203000065</v>
      </c>
      <c r="G211" s="281">
        <v>3103010064</v>
      </c>
      <c r="H211" s="281" t="s">
        <v>226</v>
      </c>
      <c r="I211" s="281" t="s">
        <v>41</v>
      </c>
      <c r="J211" s="285">
        <v>0</v>
      </c>
      <c r="K211" s="285">
        <v>1586</v>
      </c>
    </row>
    <row r="212" spans="1:11" ht="60" customHeight="1" x14ac:dyDescent="0.3">
      <c r="A212" s="281">
        <v>206</v>
      </c>
      <c r="B212" s="281" t="s">
        <v>11</v>
      </c>
      <c r="C212" s="281"/>
      <c r="D212" s="281"/>
      <c r="E212" s="281" t="s">
        <v>162</v>
      </c>
      <c r="F212" s="281">
        <v>203000066</v>
      </c>
      <c r="G212" s="281">
        <v>3103010065</v>
      </c>
      <c r="H212" s="281" t="s">
        <v>227</v>
      </c>
      <c r="I212" s="281" t="s">
        <v>41</v>
      </c>
      <c r="J212" s="285">
        <v>0</v>
      </c>
      <c r="K212" s="285">
        <v>1005</v>
      </c>
    </row>
    <row r="213" spans="1:11" ht="75" customHeight="1" x14ac:dyDescent="0.3">
      <c r="A213" s="281">
        <v>207</v>
      </c>
      <c r="B213" s="281" t="s">
        <v>11</v>
      </c>
      <c r="C213" s="281"/>
      <c r="D213" s="281"/>
      <c r="E213" s="281" t="s">
        <v>162</v>
      </c>
      <c r="F213" s="281">
        <v>203000067</v>
      </c>
      <c r="G213" s="281">
        <v>3103010066</v>
      </c>
      <c r="H213" s="281" t="s">
        <v>228</v>
      </c>
      <c r="I213" s="281" t="s">
        <v>41</v>
      </c>
      <c r="J213" s="285">
        <v>202</v>
      </c>
      <c r="K213" s="285">
        <v>704</v>
      </c>
    </row>
    <row r="214" spans="1:11" ht="45" customHeight="1" x14ac:dyDescent="0.3">
      <c r="A214" s="281">
        <v>208</v>
      </c>
      <c r="B214" s="281" t="s">
        <v>11</v>
      </c>
      <c r="C214" s="281"/>
      <c r="D214" s="281"/>
      <c r="E214" s="281" t="s">
        <v>162</v>
      </c>
      <c r="F214" s="281">
        <v>203000068</v>
      </c>
      <c r="G214" s="281">
        <v>3103010067</v>
      </c>
      <c r="H214" s="281" t="s">
        <v>229</v>
      </c>
      <c r="I214" s="281" t="s">
        <v>41</v>
      </c>
      <c r="J214" s="285">
        <v>397</v>
      </c>
      <c r="K214" s="285">
        <v>746</v>
      </c>
    </row>
    <row r="215" spans="1:11" ht="45" customHeight="1" x14ac:dyDescent="0.3">
      <c r="A215" s="281">
        <v>209</v>
      </c>
      <c r="B215" s="281" t="s">
        <v>11</v>
      </c>
      <c r="C215" s="281"/>
      <c r="D215" s="281"/>
      <c r="E215" s="281" t="s">
        <v>162</v>
      </c>
      <c r="F215" s="281">
        <v>203000069</v>
      </c>
      <c r="G215" s="281">
        <v>3103010068</v>
      </c>
      <c r="H215" s="281" t="s">
        <v>230</v>
      </c>
      <c r="I215" s="281" t="s">
        <v>41</v>
      </c>
      <c r="J215" s="285">
        <v>0</v>
      </c>
      <c r="K215" s="285">
        <v>900</v>
      </c>
    </row>
    <row r="216" spans="1:11" ht="60" customHeight="1" x14ac:dyDescent="0.3">
      <c r="A216" s="281">
        <v>210</v>
      </c>
      <c r="B216" s="281" t="s">
        <v>11</v>
      </c>
      <c r="C216" s="281"/>
      <c r="D216" s="281"/>
      <c r="E216" s="281" t="s">
        <v>162</v>
      </c>
      <c r="F216" s="281">
        <v>203000070</v>
      </c>
      <c r="G216" s="281">
        <v>3103010069</v>
      </c>
      <c r="H216" s="281" t="s">
        <v>231</v>
      </c>
      <c r="I216" s="281" t="s">
        <v>41</v>
      </c>
      <c r="J216" s="285">
        <v>832</v>
      </c>
      <c r="K216" s="285">
        <v>455</v>
      </c>
    </row>
    <row r="217" spans="1:11" ht="60" customHeight="1" x14ac:dyDescent="0.3">
      <c r="A217" s="281">
        <v>211</v>
      </c>
      <c r="B217" s="281" t="s">
        <v>11</v>
      </c>
      <c r="C217" s="281"/>
      <c r="D217" s="281"/>
      <c r="E217" s="281" t="s">
        <v>162</v>
      </c>
      <c r="F217" s="281">
        <v>203000071</v>
      </c>
      <c r="G217" s="281">
        <v>3103010070</v>
      </c>
      <c r="H217" s="281" t="s">
        <v>232</v>
      </c>
      <c r="I217" s="281" t="s">
        <v>41</v>
      </c>
      <c r="J217" s="285">
        <v>309</v>
      </c>
      <c r="K217" s="285">
        <v>880</v>
      </c>
    </row>
    <row r="218" spans="1:11" ht="60" customHeight="1" x14ac:dyDescent="0.3">
      <c r="A218" s="281">
        <v>212</v>
      </c>
      <c r="B218" s="281" t="s">
        <v>11</v>
      </c>
      <c r="C218" s="281"/>
      <c r="D218" s="281"/>
      <c r="E218" s="281" t="s">
        <v>162</v>
      </c>
      <c r="F218" s="281">
        <v>203000072</v>
      </c>
      <c r="G218" s="281">
        <v>3103010071</v>
      </c>
      <c r="H218" s="281" t="s">
        <v>233</v>
      </c>
      <c r="I218" s="281" t="s">
        <v>41</v>
      </c>
      <c r="J218" s="285">
        <v>20</v>
      </c>
      <c r="K218" s="285">
        <v>802</v>
      </c>
    </row>
    <row r="219" spans="1:11" ht="30" customHeight="1" x14ac:dyDescent="0.3">
      <c r="A219" s="281">
        <v>213</v>
      </c>
      <c r="B219" s="281" t="s">
        <v>11</v>
      </c>
      <c r="C219" s="281"/>
      <c r="D219" s="281"/>
      <c r="E219" s="281" t="s">
        <v>162</v>
      </c>
      <c r="F219" s="281">
        <v>203000073</v>
      </c>
      <c r="G219" s="281">
        <v>3103010072</v>
      </c>
      <c r="H219" s="281" t="s">
        <v>234</v>
      </c>
      <c r="I219" s="281" t="s">
        <v>41</v>
      </c>
      <c r="J219" s="285">
        <v>65</v>
      </c>
      <c r="K219" s="285">
        <v>920</v>
      </c>
    </row>
    <row r="220" spans="1:11" ht="60" customHeight="1" x14ac:dyDescent="0.3">
      <c r="A220" s="281">
        <v>214</v>
      </c>
      <c r="B220" s="281" t="s">
        <v>11</v>
      </c>
      <c r="C220" s="281"/>
      <c r="D220" s="281"/>
      <c r="E220" s="281" t="s">
        <v>162</v>
      </c>
      <c r="F220" s="281">
        <v>203000074</v>
      </c>
      <c r="G220" s="281">
        <v>3103010073</v>
      </c>
      <c r="H220" s="281" t="s">
        <v>235</v>
      </c>
      <c r="I220" s="281" t="s">
        <v>41</v>
      </c>
      <c r="J220" s="285">
        <v>651</v>
      </c>
      <c r="K220" s="285">
        <v>171</v>
      </c>
    </row>
    <row r="221" spans="1:11" ht="45" customHeight="1" x14ac:dyDescent="0.3">
      <c r="A221" s="281">
        <v>215</v>
      </c>
      <c r="B221" s="281" t="s">
        <v>11</v>
      </c>
      <c r="C221" s="281"/>
      <c r="D221" s="281"/>
      <c r="E221" s="281" t="s">
        <v>162</v>
      </c>
      <c r="F221" s="281">
        <v>203000075</v>
      </c>
      <c r="G221" s="281">
        <v>3103010074</v>
      </c>
      <c r="H221" s="281" t="s">
        <v>236</v>
      </c>
      <c r="I221" s="281" t="s">
        <v>41</v>
      </c>
      <c r="J221" s="285">
        <v>1037</v>
      </c>
      <c r="K221" s="285">
        <v>656</v>
      </c>
    </row>
    <row r="222" spans="1:11" ht="45" customHeight="1" x14ac:dyDescent="0.3">
      <c r="A222" s="281">
        <v>216</v>
      </c>
      <c r="B222" s="281" t="s">
        <v>11</v>
      </c>
      <c r="C222" s="281"/>
      <c r="D222" s="281"/>
      <c r="E222" s="281" t="s">
        <v>162</v>
      </c>
      <c r="F222" s="281">
        <v>203000076</v>
      </c>
      <c r="G222" s="281">
        <v>3103010075</v>
      </c>
      <c r="H222" s="281" t="s">
        <v>237</v>
      </c>
      <c r="I222" s="281" t="s">
        <v>41</v>
      </c>
      <c r="J222" s="285">
        <v>0</v>
      </c>
      <c r="K222" s="285">
        <v>900</v>
      </c>
    </row>
    <row r="223" spans="1:11" ht="45" customHeight="1" x14ac:dyDescent="0.3">
      <c r="A223" s="281">
        <v>217</v>
      </c>
      <c r="B223" s="281" t="s">
        <v>11</v>
      </c>
      <c r="C223" s="281"/>
      <c r="D223" s="281"/>
      <c r="E223" s="281" t="s">
        <v>162</v>
      </c>
      <c r="F223" s="281">
        <v>203000077</v>
      </c>
      <c r="G223" s="281">
        <v>3103010076</v>
      </c>
      <c r="H223" s="281" t="s">
        <v>238</v>
      </c>
      <c r="I223" s="281" t="s">
        <v>41</v>
      </c>
      <c r="J223" s="285">
        <v>0</v>
      </c>
      <c r="K223" s="285">
        <v>900</v>
      </c>
    </row>
    <row r="224" spans="1:11" ht="30" customHeight="1" x14ac:dyDescent="0.3">
      <c r="A224" s="281">
        <v>218</v>
      </c>
      <c r="B224" s="281" t="s">
        <v>11</v>
      </c>
      <c r="C224" s="281"/>
      <c r="D224" s="281"/>
      <c r="E224" s="281" t="s">
        <v>162</v>
      </c>
      <c r="F224" s="281">
        <v>203000078</v>
      </c>
      <c r="G224" s="281">
        <v>3103010077</v>
      </c>
      <c r="H224" s="281" t="s">
        <v>239</v>
      </c>
      <c r="I224" s="281" t="s">
        <v>41</v>
      </c>
      <c r="J224" s="285">
        <v>0</v>
      </c>
      <c r="K224" s="285">
        <v>900</v>
      </c>
    </row>
    <row r="225" spans="1:11" ht="30" customHeight="1" x14ac:dyDescent="0.3">
      <c r="A225" s="281">
        <v>219</v>
      </c>
      <c r="B225" s="281" t="s">
        <v>11</v>
      </c>
      <c r="C225" s="281"/>
      <c r="D225" s="281"/>
      <c r="E225" s="281" t="s">
        <v>240</v>
      </c>
      <c r="F225" s="281">
        <v>1800100035</v>
      </c>
      <c r="G225" s="281">
        <v>312024211310243</v>
      </c>
      <c r="H225" s="281" t="s">
        <v>241</v>
      </c>
      <c r="I225" s="281" t="s">
        <v>41</v>
      </c>
      <c r="J225" s="285">
        <v>0</v>
      </c>
      <c r="K225" s="285">
        <v>2</v>
      </c>
    </row>
    <row r="226" spans="1:11" ht="75" customHeight="1" x14ac:dyDescent="0.3">
      <c r="A226" s="281">
        <v>220</v>
      </c>
      <c r="B226" s="281" t="s">
        <v>11</v>
      </c>
      <c r="C226" s="281"/>
      <c r="D226" s="281"/>
      <c r="E226" s="281" t="s">
        <v>242</v>
      </c>
      <c r="F226" s="281">
        <v>1800100006</v>
      </c>
      <c r="G226" s="281">
        <v>313224511310244</v>
      </c>
      <c r="H226" s="281" t="s">
        <v>242</v>
      </c>
      <c r="I226" s="281" t="s">
        <v>41</v>
      </c>
      <c r="J226" s="285">
        <v>0</v>
      </c>
      <c r="K226" s="285">
        <v>1</v>
      </c>
    </row>
    <row r="227" spans="1:11" ht="45" customHeight="1" x14ac:dyDescent="0.3">
      <c r="A227" s="281">
        <v>221</v>
      </c>
      <c r="B227" s="281" t="s">
        <v>11</v>
      </c>
      <c r="C227" s="281"/>
      <c r="D227" s="281"/>
      <c r="E227" s="281" t="s">
        <v>243</v>
      </c>
      <c r="F227" s="281">
        <v>300300002</v>
      </c>
      <c r="G227" s="281">
        <v>3201010002</v>
      </c>
      <c r="H227" s="281" t="s">
        <v>244</v>
      </c>
      <c r="I227" s="281" t="s">
        <v>41</v>
      </c>
      <c r="J227" s="285">
        <v>199105</v>
      </c>
      <c r="K227" s="285">
        <v>26294</v>
      </c>
    </row>
    <row r="228" spans="1:11" ht="45" customHeight="1" x14ac:dyDescent="0.3">
      <c r="A228" s="281">
        <v>222</v>
      </c>
      <c r="B228" s="281" t="s">
        <v>11</v>
      </c>
      <c r="C228" s="281"/>
      <c r="D228" s="281"/>
      <c r="E228" s="281" t="s">
        <v>243</v>
      </c>
      <c r="F228" s="281">
        <v>300300003</v>
      </c>
      <c r="G228" s="281">
        <v>3201010003</v>
      </c>
      <c r="H228" s="281" t="s">
        <v>245</v>
      </c>
      <c r="I228" s="281" t="s">
        <v>41</v>
      </c>
      <c r="J228" s="285">
        <v>50680</v>
      </c>
      <c r="K228" s="285">
        <v>20198.400000000001</v>
      </c>
    </row>
    <row r="229" spans="1:11" ht="45" customHeight="1" x14ac:dyDescent="0.3">
      <c r="A229" s="281">
        <v>223</v>
      </c>
      <c r="B229" s="281" t="s">
        <v>11</v>
      </c>
      <c r="C229" s="281"/>
      <c r="D229" s="281"/>
      <c r="E229" s="281" t="s">
        <v>243</v>
      </c>
      <c r="F229" s="281">
        <v>300300004</v>
      </c>
      <c r="G229" s="281">
        <v>3201010004</v>
      </c>
      <c r="H229" s="281" t="s">
        <v>246</v>
      </c>
      <c r="I229" s="281" t="s">
        <v>41</v>
      </c>
      <c r="J229" s="285">
        <v>91925</v>
      </c>
      <c r="K229" s="285">
        <v>10858</v>
      </c>
    </row>
    <row r="230" spans="1:11" ht="75" customHeight="1" x14ac:dyDescent="0.3">
      <c r="A230" s="281">
        <v>224</v>
      </c>
      <c r="B230" s="281" t="s">
        <v>11</v>
      </c>
      <c r="C230" s="281"/>
      <c r="D230" s="281"/>
      <c r="E230" s="281" t="s">
        <v>243</v>
      </c>
      <c r="F230" s="281">
        <v>300300005</v>
      </c>
      <c r="G230" s="281">
        <v>3201010005</v>
      </c>
      <c r="H230" s="281" t="s">
        <v>247</v>
      </c>
      <c r="I230" s="281" t="s">
        <v>41</v>
      </c>
      <c r="J230" s="285">
        <v>0</v>
      </c>
      <c r="K230" s="285">
        <v>868</v>
      </c>
    </row>
    <row r="231" spans="1:11" ht="60" customHeight="1" x14ac:dyDescent="0.3">
      <c r="A231" s="281">
        <v>225</v>
      </c>
      <c r="B231" s="281" t="s">
        <v>11</v>
      </c>
      <c r="C231" s="281"/>
      <c r="D231" s="281"/>
      <c r="E231" s="281" t="s">
        <v>243</v>
      </c>
      <c r="F231" s="281">
        <v>300300006</v>
      </c>
      <c r="G231" s="281">
        <v>3201010006</v>
      </c>
      <c r="H231" s="281" t="s">
        <v>248</v>
      </c>
      <c r="I231" s="281" t="s">
        <v>41</v>
      </c>
      <c r="J231" s="285">
        <v>5250</v>
      </c>
      <c r="K231" s="285">
        <v>757</v>
      </c>
    </row>
    <row r="232" spans="1:11" ht="45" customHeight="1" x14ac:dyDescent="0.3">
      <c r="A232" s="281">
        <v>226</v>
      </c>
      <c r="B232" s="281" t="s">
        <v>11</v>
      </c>
      <c r="C232" s="281"/>
      <c r="D232" s="281"/>
      <c r="E232" s="281" t="s">
        <v>243</v>
      </c>
      <c r="F232" s="281">
        <v>300300007</v>
      </c>
      <c r="G232" s="281">
        <v>3201010007</v>
      </c>
      <c r="H232" s="281" t="s">
        <v>249</v>
      </c>
      <c r="I232" s="281" t="s">
        <v>41</v>
      </c>
      <c r="J232" s="285">
        <v>7500</v>
      </c>
      <c r="K232" s="285">
        <v>4828</v>
      </c>
    </row>
    <row r="233" spans="1:11" ht="45" customHeight="1" x14ac:dyDescent="0.3">
      <c r="A233" s="281">
        <v>227</v>
      </c>
      <c r="B233" s="281" t="s">
        <v>11</v>
      </c>
      <c r="C233" s="281"/>
      <c r="D233" s="281"/>
      <c r="E233" s="281" t="s">
        <v>243</v>
      </c>
      <c r="F233" s="281">
        <v>300300008</v>
      </c>
      <c r="G233" s="281">
        <v>3201010008</v>
      </c>
      <c r="H233" s="281" t="s">
        <v>250</v>
      </c>
      <c r="I233" s="281" t="s">
        <v>41</v>
      </c>
      <c r="J233" s="285">
        <v>11750</v>
      </c>
      <c r="K233" s="285">
        <v>2143</v>
      </c>
    </row>
    <row r="234" spans="1:11" ht="45" customHeight="1" x14ac:dyDescent="0.3">
      <c r="A234" s="281">
        <v>228</v>
      </c>
      <c r="B234" s="281" t="s">
        <v>11</v>
      </c>
      <c r="C234" s="281"/>
      <c r="D234" s="281"/>
      <c r="E234" s="281" t="s">
        <v>243</v>
      </c>
      <c r="F234" s="281">
        <v>300300009</v>
      </c>
      <c r="G234" s="281">
        <v>3201010009</v>
      </c>
      <c r="H234" s="281" t="s">
        <v>251</v>
      </c>
      <c r="I234" s="281" t="s">
        <v>41</v>
      </c>
      <c r="J234" s="285">
        <v>5000</v>
      </c>
      <c r="K234" s="285">
        <v>5370</v>
      </c>
    </row>
    <row r="235" spans="1:11" ht="45" customHeight="1" x14ac:dyDescent="0.3">
      <c r="A235" s="281">
        <v>229</v>
      </c>
      <c r="B235" s="281" t="s">
        <v>11</v>
      </c>
      <c r="C235" s="281"/>
      <c r="D235" s="281"/>
      <c r="E235" s="281" t="s">
        <v>243</v>
      </c>
      <c r="F235" s="281">
        <v>300300010</v>
      </c>
      <c r="G235" s="281">
        <v>3201010010</v>
      </c>
      <c r="H235" s="281" t="s">
        <v>252</v>
      </c>
      <c r="I235" s="281" t="s">
        <v>41</v>
      </c>
      <c r="J235" s="285">
        <v>80500</v>
      </c>
      <c r="K235" s="285">
        <v>54606</v>
      </c>
    </row>
    <row r="236" spans="1:11" ht="60" customHeight="1" x14ac:dyDescent="0.3">
      <c r="A236" s="281">
        <v>230</v>
      </c>
      <c r="B236" s="281" t="s">
        <v>11</v>
      </c>
      <c r="C236" s="281"/>
      <c r="D236" s="281"/>
      <c r="E236" s="281" t="s">
        <v>243</v>
      </c>
      <c r="F236" s="281">
        <v>300300011</v>
      </c>
      <c r="G236" s="281">
        <v>3201010011</v>
      </c>
      <c r="H236" s="281" t="s">
        <v>253</v>
      </c>
      <c r="I236" s="281" t="s">
        <v>41</v>
      </c>
      <c r="J236" s="285">
        <v>12200</v>
      </c>
      <c r="K236" s="285">
        <v>8552</v>
      </c>
    </row>
    <row r="237" spans="1:11" ht="60" customHeight="1" x14ac:dyDescent="0.3">
      <c r="A237" s="281">
        <v>231</v>
      </c>
      <c r="B237" s="281" t="s">
        <v>11</v>
      </c>
      <c r="C237" s="281"/>
      <c r="D237" s="281"/>
      <c r="E237" s="281" t="s">
        <v>243</v>
      </c>
      <c r="F237" s="281">
        <v>300300013</v>
      </c>
      <c r="G237" s="281">
        <v>3201010013</v>
      </c>
      <c r="H237" s="281" t="s">
        <v>254</v>
      </c>
      <c r="I237" s="281" t="s">
        <v>41</v>
      </c>
      <c r="J237" s="285">
        <v>37500</v>
      </c>
      <c r="K237" s="285">
        <v>22440</v>
      </c>
    </row>
    <row r="238" spans="1:11" ht="45" customHeight="1" x14ac:dyDescent="0.3">
      <c r="A238" s="281">
        <v>232</v>
      </c>
      <c r="B238" s="281" t="s">
        <v>11</v>
      </c>
      <c r="C238" s="281"/>
      <c r="D238" s="281"/>
      <c r="E238" s="281" t="s">
        <v>243</v>
      </c>
      <c r="F238" s="281">
        <v>300300014</v>
      </c>
      <c r="G238" s="281">
        <v>3201010014</v>
      </c>
      <c r="H238" s="281" t="s">
        <v>255</v>
      </c>
      <c r="I238" s="281" t="s">
        <v>41</v>
      </c>
      <c r="J238" s="285">
        <v>50500</v>
      </c>
      <c r="K238" s="285">
        <v>39511</v>
      </c>
    </row>
    <row r="239" spans="1:11" ht="45" customHeight="1" x14ac:dyDescent="0.3">
      <c r="A239" s="281">
        <v>233</v>
      </c>
      <c r="B239" s="281" t="s">
        <v>11</v>
      </c>
      <c r="C239" s="281"/>
      <c r="D239" s="281"/>
      <c r="E239" s="281" t="s">
        <v>243</v>
      </c>
      <c r="F239" s="281">
        <v>300300015</v>
      </c>
      <c r="G239" s="281">
        <v>3201010015</v>
      </c>
      <c r="H239" s="281" t="s">
        <v>256</v>
      </c>
      <c r="I239" s="281" t="s">
        <v>41</v>
      </c>
      <c r="J239" s="285">
        <v>58490</v>
      </c>
      <c r="K239" s="285">
        <v>17067</v>
      </c>
    </row>
    <row r="240" spans="1:11" ht="45" customHeight="1" x14ac:dyDescent="0.3">
      <c r="A240" s="281">
        <v>234</v>
      </c>
      <c r="B240" s="281" t="s">
        <v>11</v>
      </c>
      <c r="C240" s="281"/>
      <c r="D240" s="281"/>
      <c r="E240" s="281" t="s">
        <v>243</v>
      </c>
      <c r="F240" s="281">
        <v>300300016</v>
      </c>
      <c r="G240" s="281">
        <v>3201010016</v>
      </c>
      <c r="H240" s="281" t="s">
        <v>257</v>
      </c>
      <c r="I240" s="281" t="s">
        <v>41</v>
      </c>
      <c r="J240" s="285">
        <v>5000</v>
      </c>
      <c r="K240" s="285">
        <v>5351</v>
      </c>
    </row>
    <row r="241" spans="1:11" ht="60" customHeight="1" x14ac:dyDescent="0.3">
      <c r="A241" s="281">
        <v>235</v>
      </c>
      <c r="B241" s="281" t="s">
        <v>11</v>
      </c>
      <c r="C241" s="281"/>
      <c r="D241" s="281"/>
      <c r="E241" s="281" t="s">
        <v>243</v>
      </c>
      <c r="F241" s="281">
        <v>300300017</v>
      </c>
      <c r="G241" s="281">
        <v>3201010017</v>
      </c>
      <c r="H241" s="281" t="s">
        <v>258</v>
      </c>
      <c r="I241" s="281" t="s">
        <v>41</v>
      </c>
      <c r="J241" s="285">
        <v>2200</v>
      </c>
      <c r="K241" s="285">
        <v>827</v>
      </c>
    </row>
    <row r="242" spans="1:11" ht="60" customHeight="1" x14ac:dyDescent="0.3">
      <c r="A242" s="281">
        <v>236</v>
      </c>
      <c r="B242" s="281" t="s">
        <v>11</v>
      </c>
      <c r="C242" s="281"/>
      <c r="D242" s="281"/>
      <c r="E242" s="281" t="s">
        <v>243</v>
      </c>
      <c r="F242" s="281">
        <v>300300018</v>
      </c>
      <c r="G242" s="281">
        <v>3201010018</v>
      </c>
      <c r="H242" s="281" t="s">
        <v>259</v>
      </c>
      <c r="I242" s="281" t="s">
        <v>41</v>
      </c>
      <c r="J242" s="285">
        <v>0</v>
      </c>
      <c r="K242" s="285">
        <v>6986</v>
      </c>
    </row>
    <row r="243" spans="1:11" ht="75" customHeight="1" x14ac:dyDescent="0.3">
      <c r="A243" s="281">
        <v>237</v>
      </c>
      <c r="B243" s="281" t="s">
        <v>11</v>
      </c>
      <c r="C243" s="281"/>
      <c r="D243" s="281"/>
      <c r="E243" s="281" t="s">
        <v>243</v>
      </c>
      <c r="F243" s="281">
        <v>300300019</v>
      </c>
      <c r="G243" s="281">
        <v>3201010019</v>
      </c>
      <c r="H243" s="281" t="s">
        <v>260</v>
      </c>
      <c r="I243" s="281" t="s">
        <v>41</v>
      </c>
      <c r="J243" s="285">
        <v>750</v>
      </c>
      <c r="K243" s="285">
        <v>3022</v>
      </c>
    </row>
    <row r="244" spans="1:11" ht="45" customHeight="1" x14ac:dyDescent="0.3">
      <c r="A244" s="281">
        <v>238</v>
      </c>
      <c r="B244" s="281" t="s">
        <v>11</v>
      </c>
      <c r="C244" s="281"/>
      <c r="D244" s="281"/>
      <c r="E244" s="281" t="s">
        <v>243</v>
      </c>
      <c r="F244" s="281">
        <v>300300020</v>
      </c>
      <c r="G244" s="281">
        <v>3201010020</v>
      </c>
      <c r="H244" s="281" t="s">
        <v>261</v>
      </c>
      <c r="I244" s="281" t="s">
        <v>41</v>
      </c>
      <c r="J244" s="285">
        <v>3474</v>
      </c>
      <c r="K244" s="285">
        <v>50</v>
      </c>
    </row>
    <row r="245" spans="1:11" ht="60" customHeight="1" x14ac:dyDescent="0.3">
      <c r="A245" s="281">
        <v>239</v>
      </c>
      <c r="B245" s="281" t="s">
        <v>11</v>
      </c>
      <c r="C245" s="281"/>
      <c r="D245" s="281"/>
      <c r="E245" s="281" t="s">
        <v>243</v>
      </c>
      <c r="F245" s="281">
        <v>300300021</v>
      </c>
      <c r="G245" s="281">
        <v>3201010021</v>
      </c>
      <c r="H245" s="281" t="s">
        <v>262</v>
      </c>
      <c r="I245" s="281" t="s">
        <v>41</v>
      </c>
      <c r="J245" s="285">
        <v>149</v>
      </c>
      <c r="K245" s="285">
        <v>5137</v>
      </c>
    </row>
    <row r="246" spans="1:11" ht="90" customHeight="1" x14ac:dyDescent="0.3">
      <c r="A246" s="281">
        <v>240</v>
      </c>
      <c r="B246" s="281" t="s">
        <v>11</v>
      </c>
      <c r="C246" s="281"/>
      <c r="D246" s="281"/>
      <c r="E246" s="281" t="s">
        <v>243</v>
      </c>
      <c r="F246" s="281">
        <v>300300022</v>
      </c>
      <c r="G246" s="281">
        <v>3201010022</v>
      </c>
      <c r="H246" s="281" t="s">
        <v>263</v>
      </c>
      <c r="I246" s="281" t="s">
        <v>41</v>
      </c>
      <c r="J246" s="285">
        <v>1500</v>
      </c>
      <c r="K246" s="285">
        <v>57</v>
      </c>
    </row>
    <row r="247" spans="1:11" ht="75" customHeight="1" x14ac:dyDescent="0.3">
      <c r="A247" s="281">
        <v>241</v>
      </c>
      <c r="B247" s="281" t="s">
        <v>11</v>
      </c>
      <c r="C247" s="281"/>
      <c r="D247" s="281"/>
      <c r="E247" s="281" t="s">
        <v>243</v>
      </c>
      <c r="F247" s="281">
        <v>300300023</v>
      </c>
      <c r="G247" s="281">
        <v>3201010023</v>
      </c>
      <c r="H247" s="281" t="s">
        <v>264</v>
      </c>
      <c r="I247" s="281" t="s">
        <v>41</v>
      </c>
      <c r="J247" s="285">
        <v>0</v>
      </c>
      <c r="K247" s="285">
        <v>0</v>
      </c>
    </row>
    <row r="248" spans="1:11" ht="75" customHeight="1" x14ac:dyDescent="0.3">
      <c r="A248" s="281">
        <v>242</v>
      </c>
      <c r="B248" s="281" t="s">
        <v>11</v>
      </c>
      <c r="C248" s="281"/>
      <c r="D248" s="281"/>
      <c r="E248" s="281" t="s">
        <v>243</v>
      </c>
      <c r="F248" s="281">
        <v>300300024</v>
      </c>
      <c r="G248" s="281">
        <v>3201010024</v>
      </c>
      <c r="H248" s="281" t="s">
        <v>265</v>
      </c>
      <c r="I248" s="281" t="s">
        <v>41</v>
      </c>
      <c r="J248" s="285">
        <v>0</v>
      </c>
      <c r="K248" s="285">
        <v>273</v>
      </c>
    </row>
    <row r="249" spans="1:11" ht="105" customHeight="1" x14ac:dyDescent="0.3">
      <c r="A249" s="281">
        <v>243</v>
      </c>
      <c r="B249" s="281" t="s">
        <v>11</v>
      </c>
      <c r="C249" s="281"/>
      <c r="D249" s="281"/>
      <c r="E249" s="281" t="s">
        <v>243</v>
      </c>
      <c r="F249" s="281">
        <v>300300026</v>
      </c>
      <c r="G249" s="281">
        <v>3201010026</v>
      </c>
      <c r="H249" s="281" t="s">
        <v>266</v>
      </c>
      <c r="I249" s="281" t="s">
        <v>41</v>
      </c>
      <c r="J249" s="285">
        <v>2044</v>
      </c>
      <c r="K249" s="285">
        <v>125</v>
      </c>
    </row>
    <row r="250" spans="1:11" ht="90" customHeight="1" x14ac:dyDescent="0.3">
      <c r="A250" s="281">
        <v>244</v>
      </c>
      <c r="B250" s="281" t="s">
        <v>11</v>
      </c>
      <c r="C250" s="281"/>
      <c r="D250" s="281"/>
      <c r="E250" s="281" t="s">
        <v>243</v>
      </c>
      <c r="F250" s="281">
        <v>300300027</v>
      </c>
      <c r="G250" s="281">
        <v>3201010027</v>
      </c>
      <c r="H250" s="281" t="s">
        <v>267</v>
      </c>
      <c r="I250" s="281" t="s">
        <v>41</v>
      </c>
      <c r="J250" s="285">
        <v>548</v>
      </c>
      <c r="K250" s="285">
        <v>72</v>
      </c>
    </row>
    <row r="251" spans="1:11" ht="90" customHeight="1" x14ac:dyDescent="0.3">
      <c r="A251" s="281">
        <v>245</v>
      </c>
      <c r="B251" s="281" t="s">
        <v>11</v>
      </c>
      <c r="C251" s="281"/>
      <c r="D251" s="281"/>
      <c r="E251" s="281" t="s">
        <v>243</v>
      </c>
      <c r="F251" s="281">
        <v>300300028</v>
      </c>
      <c r="G251" s="281">
        <v>3201010028</v>
      </c>
      <c r="H251" s="281" t="s">
        <v>268</v>
      </c>
      <c r="I251" s="281" t="s">
        <v>41</v>
      </c>
      <c r="J251" s="285">
        <v>671</v>
      </c>
      <c r="K251" s="285">
        <v>1593</v>
      </c>
    </row>
    <row r="252" spans="1:11" ht="90" customHeight="1" x14ac:dyDescent="0.3">
      <c r="A252" s="281">
        <v>246</v>
      </c>
      <c r="B252" s="281" t="s">
        <v>11</v>
      </c>
      <c r="C252" s="281"/>
      <c r="D252" s="281"/>
      <c r="E252" s="281" t="s">
        <v>243</v>
      </c>
      <c r="F252" s="281">
        <v>300300029</v>
      </c>
      <c r="G252" s="281">
        <v>3201010029</v>
      </c>
      <c r="H252" s="281" t="s">
        <v>269</v>
      </c>
      <c r="I252" s="281" t="s">
        <v>41</v>
      </c>
      <c r="J252" s="285">
        <v>3278</v>
      </c>
      <c r="K252" s="285">
        <v>2109</v>
      </c>
    </row>
    <row r="253" spans="1:11" ht="90" customHeight="1" x14ac:dyDescent="0.3">
      <c r="A253" s="281">
        <v>247</v>
      </c>
      <c r="B253" s="281" t="s">
        <v>11</v>
      </c>
      <c r="C253" s="281"/>
      <c r="D253" s="281"/>
      <c r="E253" s="281" t="s">
        <v>243</v>
      </c>
      <c r="F253" s="281">
        <v>300300030</v>
      </c>
      <c r="G253" s="281">
        <v>3201010030</v>
      </c>
      <c r="H253" s="281" t="s">
        <v>270</v>
      </c>
      <c r="I253" s="281" t="s">
        <v>41</v>
      </c>
      <c r="J253" s="285">
        <v>1500</v>
      </c>
      <c r="K253" s="285">
        <v>3580</v>
      </c>
    </row>
    <row r="254" spans="1:11" ht="75" customHeight="1" x14ac:dyDescent="0.3">
      <c r="A254" s="281">
        <v>248</v>
      </c>
      <c r="B254" s="281" t="s">
        <v>11</v>
      </c>
      <c r="C254" s="281"/>
      <c r="D254" s="281"/>
      <c r="E254" s="281" t="s">
        <v>243</v>
      </c>
      <c r="F254" s="281">
        <v>300300031</v>
      </c>
      <c r="G254" s="281">
        <v>3201010031</v>
      </c>
      <c r="H254" s="281" t="s">
        <v>271</v>
      </c>
      <c r="I254" s="281" t="s">
        <v>41</v>
      </c>
      <c r="J254" s="285">
        <v>65</v>
      </c>
      <c r="K254" s="285">
        <v>0</v>
      </c>
    </row>
    <row r="255" spans="1:11" ht="75" customHeight="1" x14ac:dyDescent="0.3">
      <c r="A255" s="281">
        <v>249</v>
      </c>
      <c r="B255" s="281" t="s">
        <v>11</v>
      </c>
      <c r="C255" s="281"/>
      <c r="D255" s="281"/>
      <c r="E255" s="281" t="s">
        <v>243</v>
      </c>
      <c r="F255" s="281">
        <v>300300032</v>
      </c>
      <c r="G255" s="281">
        <v>3201010032</v>
      </c>
      <c r="H255" s="281" t="s">
        <v>272</v>
      </c>
      <c r="I255" s="281" t="s">
        <v>41</v>
      </c>
      <c r="J255" s="285">
        <v>0</v>
      </c>
      <c r="K255" s="285">
        <v>71</v>
      </c>
    </row>
    <row r="256" spans="1:11" ht="105" customHeight="1" x14ac:dyDescent="0.3">
      <c r="A256" s="281">
        <v>250</v>
      </c>
      <c r="B256" s="281" t="s">
        <v>11</v>
      </c>
      <c r="C256" s="281"/>
      <c r="D256" s="281"/>
      <c r="E256" s="281" t="s">
        <v>243</v>
      </c>
      <c r="F256" s="281">
        <v>300300034</v>
      </c>
      <c r="G256" s="281">
        <v>3201010034</v>
      </c>
      <c r="H256" s="281" t="s">
        <v>273</v>
      </c>
      <c r="I256" s="281" t="s">
        <v>41</v>
      </c>
      <c r="J256" s="285">
        <v>464</v>
      </c>
      <c r="K256" s="285">
        <v>34</v>
      </c>
    </row>
    <row r="257" spans="1:11" ht="90" customHeight="1" x14ac:dyDescent="0.3">
      <c r="A257" s="281">
        <v>251</v>
      </c>
      <c r="B257" s="281" t="s">
        <v>11</v>
      </c>
      <c r="C257" s="281"/>
      <c r="D257" s="281"/>
      <c r="E257" s="281" t="s">
        <v>243</v>
      </c>
      <c r="F257" s="281">
        <v>300300035</v>
      </c>
      <c r="G257" s="281">
        <v>3201010035</v>
      </c>
      <c r="H257" s="281" t="s">
        <v>274</v>
      </c>
      <c r="I257" s="281" t="s">
        <v>41</v>
      </c>
      <c r="J257" s="285">
        <v>15</v>
      </c>
      <c r="K257" s="285">
        <v>0</v>
      </c>
    </row>
    <row r="258" spans="1:11" ht="90" customHeight="1" x14ac:dyDescent="0.3">
      <c r="A258" s="281">
        <v>252</v>
      </c>
      <c r="B258" s="281" t="s">
        <v>11</v>
      </c>
      <c r="C258" s="281"/>
      <c r="D258" s="281"/>
      <c r="E258" s="281" t="s">
        <v>243</v>
      </c>
      <c r="F258" s="281">
        <v>300300036</v>
      </c>
      <c r="G258" s="281">
        <v>3201010036</v>
      </c>
      <c r="H258" s="281" t="s">
        <v>275</v>
      </c>
      <c r="I258" s="281" t="s">
        <v>41</v>
      </c>
      <c r="J258" s="285">
        <v>1080</v>
      </c>
      <c r="K258" s="285">
        <v>0</v>
      </c>
    </row>
    <row r="259" spans="1:11" ht="90" customHeight="1" x14ac:dyDescent="0.3">
      <c r="A259" s="281">
        <v>253</v>
      </c>
      <c r="B259" s="281" t="s">
        <v>11</v>
      </c>
      <c r="C259" s="281"/>
      <c r="D259" s="281"/>
      <c r="E259" s="281" t="s">
        <v>243</v>
      </c>
      <c r="F259" s="281">
        <v>300300037</v>
      </c>
      <c r="G259" s="281">
        <v>3201010037</v>
      </c>
      <c r="H259" s="281" t="s">
        <v>276</v>
      </c>
      <c r="I259" s="281" t="s">
        <v>14</v>
      </c>
      <c r="J259" s="285">
        <v>750</v>
      </c>
      <c r="K259" s="285">
        <v>90.197000000000003</v>
      </c>
    </row>
    <row r="260" spans="1:11" ht="90" customHeight="1" x14ac:dyDescent="0.3">
      <c r="A260" s="281">
        <v>254</v>
      </c>
      <c r="B260" s="281" t="s">
        <v>11</v>
      </c>
      <c r="C260" s="281"/>
      <c r="D260" s="281"/>
      <c r="E260" s="281" t="s">
        <v>243</v>
      </c>
      <c r="F260" s="281">
        <v>300300038</v>
      </c>
      <c r="G260" s="281">
        <v>3201010038</v>
      </c>
      <c r="H260" s="281" t="s">
        <v>277</v>
      </c>
      <c r="I260" s="281" t="s">
        <v>14</v>
      </c>
      <c r="J260" s="285">
        <v>406.7</v>
      </c>
      <c r="K260" s="285">
        <v>96.34</v>
      </c>
    </row>
    <row r="261" spans="1:11" ht="90" customHeight="1" x14ac:dyDescent="0.3">
      <c r="A261" s="281">
        <v>255</v>
      </c>
      <c r="B261" s="281" t="s">
        <v>11</v>
      </c>
      <c r="C261" s="281"/>
      <c r="D261" s="281"/>
      <c r="E261" s="281" t="s">
        <v>243</v>
      </c>
      <c r="F261" s="281">
        <v>300300039</v>
      </c>
      <c r="G261" s="281">
        <v>3201010039</v>
      </c>
      <c r="H261" s="281" t="s">
        <v>278</v>
      </c>
      <c r="I261" s="281" t="s">
        <v>14</v>
      </c>
      <c r="J261" s="285">
        <v>429.99900000000002</v>
      </c>
      <c r="K261" s="285">
        <v>105.235</v>
      </c>
    </row>
    <row r="262" spans="1:11" ht="90" customHeight="1" x14ac:dyDescent="0.3">
      <c r="A262" s="281">
        <v>256</v>
      </c>
      <c r="B262" s="281" t="s">
        <v>11</v>
      </c>
      <c r="C262" s="281"/>
      <c r="D262" s="281"/>
      <c r="E262" s="281" t="s">
        <v>243</v>
      </c>
      <c r="F262" s="281">
        <v>300300040</v>
      </c>
      <c r="G262" s="281">
        <v>3201010040</v>
      </c>
      <c r="H262" s="281" t="s">
        <v>279</v>
      </c>
      <c r="I262" s="281" t="s">
        <v>14</v>
      </c>
      <c r="J262" s="285">
        <v>150.00399999999999</v>
      </c>
      <c r="K262" s="285">
        <v>10.507999999999999</v>
      </c>
    </row>
    <row r="263" spans="1:11" ht="90" customHeight="1" x14ac:dyDescent="0.3">
      <c r="A263" s="281">
        <v>257</v>
      </c>
      <c r="B263" s="281" t="s">
        <v>11</v>
      </c>
      <c r="C263" s="281"/>
      <c r="D263" s="281"/>
      <c r="E263" s="281" t="s">
        <v>243</v>
      </c>
      <c r="F263" s="281">
        <v>300300041</v>
      </c>
      <c r="G263" s="281">
        <v>3201010041</v>
      </c>
      <c r="H263" s="281" t="s">
        <v>280</v>
      </c>
      <c r="I263" s="281" t="s">
        <v>14</v>
      </c>
      <c r="J263" s="285">
        <v>200.00200000000001</v>
      </c>
      <c r="K263" s="285">
        <v>40.134999999999998</v>
      </c>
    </row>
    <row r="264" spans="1:11" ht="90" customHeight="1" x14ac:dyDescent="0.3">
      <c r="A264" s="281">
        <v>258</v>
      </c>
      <c r="B264" s="281" t="s">
        <v>11</v>
      </c>
      <c r="C264" s="281"/>
      <c r="D264" s="281"/>
      <c r="E264" s="281" t="s">
        <v>243</v>
      </c>
      <c r="F264" s="281">
        <v>300300042</v>
      </c>
      <c r="G264" s="281">
        <v>3201010042</v>
      </c>
      <c r="H264" s="281" t="s">
        <v>281</v>
      </c>
      <c r="I264" s="281" t="s">
        <v>14</v>
      </c>
      <c r="J264" s="285">
        <v>100.001</v>
      </c>
      <c r="K264" s="285">
        <v>21.553000000000001</v>
      </c>
    </row>
    <row r="265" spans="1:11" ht="120" customHeight="1" x14ac:dyDescent="0.3">
      <c r="A265" s="281">
        <v>259</v>
      </c>
      <c r="B265" s="281" t="s">
        <v>11</v>
      </c>
      <c r="C265" s="281"/>
      <c r="D265" s="281"/>
      <c r="E265" s="281" t="s">
        <v>243</v>
      </c>
      <c r="F265" s="281">
        <v>300300043</v>
      </c>
      <c r="G265" s="281">
        <v>3201010043</v>
      </c>
      <c r="H265" s="281" t="s">
        <v>282</v>
      </c>
      <c r="I265" s="281" t="s">
        <v>14</v>
      </c>
      <c r="J265" s="285">
        <v>37.46</v>
      </c>
      <c r="K265" s="285">
        <v>67.903850000000006</v>
      </c>
    </row>
    <row r="266" spans="1:11" ht="90" customHeight="1" x14ac:dyDescent="0.3">
      <c r="A266" s="281">
        <v>260</v>
      </c>
      <c r="B266" s="281" t="s">
        <v>11</v>
      </c>
      <c r="C266" s="281"/>
      <c r="D266" s="281"/>
      <c r="E266" s="281" t="s">
        <v>243</v>
      </c>
      <c r="F266" s="281">
        <v>300300046</v>
      </c>
      <c r="G266" s="281">
        <v>3201010046</v>
      </c>
      <c r="H266" s="281" t="s">
        <v>283</v>
      </c>
      <c r="I266" s="281" t="s">
        <v>37</v>
      </c>
      <c r="J266" s="285">
        <v>18952</v>
      </c>
      <c r="K266" s="285">
        <v>31826.915400000002</v>
      </c>
    </row>
    <row r="267" spans="1:11" ht="45" customHeight="1" x14ac:dyDescent="0.3">
      <c r="A267" s="281">
        <v>261</v>
      </c>
      <c r="B267" s="281" t="s">
        <v>11</v>
      </c>
      <c r="C267" s="281"/>
      <c r="D267" s="281"/>
      <c r="E267" s="281" t="s">
        <v>243</v>
      </c>
      <c r="F267" s="281">
        <v>300300051</v>
      </c>
      <c r="G267" s="281">
        <v>3201010051</v>
      </c>
      <c r="H267" s="281" t="s">
        <v>284</v>
      </c>
      <c r="I267" s="281" t="s">
        <v>41</v>
      </c>
      <c r="J267" s="285">
        <v>0</v>
      </c>
      <c r="K267" s="285">
        <v>765</v>
      </c>
    </row>
    <row r="268" spans="1:11" ht="60" customHeight="1" x14ac:dyDescent="0.3">
      <c r="A268" s="281">
        <v>262</v>
      </c>
      <c r="B268" s="281" t="s">
        <v>11</v>
      </c>
      <c r="C268" s="281"/>
      <c r="D268" s="281"/>
      <c r="E268" s="281" t="s">
        <v>243</v>
      </c>
      <c r="F268" s="281">
        <v>300300052</v>
      </c>
      <c r="G268" s="281">
        <v>3201010052</v>
      </c>
      <c r="H268" s="281" t="s">
        <v>285</v>
      </c>
      <c r="I268" s="281" t="s">
        <v>41</v>
      </c>
      <c r="J268" s="285">
        <v>14000</v>
      </c>
      <c r="K268" s="285">
        <v>5143</v>
      </c>
    </row>
    <row r="269" spans="1:11" ht="45" customHeight="1" x14ac:dyDescent="0.3">
      <c r="A269" s="281">
        <v>263</v>
      </c>
      <c r="B269" s="281" t="s">
        <v>11</v>
      </c>
      <c r="C269" s="281"/>
      <c r="D269" s="281"/>
      <c r="E269" s="281" t="s">
        <v>243</v>
      </c>
      <c r="F269" s="281">
        <v>300300053</v>
      </c>
      <c r="G269" s="281">
        <v>3201010053</v>
      </c>
      <c r="H269" s="281" t="s">
        <v>286</v>
      </c>
      <c r="I269" s="281" t="s">
        <v>14</v>
      </c>
      <c r="J269" s="285">
        <v>0</v>
      </c>
      <c r="K269" s="285">
        <v>80.636099999999999</v>
      </c>
    </row>
    <row r="270" spans="1:11" ht="60" customHeight="1" x14ac:dyDescent="0.3">
      <c r="A270" s="281">
        <v>264</v>
      </c>
      <c r="B270" s="281" t="s">
        <v>11</v>
      </c>
      <c r="C270" s="281"/>
      <c r="D270" s="281"/>
      <c r="E270" s="281" t="s">
        <v>243</v>
      </c>
      <c r="F270" s="281">
        <v>300300054</v>
      </c>
      <c r="G270" s="281">
        <v>3201010054</v>
      </c>
      <c r="H270" s="281" t="s">
        <v>287</v>
      </c>
      <c r="I270" s="281" t="s">
        <v>41</v>
      </c>
      <c r="J270" s="285">
        <v>0</v>
      </c>
      <c r="K270" s="285">
        <v>11812</v>
      </c>
    </row>
    <row r="271" spans="1:11" ht="45" customHeight="1" x14ac:dyDescent="0.3">
      <c r="A271" s="281">
        <v>265</v>
      </c>
      <c r="B271" s="281" t="s">
        <v>11</v>
      </c>
      <c r="C271" s="281"/>
      <c r="D271" s="281"/>
      <c r="E271" s="281" t="s">
        <v>243</v>
      </c>
      <c r="F271" s="281">
        <v>300300055</v>
      </c>
      <c r="G271" s="281">
        <v>3201010055</v>
      </c>
      <c r="H271" s="281" t="s">
        <v>288</v>
      </c>
      <c r="I271" s="281" t="s">
        <v>41</v>
      </c>
      <c r="J271" s="285">
        <v>0</v>
      </c>
      <c r="K271" s="285">
        <v>0</v>
      </c>
    </row>
    <row r="272" spans="1:11" ht="60" customHeight="1" x14ac:dyDescent="0.3">
      <c r="A272" s="281">
        <v>266</v>
      </c>
      <c r="B272" s="281" t="s">
        <v>11</v>
      </c>
      <c r="C272" s="281"/>
      <c r="D272" s="281"/>
      <c r="E272" s="281" t="s">
        <v>243</v>
      </c>
      <c r="F272" s="281">
        <v>300300057</v>
      </c>
      <c r="G272" s="281">
        <v>3201010057</v>
      </c>
      <c r="H272" s="281" t="s">
        <v>289</v>
      </c>
      <c r="I272" s="281" t="s">
        <v>41</v>
      </c>
      <c r="J272" s="285">
        <v>0</v>
      </c>
      <c r="K272" s="285">
        <v>0</v>
      </c>
    </row>
    <row r="273" spans="1:11" ht="60" customHeight="1" x14ac:dyDescent="0.3">
      <c r="A273" s="281">
        <v>267</v>
      </c>
      <c r="B273" s="281" t="s">
        <v>11</v>
      </c>
      <c r="C273" s="281"/>
      <c r="D273" s="281"/>
      <c r="E273" s="281" t="s">
        <v>243</v>
      </c>
      <c r="F273" s="281">
        <v>300300058</v>
      </c>
      <c r="G273" s="281">
        <v>3201010058</v>
      </c>
      <c r="H273" s="281" t="s">
        <v>290</v>
      </c>
      <c r="I273" s="281" t="s">
        <v>41</v>
      </c>
      <c r="J273" s="285">
        <v>492</v>
      </c>
      <c r="K273" s="285">
        <v>0</v>
      </c>
    </row>
    <row r="274" spans="1:11" ht="45" customHeight="1" x14ac:dyDescent="0.3">
      <c r="A274" s="281">
        <v>268</v>
      </c>
      <c r="B274" s="281" t="s">
        <v>11</v>
      </c>
      <c r="C274" s="281"/>
      <c r="D274" s="281"/>
      <c r="E274" s="281" t="s">
        <v>243</v>
      </c>
      <c r="F274" s="281">
        <v>300300059</v>
      </c>
      <c r="G274" s="281">
        <v>3201010059</v>
      </c>
      <c r="H274" s="281" t="s">
        <v>291</v>
      </c>
      <c r="I274" s="281" t="s">
        <v>41</v>
      </c>
      <c r="J274" s="285">
        <v>0</v>
      </c>
      <c r="K274" s="285">
        <v>200</v>
      </c>
    </row>
    <row r="275" spans="1:11" ht="60" customHeight="1" x14ac:dyDescent="0.3">
      <c r="A275" s="281">
        <v>269</v>
      </c>
      <c r="B275" s="281" t="s">
        <v>11</v>
      </c>
      <c r="C275" s="281"/>
      <c r="D275" s="281"/>
      <c r="E275" s="281" t="s">
        <v>243</v>
      </c>
      <c r="F275" s="281">
        <v>300300060</v>
      </c>
      <c r="G275" s="281">
        <v>3201010060</v>
      </c>
      <c r="H275" s="281" t="s">
        <v>292</v>
      </c>
      <c r="I275" s="281" t="s">
        <v>41</v>
      </c>
      <c r="J275" s="285">
        <v>0</v>
      </c>
      <c r="K275" s="285">
        <v>434</v>
      </c>
    </row>
    <row r="276" spans="1:11" ht="45" customHeight="1" x14ac:dyDescent="0.3">
      <c r="A276" s="281">
        <v>270</v>
      </c>
      <c r="B276" s="281" t="s">
        <v>11</v>
      </c>
      <c r="C276" s="281"/>
      <c r="D276" s="281"/>
      <c r="E276" s="281" t="s">
        <v>243</v>
      </c>
      <c r="F276" s="281">
        <v>300300061</v>
      </c>
      <c r="G276" s="281">
        <v>3201010061</v>
      </c>
      <c r="H276" s="281" t="s">
        <v>293</v>
      </c>
      <c r="I276" s="281" t="s">
        <v>41</v>
      </c>
      <c r="J276" s="285">
        <v>650</v>
      </c>
      <c r="K276" s="285">
        <v>29</v>
      </c>
    </row>
    <row r="277" spans="1:11" ht="45" customHeight="1" x14ac:dyDescent="0.3">
      <c r="A277" s="281">
        <v>271</v>
      </c>
      <c r="B277" s="281" t="s">
        <v>11</v>
      </c>
      <c r="C277" s="281"/>
      <c r="D277" s="281"/>
      <c r="E277" s="281" t="s">
        <v>243</v>
      </c>
      <c r="F277" s="281">
        <v>200200030</v>
      </c>
      <c r="G277" s="281">
        <v>3201010062</v>
      </c>
      <c r="H277" s="281" t="s">
        <v>294</v>
      </c>
      <c r="I277" s="281" t="s">
        <v>41</v>
      </c>
      <c r="J277" s="285">
        <v>98100</v>
      </c>
      <c r="K277" s="285">
        <v>28412</v>
      </c>
    </row>
    <row r="278" spans="1:11" ht="60" customHeight="1" x14ac:dyDescent="0.3">
      <c r="A278" s="281">
        <v>272</v>
      </c>
      <c r="B278" s="281" t="s">
        <v>11</v>
      </c>
      <c r="C278" s="281"/>
      <c r="D278" s="281"/>
      <c r="E278" s="281" t="s">
        <v>243</v>
      </c>
      <c r="F278" s="281">
        <v>300300062</v>
      </c>
      <c r="G278" s="281">
        <v>3201010063</v>
      </c>
      <c r="H278" s="281" t="s">
        <v>295</v>
      </c>
      <c r="I278" s="281" t="s">
        <v>41</v>
      </c>
      <c r="J278" s="285">
        <v>1312</v>
      </c>
      <c r="K278" s="285">
        <v>154</v>
      </c>
    </row>
    <row r="279" spans="1:11" ht="45" customHeight="1" x14ac:dyDescent="0.3">
      <c r="A279" s="281">
        <v>273</v>
      </c>
      <c r="B279" s="281" t="s">
        <v>11</v>
      </c>
      <c r="C279" s="281"/>
      <c r="D279" s="281"/>
      <c r="E279" s="281" t="s">
        <v>243</v>
      </c>
      <c r="F279" s="281">
        <v>300300064</v>
      </c>
      <c r="G279" s="281">
        <v>3201010064</v>
      </c>
      <c r="H279" s="281" t="s">
        <v>296</v>
      </c>
      <c r="I279" s="281" t="s">
        <v>41</v>
      </c>
      <c r="J279" s="285">
        <v>3000</v>
      </c>
      <c r="K279" s="285">
        <v>694</v>
      </c>
    </row>
    <row r="280" spans="1:11" ht="60" customHeight="1" x14ac:dyDescent="0.3">
      <c r="A280" s="281">
        <v>274</v>
      </c>
      <c r="B280" s="281" t="s">
        <v>11</v>
      </c>
      <c r="C280" s="281"/>
      <c r="D280" s="281"/>
      <c r="E280" s="281" t="s">
        <v>243</v>
      </c>
      <c r="F280" s="281">
        <v>300300065</v>
      </c>
      <c r="G280" s="281">
        <v>3201010065</v>
      </c>
      <c r="H280" s="281" t="s">
        <v>297</v>
      </c>
      <c r="I280" s="281" t="s">
        <v>41</v>
      </c>
      <c r="J280" s="285">
        <v>0</v>
      </c>
      <c r="K280" s="285">
        <v>0</v>
      </c>
    </row>
    <row r="281" spans="1:11" ht="75" customHeight="1" x14ac:dyDescent="0.3">
      <c r="A281" s="281">
        <v>275</v>
      </c>
      <c r="B281" s="281" t="s">
        <v>11</v>
      </c>
      <c r="C281" s="281"/>
      <c r="D281" s="281"/>
      <c r="E281" s="281" t="s">
        <v>243</v>
      </c>
      <c r="F281" s="281">
        <v>300300066</v>
      </c>
      <c r="G281" s="281">
        <v>3201010066</v>
      </c>
      <c r="H281" s="281" t="s">
        <v>298</v>
      </c>
      <c r="I281" s="281" t="s">
        <v>41</v>
      </c>
      <c r="J281" s="285">
        <v>0</v>
      </c>
      <c r="K281" s="285">
        <v>2670</v>
      </c>
    </row>
    <row r="282" spans="1:11" ht="90" customHeight="1" x14ac:dyDescent="0.3">
      <c r="A282" s="281">
        <v>276</v>
      </c>
      <c r="B282" s="281" t="s">
        <v>11</v>
      </c>
      <c r="C282" s="281"/>
      <c r="D282" s="281"/>
      <c r="E282" s="281" t="s">
        <v>243</v>
      </c>
      <c r="F282" s="281">
        <v>300300067</v>
      </c>
      <c r="G282" s="281">
        <v>3201010067</v>
      </c>
      <c r="H282" s="281" t="s">
        <v>299</v>
      </c>
      <c r="I282" s="281" t="s">
        <v>14</v>
      </c>
      <c r="J282" s="285">
        <v>34.5</v>
      </c>
      <c r="K282" s="285">
        <v>9.9600000000000009</v>
      </c>
    </row>
    <row r="283" spans="1:11" ht="90" customHeight="1" x14ac:dyDescent="0.3">
      <c r="A283" s="281">
        <v>277</v>
      </c>
      <c r="B283" s="281" t="s">
        <v>11</v>
      </c>
      <c r="C283" s="281"/>
      <c r="D283" s="281"/>
      <c r="E283" s="281" t="s">
        <v>243</v>
      </c>
      <c r="F283" s="281">
        <v>300300068</v>
      </c>
      <c r="G283" s="281">
        <v>3201010068</v>
      </c>
      <c r="H283" s="281" t="s">
        <v>300</v>
      </c>
      <c r="I283" s="281" t="s">
        <v>14</v>
      </c>
      <c r="J283" s="285">
        <v>98</v>
      </c>
      <c r="K283" s="285">
        <v>30.81</v>
      </c>
    </row>
    <row r="284" spans="1:11" ht="60" customHeight="1" x14ac:dyDescent="0.3">
      <c r="A284" s="281">
        <v>278</v>
      </c>
      <c r="B284" s="281" t="s">
        <v>11</v>
      </c>
      <c r="C284" s="281"/>
      <c r="D284" s="281"/>
      <c r="E284" s="281" t="s">
        <v>243</v>
      </c>
      <c r="F284" s="281">
        <v>300300070</v>
      </c>
      <c r="G284" s="281">
        <v>3201010070</v>
      </c>
      <c r="H284" s="281" t="s">
        <v>301</v>
      </c>
      <c r="I284" s="281" t="s">
        <v>41</v>
      </c>
      <c r="J284" s="285">
        <v>995</v>
      </c>
      <c r="K284" s="285">
        <v>5</v>
      </c>
    </row>
    <row r="285" spans="1:11" ht="75" customHeight="1" x14ac:dyDescent="0.3">
      <c r="A285" s="281">
        <v>279</v>
      </c>
      <c r="B285" s="281" t="s">
        <v>11</v>
      </c>
      <c r="C285" s="281"/>
      <c r="D285" s="281"/>
      <c r="E285" s="281" t="s">
        <v>243</v>
      </c>
      <c r="F285" s="281">
        <v>300300071</v>
      </c>
      <c r="G285" s="281">
        <v>3201010071</v>
      </c>
      <c r="H285" s="281" t="s">
        <v>302</v>
      </c>
      <c r="I285" s="281" t="s">
        <v>41</v>
      </c>
      <c r="J285" s="285">
        <v>2860</v>
      </c>
      <c r="K285" s="285">
        <v>40</v>
      </c>
    </row>
    <row r="286" spans="1:11" ht="45" customHeight="1" x14ac:dyDescent="0.3">
      <c r="A286" s="281">
        <v>280</v>
      </c>
      <c r="B286" s="281" t="s">
        <v>11</v>
      </c>
      <c r="C286" s="281"/>
      <c r="D286" s="281"/>
      <c r="E286" s="281" t="s">
        <v>243</v>
      </c>
      <c r="F286" s="281">
        <v>300300072</v>
      </c>
      <c r="G286" s="281">
        <v>3201010072</v>
      </c>
      <c r="H286" s="281" t="s">
        <v>303</v>
      </c>
      <c r="I286" s="281" t="s">
        <v>41</v>
      </c>
      <c r="J286" s="285">
        <v>9800</v>
      </c>
      <c r="K286" s="285">
        <v>420</v>
      </c>
    </row>
    <row r="287" spans="1:11" ht="60" customHeight="1" x14ac:dyDescent="0.3">
      <c r="A287" s="281">
        <v>281</v>
      </c>
      <c r="B287" s="281" t="s">
        <v>11</v>
      </c>
      <c r="C287" s="281"/>
      <c r="D287" s="281"/>
      <c r="E287" s="281" t="s">
        <v>243</v>
      </c>
      <c r="F287" s="281">
        <v>300300073</v>
      </c>
      <c r="G287" s="281">
        <v>3201010073</v>
      </c>
      <c r="H287" s="281" t="s">
        <v>304</v>
      </c>
      <c r="I287" s="281" t="s">
        <v>41</v>
      </c>
      <c r="J287" s="285">
        <v>20</v>
      </c>
      <c r="K287" s="285">
        <v>295.00319999999999</v>
      </c>
    </row>
    <row r="288" spans="1:11" ht="60" customHeight="1" x14ac:dyDescent="0.3">
      <c r="A288" s="281">
        <v>282</v>
      </c>
      <c r="B288" s="281" t="s">
        <v>11</v>
      </c>
      <c r="C288" s="281"/>
      <c r="D288" s="281"/>
      <c r="E288" s="281" t="s">
        <v>243</v>
      </c>
      <c r="F288" s="281">
        <v>300300074</v>
      </c>
      <c r="G288" s="281">
        <v>3201010074</v>
      </c>
      <c r="H288" s="281" t="s">
        <v>305</v>
      </c>
      <c r="I288" s="281" t="s">
        <v>41</v>
      </c>
      <c r="J288" s="285">
        <v>652</v>
      </c>
      <c r="K288" s="285">
        <v>1417.856</v>
      </c>
    </row>
    <row r="289" spans="1:11" ht="60" customHeight="1" x14ac:dyDescent="0.3">
      <c r="A289" s="281">
        <v>283</v>
      </c>
      <c r="B289" s="281" t="s">
        <v>11</v>
      </c>
      <c r="C289" s="281"/>
      <c r="D289" s="281"/>
      <c r="E289" s="281" t="s">
        <v>243</v>
      </c>
      <c r="F289" s="281">
        <v>300300075</v>
      </c>
      <c r="G289" s="281">
        <v>3201010075</v>
      </c>
      <c r="H289" s="281" t="s">
        <v>306</v>
      </c>
      <c r="I289" s="281" t="s">
        <v>41</v>
      </c>
      <c r="J289" s="285">
        <v>1309</v>
      </c>
      <c r="K289" s="285">
        <v>11.1472</v>
      </c>
    </row>
    <row r="290" spans="1:11" ht="75" customHeight="1" x14ac:dyDescent="0.3">
      <c r="A290" s="281">
        <v>284</v>
      </c>
      <c r="B290" s="281" t="s">
        <v>11</v>
      </c>
      <c r="C290" s="281"/>
      <c r="D290" s="281"/>
      <c r="E290" s="281" t="s">
        <v>243</v>
      </c>
      <c r="F290" s="281">
        <v>300300076</v>
      </c>
      <c r="G290" s="281">
        <v>3201010076</v>
      </c>
      <c r="H290" s="281" t="s">
        <v>307</v>
      </c>
      <c r="I290" s="281" t="s">
        <v>41</v>
      </c>
      <c r="J290" s="285">
        <v>0</v>
      </c>
      <c r="K290" s="285">
        <v>26400</v>
      </c>
    </row>
    <row r="291" spans="1:11" ht="75" customHeight="1" x14ac:dyDescent="0.3">
      <c r="A291" s="281">
        <v>285</v>
      </c>
      <c r="B291" s="281" t="s">
        <v>11</v>
      </c>
      <c r="C291" s="281"/>
      <c r="D291" s="281"/>
      <c r="E291" s="281" t="s">
        <v>243</v>
      </c>
      <c r="F291" s="281">
        <v>300300077</v>
      </c>
      <c r="G291" s="281">
        <v>3201010077</v>
      </c>
      <c r="H291" s="281" t="s">
        <v>308</v>
      </c>
      <c r="I291" s="281" t="s">
        <v>41</v>
      </c>
      <c r="J291" s="285">
        <v>35352</v>
      </c>
      <c r="K291" s="285">
        <v>176</v>
      </c>
    </row>
    <row r="292" spans="1:11" ht="90" customHeight="1" x14ac:dyDescent="0.3">
      <c r="A292" s="281">
        <v>286</v>
      </c>
      <c r="B292" s="281" t="s">
        <v>11</v>
      </c>
      <c r="C292" s="281"/>
      <c r="D292" s="281"/>
      <c r="E292" s="281" t="s">
        <v>243</v>
      </c>
      <c r="F292" s="281">
        <v>300300078</v>
      </c>
      <c r="G292" s="281">
        <v>3201010078</v>
      </c>
      <c r="H292" s="281" t="s">
        <v>309</v>
      </c>
      <c r="I292" s="281" t="s">
        <v>14</v>
      </c>
      <c r="J292" s="285">
        <v>51.5</v>
      </c>
      <c r="K292" s="285">
        <v>22.841280000000001</v>
      </c>
    </row>
    <row r="293" spans="1:11" ht="75" customHeight="1" x14ac:dyDescent="0.3">
      <c r="A293" s="281">
        <v>287</v>
      </c>
      <c r="B293" s="281" t="s">
        <v>11</v>
      </c>
      <c r="C293" s="281"/>
      <c r="D293" s="281"/>
      <c r="E293" s="281" t="s">
        <v>243</v>
      </c>
      <c r="F293" s="281">
        <v>300300079</v>
      </c>
      <c r="G293" s="281">
        <v>3201010079</v>
      </c>
      <c r="H293" s="281" t="s">
        <v>310</v>
      </c>
      <c r="I293" s="281" t="s">
        <v>41</v>
      </c>
      <c r="J293" s="285">
        <v>4799</v>
      </c>
      <c r="K293" s="285">
        <v>726</v>
      </c>
    </row>
    <row r="294" spans="1:11" ht="75" customHeight="1" x14ac:dyDescent="0.3">
      <c r="A294" s="281">
        <v>288</v>
      </c>
      <c r="B294" s="281" t="s">
        <v>11</v>
      </c>
      <c r="C294" s="281"/>
      <c r="D294" s="281"/>
      <c r="E294" s="281" t="s">
        <v>243</v>
      </c>
      <c r="F294" s="281">
        <v>300300080</v>
      </c>
      <c r="G294" s="281">
        <v>3201010080</v>
      </c>
      <c r="H294" s="281" t="s">
        <v>311</v>
      </c>
      <c r="I294" s="281" t="s">
        <v>41</v>
      </c>
      <c r="J294" s="285">
        <v>516</v>
      </c>
      <c r="K294" s="285">
        <v>74</v>
      </c>
    </row>
    <row r="295" spans="1:11" ht="45" customHeight="1" x14ac:dyDescent="0.3">
      <c r="A295" s="281">
        <v>289</v>
      </c>
      <c r="B295" s="281" t="s">
        <v>11</v>
      </c>
      <c r="C295" s="281"/>
      <c r="D295" s="281"/>
      <c r="E295" s="281" t="s">
        <v>243</v>
      </c>
      <c r="F295" s="281">
        <v>300300081</v>
      </c>
      <c r="G295" s="281">
        <v>3201010081</v>
      </c>
      <c r="H295" s="281" t="s">
        <v>312</v>
      </c>
      <c r="I295" s="281" t="s">
        <v>41</v>
      </c>
      <c r="J295" s="285">
        <v>17750</v>
      </c>
      <c r="K295" s="285">
        <v>3263</v>
      </c>
    </row>
    <row r="296" spans="1:11" ht="60" customHeight="1" x14ac:dyDescent="0.3">
      <c r="A296" s="281">
        <v>290</v>
      </c>
      <c r="B296" s="281" t="s">
        <v>11</v>
      </c>
      <c r="C296" s="281"/>
      <c r="D296" s="281"/>
      <c r="E296" s="281" t="s">
        <v>243</v>
      </c>
      <c r="F296" s="281">
        <v>300300083</v>
      </c>
      <c r="G296" s="281">
        <v>3201010083</v>
      </c>
      <c r="H296" s="281" t="s">
        <v>313</v>
      </c>
      <c r="I296" s="281" t="s">
        <v>41</v>
      </c>
      <c r="J296" s="285">
        <v>26000</v>
      </c>
      <c r="K296" s="285">
        <v>1263</v>
      </c>
    </row>
    <row r="297" spans="1:11" ht="90" customHeight="1" x14ac:dyDescent="0.3">
      <c r="A297" s="281">
        <v>291</v>
      </c>
      <c r="B297" s="281" t="s">
        <v>11</v>
      </c>
      <c r="C297" s="281"/>
      <c r="D297" s="281"/>
      <c r="E297" s="281" t="s">
        <v>139</v>
      </c>
      <c r="F297" s="281">
        <v>200200027</v>
      </c>
      <c r="G297" s="281">
        <v>3202010001</v>
      </c>
      <c r="H297" s="281" t="s">
        <v>314</v>
      </c>
      <c r="I297" s="281" t="s">
        <v>14</v>
      </c>
      <c r="J297" s="285">
        <v>195</v>
      </c>
      <c r="K297" s="285">
        <v>22.53</v>
      </c>
    </row>
    <row r="298" spans="1:11" ht="60" customHeight="1" x14ac:dyDescent="0.3">
      <c r="A298" s="281">
        <v>292</v>
      </c>
      <c r="B298" s="281" t="s">
        <v>11</v>
      </c>
      <c r="C298" s="281"/>
      <c r="D298" s="281"/>
      <c r="E298" s="281" t="s">
        <v>139</v>
      </c>
      <c r="F298" s="281">
        <v>200200028</v>
      </c>
      <c r="G298" s="281">
        <v>3202010002</v>
      </c>
      <c r="H298" s="281" t="s">
        <v>315</v>
      </c>
      <c r="I298" s="281" t="s">
        <v>41</v>
      </c>
      <c r="J298" s="285">
        <v>468</v>
      </c>
      <c r="K298" s="285">
        <v>518</v>
      </c>
    </row>
    <row r="299" spans="1:11" ht="30" customHeight="1" x14ac:dyDescent="0.3">
      <c r="A299" s="281">
        <v>293</v>
      </c>
      <c r="B299" s="281" t="s">
        <v>11</v>
      </c>
      <c r="C299" s="281"/>
      <c r="D299" s="281"/>
      <c r="E299" s="281" t="s">
        <v>139</v>
      </c>
      <c r="F299" s="281">
        <v>200200033</v>
      </c>
      <c r="G299" s="281">
        <v>3202010007</v>
      </c>
      <c r="H299" s="281" t="s">
        <v>316</v>
      </c>
      <c r="I299" s="281" t="s">
        <v>14</v>
      </c>
      <c r="J299" s="285">
        <v>94.87</v>
      </c>
      <c r="K299" s="285">
        <v>33.712299999999999</v>
      </c>
    </row>
    <row r="300" spans="1:11" ht="90" customHeight="1" x14ac:dyDescent="0.3">
      <c r="A300" s="281">
        <v>294</v>
      </c>
      <c r="B300" s="281" t="s">
        <v>11</v>
      </c>
      <c r="C300" s="281"/>
      <c r="D300" s="281"/>
      <c r="E300" s="281" t="s">
        <v>139</v>
      </c>
      <c r="F300" s="281">
        <v>200200034</v>
      </c>
      <c r="G300" s="281">
        <v>3202010008</v>
      </c>
      <c r="H300" s="281" t="s">
        <v>317</v>
      </c>
      <c r="I300" s="281" t="s">
        <v>14</v>
      </c>
      <c r="J300" s="285">
        <v>505.00200000000001</v>
      </c>
      <c r="K300" s="285">
        <v>54.055999999999997</v>
      </c>
    </row>
    <row r="301" spans="1:11" ht="60" customHeight="1" x14ac:dyDescent="0.3">
      <c r="A301" s="281">
        <v>295</v>
      </c>
      <c r="B301" s="281" t="s">
        <v>11</v>
      </c>
      <c r="C301" s="281"/>
      <c r="D301" s="281"/>
      <c r="E301" s="281" t="s">
        <v>139</v>
      </c>
      <c r="F301" s="281">
        <v>200200035</v>
      </c>
      <c r="G301" s="281">
        <v>3202010009</v>
      </c>
      <c r="H301" s="281" t="s">
        <v>318</v>
      </c>
      <c r="I301" s="281" t="s">
        <v>41</v>
      </c>
      <c r="J301" s="285">
        <v>1570</v>
      </c>
      <c r="K301" s="285">
        <v>900</v>
      </c>
    </row>
    <row r="302" spans="1:11" ht="45" customHeight="1" x14ac:dyDescent="0.3">
      <c r="A302" s="281">
        <v>296</v>
      </c>
      <c r="B302" s="281" t="s">
        <v>11</v>
      </c>
      <c r="C302" s="281"/>
      <c r="D302" s="281"/>
      <c r="E302" s="281" t="s">
        <v>139</v>
      </c>
      <c r="F302" s="281">
        <v>200200036</v>
      </c>
      <c r="G302" s="281">
        <v>3202010010</v>
      </c>
      <c r="H302" s="281" t="s">
        <v>319</v>
      </c>
      <c r="I302" s="281" t="s">
        <v>41</v>
      </c>
      <c r="J302" s="285">
        <v>3901</v>
      </c>
      <c r="K302" s="285">
        <v>5343</v>
      </c>
    </row>
    <row r="303" spans="1:11" ht="60" customHeight="1" x14ac:dyDescent="0.3">
      <c r="A303" s="281">
        <v>297</v>
      </c>
      <c r="B303" s="281" t="s">
        <v>11</v>
      </c>
      <c r="C303" s="281"/>
      <c r="D303" s="281"/>
      <c r="E303" s="281" t="s">
        <v>139</v>
      </c>
      <c r="F303" s="281">
        <v>200200037</v>
      </c>
      <c r="G303" s="281">
        <v>3202010011</v>
      </c>
      <c r="H303" s="281" t="s">
        <v>320</v>
      </c>
      <c r="I303" s="281" t="s">
        <v>41</v>
      </c>
      <c r="J303" s="285">
        <v>2460</v>
      </c>
      <c r="K303" s="285">
        <v>754</v>
      </c>
    </row>
    <row r="304" spans="1:11" ht="60" customHeight="1" x14ac:dyDescent="0.3">
      <c r="A304" s="281">
        <v>298</v>
      </c>
      <c r="B304" s="281" t="s">
        <v>11</v>
      </c>
      <c r="C304" s="281"/>
      <c r="D304" s="281"/>
      <c r="E304" s="281" t="s">
        <v>139</v>
      </c>
      <c r="F304" s="281">
        <v>200200038</v>
      </c>
      <c r="G304" s="281">
        <v>3202010012</v>
      </c>
      <c r="H304" s="281" t="s">
        <v>321</v>
      </c>
      <c r="I304" s="281" t="s">
        <v>41</v>
      </c>
      <c r="J304" s="285">
        <v>7481</v>
      </c>
      <c r="K304" s="285">
        <v>4968</v>
      </c>
    </row>
    <row r="305" spans="1:11" ht="60" customHeight="1" x14ac:dyDescent="0.3">
      <c r="A305" s="281">
        <v>299</v>
      </c>
      <c r="B305" s="281" t="s">
        <v>11</v>
      </c>
      <c r="C305" s="281"/>
      <c r="D305" s="281"/>
      <c r="E305" s="281" t="s">
        <v>139</v>
      </c>
      <c r="F305" s="281">
        <v>200200039</v>
      </c>
      <c r="G305" s="281">
        <v>3202010013</v>
      </c>
      <c r="H305" s="281" t="s">
        <v>322</v>
      </c>
      <c r="I305" s="281" t="s">
        <v>41</v>
      </c>
      <c r="J305" s="285">
        <v>465</v>
      </c>
      <c r="K305" s="285">
        <v>2434</v>
      </c>
    </row>
    <row r="306" spans="1:11" ht="45" customHeight="1" x14ac:dyDescent="0.3">
      <c r="A306" s="281">
        <v>300</v>
      </c>
      <c r="B306" s="281" t="s">
        <v>11</v>
      </c>
      <c r="C306" s="281"/>
      <c r="D306" s="281"/>
      <c r="E306" s="281" t="s">
        <v>139</v>
      </c>
      <c r="F306" s="281">
        <v>200200040</v>
      </c>
      <c r="G306" s="281">
        <v>3202010014</v>
      </c>
      <c r="H306" s="281" t="s">
        <v>323</v>
      </c>
      <c r="I306" s="281" t="s">
        <v>41</v>
      </c>
      <c r="J306" s="285">
        <v>8929</v>
      </c>
      <c r="K306" s="285">
        <v>1766</v>
      </c>
    </row>
    <row r="307" spans="1:11" ht="60" customHeight="1" x14ac:dyDescent="0.3">
      <c r="A307" s="281">
        <v>301</v>
      </c>
      <c r="B307" s="281" t="s">
        <v>11</v>
      </c>
      <c r="C307" s="281"/>
      <c r="D307" s="281"/>
      <c r="E307" s="281" t="s">
        <v>139</v>
      </c>
      <c r="F307" s="281">
        <v>200200041</v>
      </c>
      <c r="G307" s="281">
        <v>3202010015</v>
      </c>
      <c r="H307" s="281" t="s">
        <v>324</v>
      </c>
      <c r="I307" s="281" t="s">
        <v>41</v>
      </c>
      <c r="J307" s="285">
        <v>0</v>
      </c>
      <c r="K307" s="285">
        <v>2400</v>
      </c>
    </row>
    <row r="308" spans="1:11" ht="45" customHeight="1" x14ac:dyDescent="0.3">
      <c r="A308" s="281">
        <v>302</v>
      </c>
      <c r="B308" s="281" t="s">
        <v>11</v>
      </c>
      <c r="C308" s="281"/>
      <c r="D308" s="281"/>
      <c r="E308" s="281" t="s">
        <v>139</v>
      </c>
      <c r="F308" s="281">
        <v>200200042</v>
      </c>
      <c r="G308" s="281">
        <v>3202010016</v>
      </c>
      <c r="H308" s="281" t="s">
        <v>325</v>
      </c>
      <c r="I308" s="281" t="s">
        <v>41</v>
      </c>
      <c r="J308" s="285">
        <v>0</v>
      </c>
      <c r="K308" s="285">
        <v>1802</v>
      </c>
    </row>
    <row r="309" spans="1:11" ht="60" customHeight="1" x14ac:dyDescent="0.3">
      <c r="A309" s="281">
        <v>303</v>
      </c>
      <c r="B309" s="281" t="s">
        <v>11</v>
      </c>
      <c r="C309" s="281"/>
      <c r="D309" s="281"/>
      <c r="E309" s="281" t="s">
        <v>139</v>
      </c>
      <c r="F309" s="281">
        <v>200200043</v>
      </c>
      <c r="G309" s="281">
        <v>3202010017</v>
      </c>
      <c r="H309" s="281" t="s">
        <v>326</v>
      </c>
      <c r="I309" s="281" t="s">
        <v>41</v>
      </c>
      <c r="J309" s="285">
        <v>3463</v>
      </c>
      <c r="K309" s="285">
        <v>816</v>
      </c>
    </row>
    <row r="310" spans="1:11" ht="30" customHeight="1" x14ac:dyDescent="0.3">
      <c r="A310" s="281">
        <v>304</v>
      </c>
      <c r="B310" s="281" t="s">
        <v>11</v>
      </c>
      <c r="C310" s="281"/>
      <c r="D310" s="281"/>
      <c r="E310" s="281" t="s">
        <v>327</v>
      </c>
      <c r="F310" s="281">
        <v>400200057</v>
      </c>
      <c r="G310" s="281">
        <v>60058</v>
      </c>
      <c r="H310" s="281">
        <v>12</v>
      </c>
      <c r="I310" s="281" t="s">
        <v>41</v>
      </c>
      <c r="J310" s="285">
        <v>10</v>
      </c>
      <c r="K310" s="285"/>
    </row>
    <row r="311" spans="1:11" ht="75" customHeight="1" x14ac:dyDescent="0.3">
      <c r="A311" s="281">
        <v>305</v>
      </c>
      <c r="B311" s="281" t="s">
        <v>11</v>
      </c>
      <c r="C311" s="281"/>
      <c r="D311" s="281"/>
      <c r="E311" s="281" t="s">
        <v>328</v>
      </c>
      <c r="F311" s="281">
        <v>700100001</v>
      </c>
      <c r="G311" s="281">
        <v>700000001</v>
      </c>
      <c r="H311" s="281" t="s">
        <v>329</v>
      </c>
      <c r="I311" s="281" t="s">
        <v>43</v>
      </c>
      <c r="J311" s="285">
        <v>42</v>
      </c>
      <c r="K311" s="285">
        <v>8</v>
      </c>
    </row>
    <row r="312" spans="1:11" ht="75" customHeight="1" x14ac:dyDescent="0.3">
      <c r="A312" s="281">
        <v>306</v>
      </c>
      <c r="B312" s="281" t="s">
        <v>11</v>
      </c>
      <c r="C312" s="281"/>
      <c r="D312" s="281"/>
      <c r="E312" s="281" t="s">
        <v>328</v>
      </c>
      <c r="F312" s="281">
        <v>700100002</v>
      </c>
      <c r="G312" s="281">
        <v>700000002</v>
      </c>
      <c r="H312" s="281" t="s">
        <v>330</v>
      </c>
      <c r="I312" s="281" t="s">
        <v>41</v>
      </c>
      <c r="J312" s="285">
        <v>2</v>
      </c>
      <c r="K312" s="285">
        <v>0</v>
      </c>
    </row>
    <row r="313" spans="1:11" ht="75" customHeight="1" x14ac:dyDescent="0.3">
      <c r="A313" s="281">
        <v>307</v>
      </c>
      <c r="B313" s="281" t="s">
        <v>11</v>
      </c>
      <c r="C313" s="281"/>
      <c r="D313" s="281"/>
      <c r="E313" s="281" t="s">
        <v>328</v>
      </c>
      <c r="F313" s="281">
        <v>700100003</v>
      </c>
      <c r="G313" s="281">
        <v>700000003</v>
      </c>
      <c r="H313" s="281" t="s">
        <v>331</v>
      </c>
      <c r="I313" s="281" t="s">
        <v>41</v>
      </c>
      <c r="J313" s="285">
        <v>2046</v>
      </c>
      <c r="K313" s="285">
        <v>2480</v>
      </c>
    </row>
    <row r="314" spans="1:11" ht="75" customHeight="1" x14ac:dyDescent="0.3">
      <c r="A314" s="281">
        <v>308</v>
      </c>
      <c r="B314" s="281" t="s">
        <v>11</v>
      </c>
      <c r="C314" s="281"/>
      <c r="D314" s="281"/>
      <c r="E314" s="281" t="s">
        <v>328</v>
      </c>
      <c r="F314" s="281">
        <v>700100004</v>
      </c>
      <c r="G314" s="281">
        <v>700000004</v>
      </c>
      <c r="H314" s="281" t="s">
        <v>332</v>
      </c>
      <c r="I314" s="281" t="s">
        <v>41</v>
      </c>
      <c r="J314" s="285">
        <v>0</v>
      </c>
      <c r="K314" s="285">
        <v>0</v>
      </c>
    </row>
    <row r="315" spans="1:11" ht="75" customHeight="1" x14ac:dyDescent="0.3">
      <c r="A315" s="281">
        <v>309</v>
      </c>
      <c r="B315" s="281" t="s">
        <v>11</v>
      </c>
      <c r="C315" s="281"/>
      <c r="D315" s="281"/>
      <c r="E315" s="281" t="s">
        <v>328</v>
      </c>
      <c r="F315" s="281">
        <v>700100005</v>
      </c>
      <c r="G315" s="281">
        <v>700000005</v>
      </c>
      <c r="H315" s="281" t="s">
        <v>333</v>
      </c>
      <c r="I315" s="281" t="s">
        <v>43</v>
      </c>
      <c r="J315" s="285">
        <v>0</v>
      </c>
      <c r="K315" s="285">
        <v>0</v>
      </c>
    </row>
    <row r="316" spans="1:11" ht="75" customHeight="1" x14ac:dyDescent="0.3">
      <c r="A316" s="281">
        <v>310</v>
      </c>
      <c r="B316" s="281" t="s">
        <v>11</v>
      </c>
      <c r="C316" s="281"/>
      <c r="D316" s="281"/>
      <c r="E316" s="281" t="s">
        <v>328</v>
      </c>
      <c r="F316" s="281">
        <v>700100006</v>
      </c>
      <c r="G316" s="281">
        <v>700000006</v>
      </c>
      <c r="H316" s="281" t="s">
        <v>334</v>
      </c>
      <c r="I316" s="281" t="s">
        <v>43</v>
      </c>
      <c r="J316" s="285">
        <v>3</v>
      </c>
      <c r="K316" s="285">
        <v>0</v>
      </c>
    </row>
    <row r="317" spans="1:11" ht="75" customHeight="1" x14ac:dyDescent="0.3">
      <c r="A317" s="281">
        <v>311</v>
      </c>
      <c r="B317" s="281" t="s">
        <v>11</v>
      </c>
      <c r="C317" s="281"/>
      <c r="D317" s="281"/>
      <c r="E317" s="281" t="s">
        <v>328</v>
      </c>
      <c r="F317" s="281">
        <v>700100007</v>
      </c>
      <c r="G317" s="281">
        <v>700000007</v>
      </c>
      <c r="H317" s="281" t="s">
        <v>335</v>
      </c>
      <c r="I317" s="281" t="s">
        <v>43</v>
      </c>
      <c r="J317" s="285">
        <v>3</v>
      </c>
      <c r="K317" s="285">
        <v>0</v>
      </c>
    </row>
    <row r="318" spans="1:11" ht="75" customHeight="1" x14ac:dyDescent="0.3">
      <c r="A318" s="281">
        <v>312</v>
      </c>
      <c r="B318" s="281" t="s">
        <v>11</v>
      </c>
      <c r="C318" s="281"/>
      <c r="D318" s="281"/>
      <c r="E318" s="281" t="s">
        <v>328</v>
      </c>
      <c r="F318" s="281">
        <v>700100008</v>
      </c>
      <c r="G318" s="281">
        <v>700000008</v>
      </c>
      <c r="H318" s="281" t="s">
        <v>336</v>
      </c>
      <c r="I318" s="281" t="s">
        <v>43</v>
      </c>
      <c r="J318" s="285">
        <v>9</v>
      </c>
      <c r="K318" s="285">
        <v>0</v>
      </c>
    </row>
    <row r="319" spans="1:11" ht="75" customHeight="1" x14ac:dyDescent="0.3">
      <c r="A319" s="281">
        <v>313</v>
      </c>
      <c r="B319" s="281" t="s">
        <v>11</v>
      </c>
      <c r="C319" s="281"/>
      <c r="D319" s="281"/>
      <c r="E319" s="281" t="s">
        <v>328</v>
      </c>
      <c r="F319" s="281">
        <v>700100009</v>
      </c>
      <c r="G319" s="281">
        <v>700000009</v>
      </c>
      <c r="H319" s="281" t="s">
        <v>337</v>
      </c>
      <c r="I319" s="281" t="s">
        <v>43</v>
      </c>
      <c r="J319" s="285">
        <v>0</v>
      </c>
      <c r="K319" s="285">
        <v>0</v>
      </c>
    </row>
    <row r="320" spans="1:11" ht="75" customHeight="1" x14ac:dyDescent="0.3">
      <c r="A320" s="281">
        <v>314</v>
      </c>
      <c r="B320" s="281" t="s">
        <v>11</v>
      </c>
      <c r="C320" s="281"/>
      <c r="D320" s="281"/>
      <c r="E320" s="281" t="s">
        <v>328</v>
      </c>
      <c r="F320" s="281">
        <v>700100010</v>
      </c>
      <c r="G320" s="281">
        <v>700000010</v>
      </c>
      <c r="H320" s="281" t="s">
        <v>338</v>
      </c>
      <c r="I320" s="281" t="s">
        <v>41</v>
      </c>
      <c r="J320" s="285">
        <v>3400</v>
      </c>
      <c r="K320" s="285">
        <v>0</v>
      </c>
    </row>
    <row r="321" spans="1:11" ht="75" customHeight="1" x14ac:dyDescent="0.3">
      <c r="A321" s="281">
        <v>315</v>
      </c>
      <c r="B321" s="281" t="s">
        <v>11</v>
      </c>
      <c r="C321" s="281"/>
      <c r="D321" s="281"/>
      <c r="E321" s="281" t="s">
        <v>328</v>
      </c>
      <c r="F321" s="281">
        <v>700100011</v>
      </c>
      <c r="G321" s="281">
        <v>700000011</v>
      </c>
      <c r="H321" s="281" t="s">
        <v>339</v>
      </c>
      <c r="I321" s="281" t="s">
        <v>41</v>
      </c>
      <c r="J321" s="285">
        <v>1380</v>
      </c>
      <c r="K321" s="285">
        <v>0</v>
      </c>
    </row>
    <row r="322" spans="1:11" ht="75" customHeight="1" x14ac:dyDescent="0.3">
      <c r="A322" s="281">
        <v>316</v>
      </c>
      <c r="B322" s="281" t="s">
        <v>11</v>
      </c>
      <c r="C322" s="281"/>
      <c r="D322" s="281"/>
      <c r="E322" s="281" t="s">
        <v>328</v>
      </c>
      <c r="F322" s="281">
        <v>700100012</v>
      </c>
      <c r="G322" s="281">
        <v>700000012</v>
      </c>
      <c r="H322" s="281" t="s">
        <v>340</v>
      </c>
      <c r="I322" s="281" t="s">
        <v>41</v>
      </c>
      <c r="J322" s="285">
        <v>20</v>
      </c>
      <c r="K322" s="285">
        <v>0</v>
      </c>
    </row>
    <row r="323" spans="1:11" ht="75" customHeight="1" x14ac:dyDescent="0.3">
      <c r="A323" s="281">
        <v>317</v>
      </c>
      <c r="B323" s="281" t="s">
        <v>11</v>
      </c>
      <c r="C323" s="281"/>
      <c r="D323" s="281"/>
      <c r="E323" s="281" t="s">
        <v>328</v>
      </c>
      <c r="F323" s="281">
        <v>700100013</v>
      </c>
      <c r="G323" s="281">
        <v>700000013</v>
      </c>
      <c r="H323" s="281" t="s">
        <v>341</v>
      </c>
      <c r="I323" s="281" t="s">
        <v>41</v>
      </c>
      <c r="J323" s="285">
        <v>1250</v>
      </c>
      <c r="K323" s="285">
        <v>750</v>
      </c>
    </row>
    <row r="324" spans="1:11" ht="75" customHeight="1" x14ac:dyDescent="0.3">
      <c r="A324" s="281">
        <v>318</v>
      </c>
      <c r="B324" s="281" t="s">
        <v>11</v>
      </c>
      <c r="C324" s="281"/>
      <c r="D324" s="281"/>
      <c r="E324" s="281" t="s">
        <v>328</v>
      </c>
      <c r="F324" s="281">
        <v>700100014</v>
      </c>
      <c r="G324" s="281">
        <v>700000014</v>
      </c>
      <c r="H324" s="281" t="s">
        <v>342</v>
      </c>
      <c r="I324" s="281" t="s">
        <v>41</v>
      </c>
      <c r="J324" s="285">
        <v>0</v>
      </c>
      <c r="K324" s="285">
        <v>0</v>
      </c>
    </row>
    <row r="325" spans="1:11" ht="75" customHeight="1" x14ac:dyDescent="0.3">
      <c r="A325" s="281">
        <v>319</v>
      </c>
      <c r="B325" s="281" t="s">
        <v>11</v>
      </c>
      <c r="C325" s="281"/>
      <c r="D325" s="281"/>
      <c r="E325" s="281" t="s">
        <v>328</v>
      </c>
      <c r="F325" s="281">
        <v>700100015</v>
      </c>
      <c r="G325" s="281">
        <v>700000015</v>
      </c>
      <c r="H325" s="281" t="s">
        <v>343</v>
      </c>
      <c r="I325" s="281" t="s">
        <v>43</v>
      </c>
      <c r="J325" s="285">
        <v>135</v>
      </c>
      <c r="K325" s="285">
        <v>42</v>
      </c>
    </row>
    <row r="326" spans="1:11" ht="75" customHeight="1" x14ac:dyDescent="0.3">
      <c r="A326" s="281">
        <v>320</v>
      </c>
      <c r="B326" s="281" t="s">
        <v>11</v>
      </c>
      <c r="C326" s="281"/>
      <c r="D326" s="281"/>
      <c r="E326" s="281" t="s">
        <v>328</v>
      </c>
      <c r="F326" s="281">
        <v>700100017</v>
      </c>
      <c r="G326" s="281">
        <v>700000017</v>
      </c>
      <c r="H326" s="281" t="s">
        <v>344</v>
      </c>
      <c r="I326" s="281" t="s">
        <v>14</v>
      </c>
      <c r="J326" s="285">
        <v>1080</v>
      </c>
      <c r="K326" s="285">
        <v>1080</v>
      </c>
    </row>
    <row r="327" spans="1:11" ht="75" customHeight="1" x14ac:dyDescent="0.3">
      <c r="A327" s="281">
        <v>321</v>
      </c>
      <c r="B327" s="281" t="s">
        <v>11</v>
      </c>
      <c r="C327" s="281"/>
      <c r="D327" s="281"/>
      <c r="E327" s="281" t="s">
        <v>328</v>
      </c>
      <c r="F327" s="281">
        <v>700100018</v>
      </c>
      <c r="G327" s="281">
        <v>700000018</v>
      </c>
      <c r="H327" s="281" t="s">
        <v>345</v>
      </c>
      <c r="I327" s="281" t="s">
        <v>63</v>
      </c>
      <c r="J327" s="285">
        <v>68.400000000000006</v>
      </c>
      <c r="K327" s="285">
        <v>18</v>
      </c>
    </row>
    <row r="328" spans="1:11" ht="75" customHeight="1" x14ac:dyDescent="0.3">
      <c r="A328" s="281">
        <v>322</v>
      </c>
      <c r="B328" s="281" t="s">
        <v>11</v>
      </c>
      <c r="C328" s="281"/>
      <c r="D328" s="281"/>
      <c r="E328" s="281" t="s">
        <v>328</v>
      </c>
      <c r="F328" s="281">
        <v>700100019</v>
      </c>
      <c r="G328" s="281">
        <v>700000019</v>
      </c>
      <c r="H328" s="281" t="s">
        <v>346</v>
      </c>
      <c r="I328" s="281" t="s">
        <v>63</v>
      </c>
      <c r="J328" s="285">
        <v>0</v>
      </c>
      <c r="K328" s="285">
        <v>25</v>
      </c>
    </row>
    <row r="329" spans="1:11" ht="75" customHeight="1" x14ac:dyDescent="0.3">
      <c r="A329" s="281">
        <v>323</v>
      </c>
      <c r="B329" s="281" t="s">
        <v>11</v>
      </c>
      <c r="C329" s="281"/>
      <c r="D329" s="281"/>
      <c r="E329" s="281" t="s">
        <v>328</v>
      </c>
      <c r="F329" s="281">
        <v>700100020</v>
      </c>
      <c r="G329" s="281">
        <v>700000020</v>
      </c>
      <c r="H329" s="281" t="s">
        <v>347</v>
      </c>
      <c r="I329" s="281" t="s">
        <v>63</v>
      </c>
      <c r="J329" s="285">
        <v>50</v>
      </c>
      <c r="K329" s="285">
        <v>0</v>
      </c>
    </row>
    <row r="330" spans="1:11" ht="75" customHeight="1" x14ac:dyDescent="0.3">
      <c r="A330" s="281">
        <v>324</v>
      </c>
      <c r="B330" s="281" t="s">
        <v>11</v>
      </c>
      <c r="C330" s="281"/>
      <c r="D330" s="281"/>
      <c r="E330" s="281" t="s">
        <v>328</v>
      </c>
      <c r="F330" s="281">
        <v>700100021</v>
      </c>
      <c r="G330" s="281">
        <v>700000021</v>
      </c>
      <c r="H330" s="281" t="s">
        <v>348</v>
      </c>
      <c r="I330" s="281" t="s">
        <v>43</v>
      </c>
      <c r="J330" s="285">
        <v>336</v>
      </c>
      <c r="K330" s="285">
        <v>203</v>
      </c>
    </row>
    <row r="331" spans="1:11" ht="75" customHeight="1" x14ac:dyDescent="0.3">
      <c r="A331" s="281">
        <v>325</v>
      </c>
      <c r="B331" s="281" t="s">
        <v>11</v>
      </c>
      <c r="C331" s="281"/>
      <c r="D331" s="281"/>
      <c r="E331" s="281" t="s">
        <v>328</v>
      </c>
      <c r="F331" s="281">
        <v>700100022</v>
      </c>
      <c r="G331" s="281">
        <v>700000022</v>
      </c>
      <c r="H331" s="281" t="s">
        <v>349</v>
      </c>
      <c r="I331" s="281" t="s">
        <v>43</v>
      </c>
      <c r="J331" s="285">
        <v>207.99639999999999</v>
      </c>
      <c r="K331" s="285">
        <v>0</v>
      </c>
    </row>
    <row r="332" spans="1:11" ht="75" customHeight="1" x14ac:dyDescent="0.3">
      <c r="A332" s="281">
        <v>326</v>
      </c>
      <c r="B332" s="281" t="s">
        <v>11</v>
      </c>
      <c r="C332" s="281"/>
      <c r="D332" s="281"/>
      <c r="E332" s="281" t="s">
        <v>328</v>
      </c>
      <c r="F332" s="281">
        <v>200100089</v>
      </c>
      <c r="G332" s="281">
        <v>700000023</v>
      </c>
      <c r="H332" s="281" t="s">
        <v>350</v>
      </c>
      <c r="I332" s="281" t="s">
        <v>14</v>
      </c>
      <c r="J332" s="285">
        <v>1300</v>
      </c>
      <c r="K332" s="285">
        <v>0</v>
      </c>
    </row>
    <row r="333" spans="1:11" ht="75" customHeight="1" x14ac:dyDescent="0.3">
      <c r="A333" s="281">
        <v>327</v>
      </c>
      <c r="B333" s="281" t="s">
        <v>11</v>
      </c>
      <c r="C333" s="281"/>
      <c r="D333" s="281"/>
      <c r="E333" s="281" t="s">
        <v>328</v>
      </c>
      <c r="F333" s="281">
        <v>200100090</v>
      </c>
      <c r="G333" s="281">
        <v>700000024</v>
      </c>
      <c r="H333" s="281" t="s">
        <v>351</v>
      </c>
      <c r="I333" s="281" t="s">
        <v>14</v>
      </c>
      <c r="J333" s="285">
        <v>3130</v>
      </c>
      <c r="K333" s="285">
        <v>200</v>
      </c>
    </row>
    <row r="334" spans="1:11" ht="75" customHeight="1" x14ac:dyDescent="0.3">
      <c r="A334" s="281">
        <v>328</v>
      </c>
      <c r="B334" s="281" t="s">
        <v>11</v>
      </c>
      <c r="C334" s="281"/>
      <c r="D334" s="281"/>
      <c r="E334" s="281" t="s">
        <v>328</v>
      </c>
      <c r="F334" s="281">
        <v>700100023</v>
      </c>
      <c r="G334" s="281">
        <v>700100023</v>
      </c>
      <c r="H334" s="281" t="s">
        <v>352</v>
      </c>
      <c r="I334" s="281" t="s">
        <v>14</v>
      </c>
      <c r="J334" s="285">
        <v>0</v>
      </c>
      <c r="K334" s="285">
        <v>0</v>
      </c>
    </row>
    <row r="335" spans="1:11" ht="75" customHeight="1" x14ac:dyDescent="0.3">
      <c r="A335" s="281">
        <v>329</v>
      </c>
      <c r="B335" s="281" t="s">
        <v>11</v>
      </c>
      <c r="C335" s="281"/>
      <c r="D335" s="281"/>
      <c r="E335" s="281" t="s">
        <v>328</v>
      </c>
      <c r="F335" s="281">
        <v>700100026</v>
      </c>
      <c r="G335" s="281">
        <v>700100026</v>
      </c>
      <c r="H335" s="281" t="s">
        <v>353</v>
      </c>
      <c r="I335" s="281" t="s">
        <v>41</v>
      </c>
      <c r="J335" s="285">
        <v>4000</v>
      </c>
      <c r="K335" s="285">
        <v>0</v>
      </c>
    </row>
    <row r="336" spans="1:11" ht="75" customHeight="1" x14ac:dyDescent="0.3">
      <c r="A336" s="281">
        <v>330</v>
      </c>
      <c r="B336" s="281" t="s">
        <v>11</v>
      </c>
      <c r="C336" s="281"/>
      <c r="D336" s="281"/>
      <c r="E336" s="281" t="s">
        <v>328</v>
      </c>
      <c r="F336" s="281">
        <v>700100027</v>
      </c>
      <c r="G336" s="281">
        <v>700100027</v>
      </c>
      <c r="H336" s="281" t="s">
        <v>354</v>
      </c>
      <c r="I336" s="281" t="s">
        <v>14</v>
      </c>
      <c r="J336" s="285">
        <v>0</v>
      </c>
      <c r="K336" s="285">
        <v>0</v>
      </c>
    </row>
    <row r="337" spans="1:11" ht="75" customHeight="1" x14ac:dyDescent="0.3">
      <c r="A337" s="281">
        <v>331</v>
      </c>
      <c r="B337" s="281" t="s">
        <v>11</v>
      </c>
      <c r="C337" s="281"/>
      <c r="D337" s="281"/>
      <c r="E337" s="281" t="s">
        <v>328</v>
      </c>
      <c r="F337" s="281">
        <v>700100028</v>
      </c>
      <c r="G337" s="281">
        <v>700100028</v>
      </c>
      <c r="H337" s="281" t="s">
        <v>355</v>
      </c>
      <c r="I337" s="281" t="s">
        <v>14</v>
      </c>
      <c r="J337" s="285">
        <v>1500</v>
      </c>
      <c r="K337" s="285">
        <v>100</v>
      </c>
    </row>
    <row r="338" spans="1:11" ht="90" customHeight="1" x14ac:dyDescent="0.3">
      <c r="A338" s="281">
        <v>332</v>
      </c>
      <c r="B338" s="281" t="s">
        <v>11</v>
      </c>
      <c r="C338" s="281"/>
      <c r="D338" s="281"/>
      <c r="E338" s="281" t="s">
        <v>328</v>
      </c>
      <c r="F338" s="281">
        <v>700100029</v>
      </c>
      <c r="G338" s="281">
        <v>700100029</v>
      </c>
      <c r="H338" s="281" t="s">
        <v>356</v>
      </c>
      <c r="I338" s="281" t="s">
        <v>41</v>
      </c>
      <c r="J338" s="285">
        <v>0</v>
      </c>
      <c r="K338" s="285">
        <v>0</v>
      </c>
    </row>
    <row r="339" spans="1:11" ht="75" customHeight="1" x14ac:dyDescent="0.3">
      <c r="A339" s="281">
        <v>333</v>
      </c>
      <c r="B339" s="281" t="s">
        <v>11</v>
      </c>
      <c r="C339" s="281"/>
      <c r="D339" s="281"/>
      <c r="E339" s="281" t="s">
        <v>328</v>
      </c>
      <c r="F339" s="281">
        <v>700100024</v>
      </c>
      <c r="G339" s="281">
        <v>700100031</v>
      </c>
      <c r="H339" s="281" t="s">
        <v>357</v>
      </c>
      <c r="I339" s="281" t="s">
        <v>14</v>
      </c>
      <c r="J339" s="285">
        <v>35</v>
      </c>
      <c r="K339" s="285">
        <v>0</v>
      </c>
    </row>
    <row r="340" spans="1:11" ht="90" customHeight="1" x14ac:dyDescent="0.3">
      <c r="A340" s="281">
        <v>334</v>
      </c>
      <c r="B340" s="281" t="s">
        <v>11</v>
      </c>
      <c r="C340" s="281"/>
      <c r="D340" s="281"/>
      <c r="E340" s="281" t="s">
        <v>328</v>
      </c>
      <c r="F340" s="281">
        <v>700100031</v>
      </c>
      <c r="G340" s="281">
        <v>700100032</v>
      </c>
      <c r="H340" s="281" t="s">
        <v>358</v>
      </c>
      <c r="I340" s="281" t="s">
        <v>41</v>
      </c>
      <c r="J340" s="285">
        <v>100000</v>
      </c>
      <c r="K340" s="285">
        <v>23000</v>
      </c>
    </row>
    <row r="341" spans="1:11" ht="75" customHeight="1" x14ac:dyDescent="0.3">
      <c r="A341" s="281">
        <v>335</v>
      </c>
      <c r="B341" s="281" t="s">
        <v>11</v>
      </c>
      <c r="C341" s="281"/>
      <c r="D341" s="281"/>
      <c r="E341" s="281" t="s">
        <v>328</v>
      </c>
      <c r="F341" s="281">
        <v>700100033</v>
      </c>
      <c r="G341" s="281">
        <v>700100033</v>
      </c>
      <c r="H341" s="281" t="s">
        <v>359</v>
      </c>
      <c r="I341" s="281" t="s">
        <v>14</v>
      </c>
      <c r="J341" s="285">
        <v>9</v>
      </c>
      <c r="K341" s="285">
        <v>0</v>
      </c>
    </row>
    <row r="342" spans="1:11" ht="75" customHeight="1" x14ac:dyDescent="0.3">
      <c r="A342" s="281">
        <v>336</v>
      </c>
      <c r="B342" s="281" t="s">
        <v>11</v>
      </c>
      <c r="C342" s="281"/>
      <c r="D342" s="281"/>
      <c r="E342" s="281" t="s">
        <v>328</v>
      </c>
      <c r="F342" s="281">
        <v>700100032</v>
      </c>
      <c r="G342" s="281">
        <v>700100034</v>
      </c>
      <c r="H342" s="281" t="s">
        <v>360</v>
      </c>
      <c r="I342" s="281" t="s">
        <v>14</v>
      </c>
      <c r="J342" s="285">
        <v>0</v>
      </c>
      <c r="K342" s="285">
        <v>0</v>
      </c>
    </row>
    <row r="343" spans="1:11" ht="75" customHeight="1" x14ac:dyDescent="0.3">
      <c r="A343" s="281">
        <v>337</v>
      </c>
      <c r="B343" s="281" t="s">
        <v>11</v>
      </c>
      <c r="C343" s="281"/>
      <c r="D343" s="281"/>
      <c r="E343" s="281" t="s">
        <v>328</v>
      </c>
      <c r="F343" s="281">
        <v>700100034</v>
      </c>
      <c r="G343" s="281">
        <v>700100035</v>
      </c>
      <c r="H343" s="281" t="s">
        <v>361</v>
      </c>
      <c r="I343" s="281" t="s">
        <v>41</v>
      </c>
      <c r="J343" s="285">
        <v>0</v>
      </c>
      <c r="K343" s="285">
        <v>20000</v>
      </c>
    </row>
    <row r="344" spans="1:11" ht="75" customHeight="1" x14ac:dyDescent="0.3">
      <c r="A344" s="281">
        <v>338</v>
      </c>
      <c r="B344" s="281" t="s">
        <v>11</v>
      </c>
      <c r="C344" s="281"/>
      <c r="D344" s="281"/>
      <c r="E344" s="281" t="s">
        <v>328</v>
      </c>
      <c r="F344" s="281">
        <v>700100035</v>
      </c>
      <c r="G344" s="281">
        <v>700100036</v>
      </c>
      <c r="H344" s="281" t="s">
        <v>362</v>
      </c>
      <c r="I344" s="281" t="s">
        <v>41</v>
      </c>
      <c r="J344" s="285">
        <v>0</v>
      </c>
      <c r="K344" s="285">
        <v>0</v>
      </c>
    </row>
    <row r="345" spans="1:11" ht="75" customHeight="1" x14ac:dyDescent="0.3">
      <c r="A345" s="281">
        <v>339</v>
      </c>
      <c r="B345" s="281" t="s">
        <v>11</v>
      </c>
      <c r="C345" s="281"/>
      <c r="D345" s="281"/>
      <c r="E345" s="281" t="s">
        <v>328</v>
      </c>
      <c r="F345" s="281">
        <v>700100036</v>
      </c>
      <c r="G345" s="281">
        <v>700100037</v>
      </c>
      <c r="H345" s="281" t="s">
        <v>363</v>
      </c>
      <c r="I345" s="281" t="s">
        <v>37</v>
      </c>
      <c r="J345" s="285">
        <v>0</v>
      </c>
      <c r="K345" s="285">
        <v>0</v>
      </c>
    </row>
    <row r="346" spans="1:11" ht="75" customHeight="1" x14ac:dyDescent="0.3">
      <c r="A346" s="281">
        <v>340</v>
      </c>
      <c r="B346" s="281" t="s">
        <v>11</v>
      </c>
      <c r="C346" s="281"/>
      <c r="D346" s="281"/>
      <c r="E346" s="281" t="s">
        <v>328</v>
      </c>
      <c r="F346" s="281">
        <v>700100037</v>
      </c>
      <c r="G346" s="281">
        <v>700100038</v>
      </c>
      <c r="H346" s="281" t="s">
        <v>364</v>
      </c>
      <c r="I346" s="281" t="s">
        <v>41</v>
      </c>
      <c r="J346" s="285">
        <v>0</v>
      </c>
      <c r="K346" s="285"/>
    </row>
    <row r="347" spans="1:11" ht="120" customHeight="1" x14ac:dyDescent="0.3">
      <c r="A347" s="281">
        <v>341</v>
      </c>
      <c r="B347" s="281" t="s">
        <v>11</v>
      </c>
      <c r="C347" s="281"/>
      <c r="D347" s="281"/>
      <c r="E347" s="281" t="s">
        <v>328</v>
      </c>
      <c r="F347" s="281">
        <v>700100038</v>
      </c>
      <c r="G347" s="281">
        <v>700100039</v>
      </c>
      <c r="H347" s="281" t="s">
        <v>365</v>
      </c>
      <c r="I347" s="281" t="s">
        <v>37</v>
      </c>
      <c r="J347" s="285">
        <v>5400</v>
      </c>
      <c r="K347" s="285">
        <v>3600</v>
      </c>
    </row>
    <row r="348" spans="1:11" ht="30" customHeight="1" x14ac:dyDescent="0.3">
      <c r="A348" s="281">
        <v>342</v>
      </c>
      <c r="B348" s="281" t="s">
        <v>11</v>
      </c>
      <c r="C348" s="281"/>
      <c r="D348" s="281"/>
      <c r="E348" s="281" t="s">
        <v>139</v>
      </c>
      <c r="F348" s="281">
        <v>200200010</v>
      </c>
      <c r="G348" s="281" t="s">
        <v>366</v>
      </c>
      <c r="H348" s="281" t="s">
        <v>367</v>
      </c>
      <c r="I348" s="281" t="s">
        <v>41</v>
      </c>
      <c r="J348" s="285">
        <v>0</v>
      </c>
      <c r="K348" s="285">
        <v>0</v>
      </c>
    </row>
    <row r="349" spans="1:11" ht="75" customHeight="1" x14ac:dyDescent="0.3">
      <c r="A349" s="281">
        <v>343</v>
      </c>
      <c r="B349" s="281" t="s">
        <v>11</v>
      </c>
      <c r="C349" s="281"/>
      <c r="D349" s="281"/>
      <c r="E349" s="281" t="s">
        <v>328</v>
      </c>
      <c r="F349" s="281">
        <v>700100016</v>
      </c>
      <c r="G349" s="281" t="s">
        <v>368</v>
      </c>
      <c r="H349" s="281" t="s">
        <v>369</v>
      </c>
      <c r="I349" s="281" t="s">
        <v>41</v>
      </c>
      <c r="J349" s="285">
        <v>0</v>
      </c>
      <c r="K349" s="285">
        <v>0</v>
      </c>
    </row>
    <row r="350" spans="1:11" ht="90" customHeight="1" x14ac:dyDescent="0.3">
      <c r="A350" s="281">
        <v>344</v>
      </c>
      <c r="B350" s="281" t="s">
        <v>11</v>
      </c>
      <c r="C350" s="281"/>
      <c r="D350" s="281"/>
      <c r="E350" s="281" t="s">
        <v>370</v>
      </c>
      <c r="F350" s="281">
        <v>1300100005</v>
      </c>
      <c r="G350" s="281" t="s">
        <v>371</v>
      </c>
      <c r="H350" s="281" t="s">
        <v>372</v>
      </c>
      <c r="I350" s="281" t="s">
        <v>41</v>
      </c>
      <c r="J350" s="285">
        <v>0</v>
      </c>
      <c r="K350" s="285">
        <v>3523</v>
      </c>
    </row>
    <row r="351" spans="1:11" ht="90" customHeight="1" x14ac:dyDescent="0.3">
      <c r="A351" s="281">
        <v>345</v>
      </c>
      <c r="B351" s="281" t="s">
        <v>11</v>
      </c>
      <c r="C351" s="281"/>
      <c r="D351" s="281"/>
      <c r="E351" s="281" t="s">
        <v>370</v>
      </c>
      <c r="F351" s="281">
        <v>1300100006</v>
      </c>
      <c r="G351" s="281" t="s">
        <v>373</v>
      </c>
      <c r="H351" s="281" t="s">
        <v>374</v>
      </c>
      <c r="I351" s="281" t="s">
        <v>41</v>
      </c>
      <c r="J351" s="285">
        <v>0</v>
      </c>
      <c r="K351" s="285">
        <v>7616</v>
      </c>
    </row>
    <row r="352" spans="1:11" ht="90" customHeight="1" x14ac:dyDescent="0.3">
      <c r="A352" s="281">
        <v>346</v>
      </c>
      <c r="B352" s="281" t="s">
        <v>11</v>
      </c>
      <c r="C352" s="281"/>
      <c r="D352" s="281"/>
      <c r="E352" s="281" t="s">
        <v>370</v>
      </c>
      <c r="F352" s="281">
        <v>1300100007</v>
      </c>
      <c r="G352" s="281" t="s">
        <v>375</v>
      </c>
      <c r="H352" s="281" t="s">
        <v>376</v>
      </c>
      <c r="I352" s="281" t="s">
        <v>41</v>
      </c>
      <c r="J352" s="285">
        <v>0</v>
      </c>
      <c r="K352" s="285">
        <v>2687</v>
      </c>
    </row>
    <row r="353" spans="1:11" ht="90" customHeight="1" x14ac:dyDescent="0.3">
      <c r="A353" s="281">
        <v>347</v>
      </c>
      <c r="B353" s="281" t="s">
        <v>11</v>
      </c>
      <c r="C353" s="281"/>
      <c r="D353" s="281"/>
      <c r="E353" s="281" t="s">
        <v>370</v>
      </c>
      <c r="F353" s="281">
        <v>1300100008</v>
      </c>
      <c r="G353" s="281" t="s">
        <v>377</v>
      </c>
      <c r="H353" s="281" t="s">
        <v>378</v>
      </c>
      <c r="I353" s="281" t="s">
        <v>41</v>
      </c>
      <c r="J353" s="285">
        <v>0</v>
      </c>
      <c r="K353" s="285">
        <v>3405</v>
      </c>
    </row>
    <row r="354" spans="1:11" ht="90" customHeight="1" x14ac:dyDescent="0.3">
      <c r="A354" s="281">
        <v>348</v>
      </c>
      <c r="B354" s="281" t="s">
        <v>11</v>
      </c>
      <c r="C354" s="281"/>
      <c r="D354" s="281"/>
      <c r="E354" s="281" t="s">
        <v>370</v>
      </c>
      <c r="F354" s="281">
        <v>1300100009</v>
      </c>
      <c r="G354" s="281" t="s">
        <v>379</v>
      </c>
      <c r="H354" s="281" t="s">
        <v>380</v>
      </c>
      <c r="I354" s="281" t="s">
        <v>41</v>
      </c>
      <c r="J354" s="285">
        <v>0</v>
      </c>
      <c r="K354" s="285">
        <v>3920</v>
      </c>
    </row>
    <row r="355" spans="1:11" ht="90" customHeight="1" x14ac:dyDescent="0.3">
      <c r="A355" s="281">
        <v>349</v>
      </c>
      <c r="B355" s="281" t="s">
        <v>11</v>
      </c>
      <c r="C355" s="281"/>
      <c r="D355" s="281"/>
      <c r="E355" s="281" t="s">
        <v>370</v>
      </c>
      <c r="F355" s="281">
        <v>1300100014</v>
      </c>
      <c r="G355" s="281" t="s">
        <v>381</v>
      </c>
      <c r="H355" s="281" t="s">
        <v>382</v>
      </c>
      <c r="I355" s="281" t="s">
        <v>41</v>
      </c>
      <c r="J355" s="285">
        <v>0</v>
      </c>
      <c r="K355" s="285">
        <v>4296</v>
      </c>
    </row>
    <row r="356" spans="1:11" ht="90" customHeight="1" x14ac:dyDescent="0.3">
      <c r="A356" s="281">
        <v>350</v>
      </c>
      <c r="B356" s="281" t="s">
        <v>11</v>
      </c>
      <c r="C356" s="281"/>
      <c r="D356" s="281"/>
      <c r="E356" s="281" t="s">
        <v>370</v>
      </c>
      <c r="F356" s="281">
        <v>1300100015</v>
      </c>
      <c r="G356" s="281" t="s">
        <v>383</v>
      </c>
      <c r="H356" s="281" t="s">
        <v>384</v>
      </c>
      <c r="I356" s="281" t="s">
        <v>41</v>
      </c>
      <c r="J356" s="285">
        <v>0</v>
      </c>
      <c r="K356" s="285">
        <v>7340</v>
      </c>
    </row>
    <row r="357" spans="1:11" ht="90" customHeight="1" x14ac:dyDescent="0.3">
      <c r="A357" s="281">
        <v>351</v>
      </c>
      <c r="B357" s="281" t="s">
        <v>11</v>
      </c>
      <c r="C357" s="281"/>
      <c r="D357" s="281"/>
      <c r="E357" s="281" t="s">
        <v>370</v>
      </c>
      <c r="F357" s="281">
        <v>1300100016</v>
      </c>
      <c r="G357" s="281" t="s">
        <v>385</v>
      </c>
      <c r="H357" s="281" t="s">
        <v>386</v>
      </c>
      <c r="I357" s="281" t="s">
        <v>41</v>
      </c>
      <c r="J357" s="285">
        <v>0</v>
      </c>
      <c r="K357" s="285">
        <v>2641</v>
      </c>
    </row>
    <row r="358" spans="1:11" ht="90" customHeight="1" x14ac:dyDescent="0.3">
      <c r="A358" s="281">
        <v>352</v>
      </c>
      <c r="B358" s="281" t="s">
        <v>11</v>
      </c>
      <c r="C358" s="281"/>
      <c r="D358" s="281"/>
      <c r="E358" s="281" t="s">
        <v>370</v>
      </c>
      <c r="F358" s="281">
        <v>1300100017</v>
      </c>
      <c r="G358" s="281" t="s">
        <v>387</v>
      </c>
      <c r="H358" s="281" t="s">
        <v>388</v>
      </c>
      <c r="I358" s="281" t="s">
        <v>41</v>
      </c>
      <c r="J358" s="285">
        <v>0</v>
      </c>
      <c r="K358" s="285">
        <v>8064</v>
      </c>
    </row>
    <row r="359" spans="1:11" ht="90" customHeight="1" x14ac:dyDescent="0.3">
      <c r="A359" s="281">
        <v>353</v>
      </c>
      <c r="B359" s="281" t="s">
        <v>11</v>
      </c>
      <c r="C359" s="281"/>
      <c r="D359" s="281"/>
      <c r="E359" s="281" t="s">
        <v>370</v>
      </c>
      <c r="F359" s="281">
        <v>1300100018</v>
      </c>
      <c r="G359" s="281" t="s">
        <v>389</v>
      </c>
      <c r="H359" s="281" t="s">
        <v>390</v>
      </c>
      <c r="I359" s="281" t="s">
        <v>41</v>
      </c>
      <c r="J359" s="285">
        <v>0</v>
      </c>
      <c r="K359" s="285">
        <v>4091</v>
      </c>
    </row>
    <row r="360" spans="1:11" ht="45" customHeight="1" x14ac:dyDescent="0.3">
      <c r="A360" s="281">
        <v>354</v>
      </c>
      <c r="B360" s="281" t="s">
        <v>11</v>
      </c>
      <c r="C360" s="281"/>
      <c r="D360" s="281"/>
      <c r="E360" s="281" t="s">
        <v>370</v>
      </c>
      <c r="F360" s="281">
        <v>1300100020</v>
      </c>
      <c r="G360" s="281" t="s">
        <v>391</v>
      </c>
      <c r="H360" s="281" t="s">
        <v>392</v>
      </c>
      <c r="I360" s="281" t="s">
        <v>41</v>
      </c>
      <c r="J360" s="285">
        <v>0</v>
      </c>
      <c r="K360" s="285">
        <v>11125</v>
      </c>
    </row>
    <row r="361" spans="1:11" ht="60" customHeight="1" x14ac:dyDescent="0.3">
      <c r="A361" s="281">
        <v>355</v>
      </c>
      <c r="B361" s="281" t="s">
        <v>11</v>
      </c>
      <c r="C361" s="281"/>
      <c r="D361" s="281"/>
      <c r="E361" s="281" t="s">
        <v>370</v>
      </c>
      <c r="F361" s="281">
        <v>1300100026</v>
      </c>
      <c r="G361" s="281" t="s">
        <v>393</v>
      </c>
      <c r="H361" s="281" t="s">
        <v>394</v>
      </c>
      <c r="I361" s="281" t="s">
        <v>41</v>
      </c>
      <c r="J361" s="285">
        <v>0</v>
      </c>
      <c r="K361" s="285">
        <v>4007</v>
      </c>
    </row>
    <row r="362" spans="1:11" ht="75" customHeight="1" x14ac:dyDescent="0.3">
      <c r="A362" s="281">
        <v>356</v>
      </c>
      <c r="B362" s="281" t="s">
        <v>11</v>
      </c>
      <c r="C362" s="281"/>
      <c r="D362" s="281"/>
      <c r="E362" s="281" t="s">
        <v>370</v>
      </c>
      <c r="F362" s="281">
        <v>1300100027</v>
      </c>
      <c r="G362" s="281" t="s">
        <v>395</v>
      </c>
      <c r="H362" s="281" t="s">
        <v>396</v>
      </c>
      <c r="I362" s="281" t="s">
        <v>41</v>
      </c>
      <c r="J362" s="285">
        <v>0</v>
      </c>
      <c r="K362" s="285">
        <v>0</v>
      </c>
    </row>
    <row r="363" spans="1:11" ht="75" customHeight="1" x14ac:dyDescent="0.3">
      <c r="A363" s="281">
        <v>357</v>
      </c>
      <c r="B363" s="281" t="s">
        <v>11</v>
      </c>
      <c r="C363" s="281"/>
      <c r="D363" s="281"/>
      <c r="E363" s="281" t="s">
        <v>370</v>
      </c>
      <c r="F363" s="281">
        <v>1300100028</v>
      </c>
      <c r="G363" s="281" t="s">
        <v>397</v>
      </c>
      <c r="H363" s="281" t="s">
        <v>398</v>
      </c>
      <c r="I363" s="281" t="s">
        <v>41</v>
      </c>
      <c r="J363" s="285">
        <v>0</v>
      </c>
      <c r="K363" s="285">
        <v>0</v>
      </c>
    </row>
    <row r="364" spans="1:11" ht="105" customHeight="1" x14ac:dyDescent="0.3">
      <c r="A364" s="281">
        <v>358</v>
      </c>
      <c r="B364" s="281" t="s">
        <v>11</v>
      </c>
      <c r="C364" s="281"/>
      <c r="D364" s="281"/>
      <c r="E364" s="281" t="s">
        <v>370</v>
      </c>
      <c r="F364" s="281">
        <v>1300100029</v>
      </c>
      <c r="G364" s="281" t="s">
        <v>399</v>
      </c>
      <c r="H364" s="281" t="s">
        <v>400</v>
      </c>
      <c r="I364" s="281" t="s">
        <v>41</v>
      </c>
      <c r="J364" s="285">
        <v>0</v>
      </c>
      <c r="K364" s="285">
        <v>0</v>
      </c>
    </row>
    <row r="365" spans="1:11" ht="75" customHeight="1" x14ac:dyDescent="0.3">
      <c r="A365" s="281">
        <v>359</v>
      </c>
      <c r="B365" s="281" t="s">
        <v>11</v>
      </c>
      <c r="C365" s="281"/>
      <c r="D365" s="281"/>
      <c r="E365" s="281" t="s">
        <v>370</v>
      </c>
      <c r="F365" s="281">
        <v>1300100030</v>
      </c>
      <c r="G365" s="281" t="s">
        <v>401</v>
      </c>
      <c r="H365" s="281" t="s">
        <v>402</v>
      </c>
      <c r="I365" s="281" t="s">
        <v>41</v>
      </c>
      <c r="J365" s="285">
        <v>0</v>
      </c>
      <c r="K365" s="285">
        <v>923</v>
      </c>
    </row>
    <row r="366" spans="1:11" ht="60" customHeight="1" x14ac:dyDescent="0.3">
      <c r="A366" s="281">
        <v>360</v>
      </c>
      <c r="B366" s="281" t="s">
        <v>11</v>
      </c>
      <c r="C366" s="281"/>
      <c r="D366" s="281"/>
      <c r="E366" s="281" t="s">
        <v>370</v>
      </c>
      <c r="F366" s="281">
        <v>1300100039</v>
      </c>
      <c r="G366" s="281" t="s">
        <v>403</v>
      </c>
      <c r="H366" s="281" t="s">
        <v>404</v>
      </c>
      <c r="I366" s="281" t="s">
        <v>41</v>
      </c>
      <c r="J366" s="285">
        <v>0</v>
      </c>
      <c r="K366" s="285">
        <v>4814</v>
      </c>
    </row>
    <row r="367" spans="1:11" ht="60" customHeight="1" x14ac:dyDescent="0.3">
      <c r="A367" s="281">
        <v>361</v>
      </c>
      <c r="B367" s="281" t="s">
        <v>11</v>
      </c>
      <c r="C367" s="281"/>
      <c r="D367" s="281"/>
      <c r="E367" s="281" t="s">
        <v>370</v>
      </c>
      <c r="F367" s="281">
        <v>1300100040</v>
      </c>
      <c r="G367" s="281" t="s">
        <v>405</v>
      </c>
      <c r="H367" s="281" t="s">
        <v>406</v>
      </c>
      <c r="I367" s="281" t="s">
        <v>41</v>
      </c>
      <c r="J367" s="285">
        <v>0</v>
      </c>
      <c r="K367" s="285">
        <v>227</v>
      </c>
    </row>
    <row r="368" spans="1:11" ht="90" customHeight="1" x14ac:dyDescent="0.3">
      <c r="A368" s="281">
        <v>362</v>
      </c>
      <c r="B368" s="281" t="s">
        <v>11</v>
      </c>
      <c r="C368" s="281"/>
      <c r="D368" s="281"/>
      <c r="E368" s="281" t="s">
        <v>370</v>
      </c>
      <c r="F368" s="281">
        <v>1300100041</v>
      </c>
      <c r="G368" s="281" t="s">
        <v>407</v>
      </c>
      <c r="H368" s="281" t="s">
        <v>408</v>
      </c>
      <c r="I368" s="281" t="s">
        <v>41</v>
      </c>
      <c r="J368" s="285">
        <v>0</v>
      </c>
      <c r="K368" s="285">
        <v>0</v>
      </c>
    </row>
    <row r="369" spans="1:11" ht="60" customHeight="1" x14ac:dyDescent="0.3">
      <c r="A369" s="281">
        <v>363</v>
      </c>
      <c r="B369" s="281" t="s">
        <v>11</v>
      </c>
      <c r="C369" s="281"/>
      <c r="D369" s="281"/>
      <c r="E369" s="281" t="s">
        <v>370</v>
      </c>
      <c r="F369" s="281">
        <v>1300100042</v>
      </c>
      <c r="G369" s="281" t="s">
        <v>409</v>
      </c>
      <c r="H369" s="281" t="s">
        <v>410</v>
      </c>
      <c r="I369" s="281" t="s">
        <v>41</v>
      </c>
      <c r="J369" s="285">
        <v>0</v>
      </c>
      <c r="K369" s="285">
        <v>3235</v>
      </c>
    </row>
    <row r="370" spans="1:11" ht="60" customHeight="1" x14ac:dyDescent="0.3">
      <c r="A370" s="281">
        <v>364</v>
      </c>
      <c r="B370" s="281" t="s">
        <v>11</v>
      </c>
      <c r="C370" s="281"/>
      <c r="D370" s="281"/>
      <c r="E370" s="281" t="s">
        <v>370</v>
      </c>
      <c r="F370" s="281">
        <v>1300100056</v>
      </c>
      <c r="G370" s="281" t="s">
        <v>411</v>
      </c>
      <c r="H370" s="281" t="s">
        <v>412</v>
      </c>
      <c r="I370" s="281" t="s">
        <v>126</v>
      </c>
      <c r="J370" s="285">
        <v>0</v>
      </c>
      <c r="K370" s="285">
        <v>142</v>
      </c>
    </row>
    <row r="371" spans="1:11" ht="60" customHeight="1" x14ac:dyDescent="0.3">
      <c r="A371" s="281">
        <v>365</v>
      </c>
      <c r="B371" s="281" t="s">
        <v>11</v>
      </c>
      <c r="C371" s="281"/>
      <c r="D371" s="281"/>
      <c r="E371" s="281" t="s">
        <v>370</v>
      </c>
      <c r="F371" s="281">
        <v>1300100058</v>
      </c>
      <c r="G371" s="281" t="s">
        <v>413</v>
      </c>
      <c r="H371" s="281" t="s">
        <v>414</v>
      </c>
      <c r="I371" s="281" t="s">
        <v>126</v>
      </c>
      <c r="J371" s="285">
        <v>0</v>
      </c>
      <c r="K371" s="285">
        <v>3793</v>
      </c>
    </row>
    <row r="372" spans="1:11" ht="60" customHeight="1" x14ac:dyDescent="0.3">
      <c r="A372" s="281">
        <v>366</v>
      </c>
      <c r="B372" s="281" t="s">
        <v>11</v>
      </c>
      <c r="C372" s="281"/>
      <c r="D372" s="281"/>
      <c r="E372" s="281" t="s">
        <v>370</v>
      </c>
      <c r="F372" s="281">
        <v>1300100059</v>
      </c>
      <c r="G372" s="281" t="s">
        <v>415</v>
      </c>
      <c r="H372" s="281" t="s">
        <v>416</v>
      </c>
      <c r="I372" s="281" t="s">
        <v>126</v>
      </c>
      <c r="J372" s="285">
        <v>0</v>
      </c>
      <c r="K372" s="285">
        <v>65</v>
      </c>
    </row>
    <row r="373" spans="1:11" ht="120" customHeight="1" x14ac:dyDescent="0.3">
      <c r="A373" s="281">
        <v>367</v>
      </c>
      <c r="B373" s="281" t="s">
        <v>11</v>
      </c>
      <c r="C373" s="281"/>
      <c r="D373" s="281"/>
      <c r="E373" s="281" t="s">
        <v>370</v>
      </c>
      <c r="F373" s="281">
        <v>1300100064</v>
      </c>
      <c r="G373" s="281" t="s">
        <v>417</v>
      </c>
      <c r="H373" s="281" t="s">
        <v>418</v>
      </c>
      <c r="I373" s="281" t="s">
        <v>41</v>
      </c>
      <c r="J373" s="285">
        <v>0</v>
      </c>
      <c r="K373" s="285">
        <v>5460</v>
      </c>
    </row>
    <row r="374" spans="1:11" ht="105" customHeight="1" x14ac:dyDescent="0.3">
      <c r="A374" s="281">
        <v>368</v>
      </c>
      <c r="B374" s="281" t="s">
        <v>11</v>
      </c>
      <c r="C374" s="281"/>
      <c r="D374" s="281"/>
      <c r="E374" s="281" t="s">
        <v>370</v>
      </c>
      <c r="F374" s="281">
        <v>1300100065</v>
      </c>
      <c r="G374" s="281" t="s">
        <v>419</v>
      </c>
      <c r="H374" s="281" t="s">
        <v>420</v>
      </c>
      <c r="I374" s="281" t="s">
        <v>41</v>
      </c>
      <c r="J374" s="285">
        <v>0</v>
      </c>
      <c r="K374" s="285">
        <v>7173</v>
      </c>
    </row>
    <row r="375" spans="1:11" ht="75" customHeight="1" x14ac:dyDescent="0.3">
      <c r="A375" s="281">
        <v>369</v>
      </c>
      <c r="B375" s="281" t="s">
        <v>11</v>
      </c>
      <c r="C375" s="281"/>
      <c r="D375" s="281"/>
      <c r="E375" s="281" t="s">
        <v>370</v>
      </c>
      <c r="F375" s="281">
        <v>1300100068</v>
      </c>
      <c r="G375" s="281" t="s">
        <v>421</v>
      </c>
      <c r="H375" s="281" t="s">
        <v>422</v>
      </c>
      <c r="I375" s="281" t="s">
        <v>41</v>
      </c>
      <c r="J375" s="285">
        <v>0</v>
      </c>
      <c r="K375" s="285">
        <v>0</v>
      </c>
    </row>
    <row r="376" spans="1:11" ht="60" customHeight="1" x14ac:dyDescent="0.3">
      <c r="A376" s="281">
        <v>370</v>
      </c>
      <c r="B376" s="281" t="s">
        <v>11</v>
      </c>
      <c r="C376" s="281"/>
      <c r="D376" s="281"/>
      <c r="E376" s="281" t="s">
        <v>370</v>
      </c>
      <c r="F376" s="281">
        <v>1300100069</v>
      </c>
      <c r="G376" s="281" t="s">
        <v>423</v>
      </c>
      <c r="H376" s="281" t="s">
        <v>424</v>
      </c>
      <c r="I376" s="281" t="s">
        <v>41</v>
      </c>
      <c r="J376" s="285">
        <v>0</v>
      </c>
      <c r="K376" s="285">
        <v>4230</v>
      </c>
    </row>
    <row r="377" spans="1:11" ht="90" customHeight="1" x14ac:dyDescent="0.3">
      <c r="A377" s="281">
        <v>371</v>
      </c>
      <c r="B377" s="281" t="s">
        <v>11</v>
      </c>
      <c r="C377" s="281"/>
      <c r="D377" s="281"/>
      <c r="E377" s="281" t="s">
        <v>370</v>
      </c>
      <c r="F377" s="281">
        <v>1300100070</v>
      </c>
      <c r="G377" s="281" t="s">
        <v>425</v>
      </c>
      <c r="H377" s="281" t="s">
        <v>426</v>
      </c>
      <c r="I377" s="281" t="s">
        <v>126</v>
      </c>
      <c r="J377" s="285">
        <v>0</v>
      </c>
      <c r="K377" s="285">
        <v>3897</v>
      </c>
    </row>
    <row r="378" spans="1:11" ht="90" customHeight="1" x14ac:dyDescent="0.3">
      <c r="A378" s="281">
        <v>372</v>
      </c>
      <c r="B378" s="281" t="s">
        <v>11</v>
      </c>
      <c r="C378" s="281"/>
      <c r="D378" s="281"/>
      <c r="E378" s="281" t="s">
        <v>370</v>
      </c>
      <c r="F378" s="281">
        <v>1300100071</v>
      </c>
      <c r="G378" s="281" t="s">
        <v>427</v>
      </c>
      <c r="H378" s="281" t="s">
        <v>428</v>
      </c>
      <c r="I378" s="281" t="s">
        <v>126</v>
      </c>
      <c r="J378" s="285">
        <v>0</v>
      </c>
      <c r="K378" s="285">
        <v>4742</v>
      </c>
    </row>
    <row r="379" spans="1:11" ht="90" customHeight="1" x14ac:dyDescent="0.3">
      <c r="A379" s="281">
        <v>373</v>
      </c>
      <c r="B379" s="281" t="s">
        <v>11</v>
      </c>
      <c r="C379" s="281"/>
      <c r="D379" s="281"/>
      <c r="E379" s="281" t="s">
        <v>370</v>
      </c>
      <c r="F379" s="281">
        <v>1300100072</v>
      </c>
      <c r="G379" s="281" t="s">
        <v>429</v>
      </c>
      <c r="H379" s="281" t="s">
        <v>430</v>
      </c>
      <c r="I379" s="281" t="s">
        <v>126</v>
      </c>
      <c r="J379" s="285">
        <v>2</v>
      </c>
      <c r="K379" s="285">
        <v>21</v>
      </c>
    </row>
    <row r="380" spans="1:11" ht="90" customHeight="1" x14ac:dyDescent="0.3">
      <c r="A380" s="281">
        <v>374</v>
      </c>
      <c r="B380" s="281" t="s">
        <v>11</v>
      </c>
      <c r="C380" s="281"/>
      <c r="D380" s="281"/>
      <c r="E380" s="281" t="s">
        <v>370</v>
      </c>
      <c r="F380" s="281">
        <v>1300100073</v>
      </c>
      <c r="G380" s="281" t="s">
        <v>431</v>
      </c>
      <c r="H380" s="281" t="s">
        <v>432</v>
      </c>
      <c r="I380" s="281" t="s">
        <v>126</v>
      </c>
      <c r="J380" s="285">
        <v>1</v>
      </c>
      <c r="K380" s="285">
        <v>1383</v>
      </c>
    </row>
    <row r="381" spans="1:11" ht="90" customHeight="1" x14ac:dyDescent="0.3">
      <c r="A381" s="281">
        <v>375</v>
      </c>
      <c r="B381" s="281" t="s">
        <v>11</v>
      </c>
      <c r="C381" s="281"/>
      <c r="D381" s="281"/>
      <c r="E381" s="281" t="s">
        <v>370</v>
      </c>
      <c r="F381" s="281">
        <v>1300100074</v>
      </c>
      <c r="G381" s="281" t="s">
        <v>433</v>
      </c>
      <c r="H381" s="281" t="s">
        <v>434</v>
      </c>
      <c r="I381" s="281" t="s">
        <v>126</v>
      </c>
      <c r="J381" s="285">
        <v>21</v>
      </c>
      <c r="K381" s="285">
        <v>700</v>
      </c>
    </row>
    <row r="382" spans="1:11" ht="105" customHeight="1" x14ac:dyDescent="0.3">
      <c r="A382" s="281">
        <v>376</v>
      </c>
      <c r="B382" s="281" t="s">
        <v>11</v>
      </c>
      <c r="C382" s="281"/>
      <c r="D382" s="281"/>
      <c r="E382" s="281" t="s">
        <v>370</v>
      </c>
      <c r="F382" s="281">
        <v>1300100075</v>
      </c>
      <c r="G382" s="281" t="s">
        <v>435</v>
      </c>
      <c r="H382" s="281" t="s">
        <v>436</v>
      </c>
      <c r="I382" s="281" t="s">
        <v>126</v>
      </c>
      <c r="J382" s="285">
        <v>10</v>
      </c>
      <c r="K382" s="285">
        <v>1056</v>
      </c>
    </row>
    <row r="383" spans="1:11" ht="105" customHeight="1" x14ac:dyDescent="0.3">
      <c r="A383" s="281">
        <v>377</v>
      </c>
      <c r="B383" s="281" t="s">
        <v>11</v>
      </c>
      <c r="C383" s="281"/>
      <c r="D383" s="281"/>
      <c r="E383" s="281" t="s">
        <v>370</v>
      </c>
      <c r="F383" s="281">
        <v>1300100076</v>
      </c>
      <c r="G383" s="281" t="s">
        <v>437</v>
      </c>
      <c r="H383" s="281" t="s">
        <v>438</v>
      </c>
      <c r="I383" s="281" t="s">
        <v>41</v>
      </c>
      <c r="J383" s="285">
        <v>1</v>
      </c>
      <c r="K383" s="285">
        <v>0</v>
      </c>
    </row>
    <row r="384" spans="1:11" ht="105" customHeight="1" x14ac:dyDescent="0.3">
      <c r="A384" s="281">
        <v>378</v>
      </c>
      <c r="B384" s="281" t="s">
        <v>11</v>
      </c>
      <c r="C384" s="281"/>
      <c r="D384" s="281"/>
      <c r="E384" s="281" t="s">
        <v>370</v>
      </c>
      <c r="F384" s="281">
        <v>1300100077</v>
      </c>
      <c r="G384" s="281" t="s">
        <v>439</v>
      </c>
      <c r="H384" s="281" t="s">
        <v>440</v>
      </c>
      <c r="I384" s="281" t="s">
        <v>41</v>
      </c>
      <c r="J384" s="285">
        <v>84</v>
      </c>
      <c r="K384" s="285">
        <v>452</v>
      </c>
    </row>
    <row r="385" spans="1:11" ht="105" customHeight="1" x14ac:dyDescent="0.3">
      <c r="A385" s="281">
        <v>379</v>
      </c>
      <c r="B385" s="281" t="s">
        <v>11</v>
      </c>
      <c r="C385" s="281"/>
      <c r="D385" s="281"/>
      <c r="E385" s="281" t="s">
        <v>370</v>
      </c>
      <c r="F385" s="281">
        <v>1300100078</v>
      </c>
      <c r="G385" s="281" t="s">
        <v>441</v>
      </c>
      <c r="H385" s="281" t="s">
        <v>442</v>
      </c>
      <c r="I385" s="281" t="s">
        <v>41</v>
      </c>
      <c r="J385" s="285">
        <v>90</v>
      </c>
      <c r="K385" s="285">
        <v>67</v>
      </c>
    </row>
    <row r="386" spans="1:11" ht="105" customHeight="1" x14ac:dyDescent="0.3">
      <c r="A386" s="281">
        <v>380</v>
      </c>
      <c r="B386" s="281" t="s">
        <v>11</v>
      </c>
      <c r="C386" s="281"/>
      <c r="D386" s="281"/>
      <c r="E386" s="281" t="s">
        <v>370</v>
      </c>
      <c r="F386" s="281">
        <v>1300100079</v>
      </c>
      <c r="G386" s="281" t="s">
        <v>443</v>
      </c>
      <c r="H386" s="281" t="s">
        <v>444</v>
      </c>
      <c r="I386" s="281" t="s">
        <v>41</v>
      </c>
      <c r="J386" s="285">
        <v>238</v>
      </c>
      <c r="K386" s="285">
        <v>600</v>
      </c>
    </row>
    <row r="387" spans="1:11" ht="120" customHeight="1" x14ac:dyDescent="0.3">
      <c r="A387" s="281">
        <v>381</v>
      </c>
      <c r="B387" s="281" t="s">
        <v>11</v>
      </c>
      <c r="C387" s="281"/>
      <c r="D387" s="281"/>
      <c r="E387" s="281" t="s">
        <v>370</v>
      </c>
      <c r="F387" s="281">
        <v>1300100080</v>
      </c>
      <c r="G387" s="281" t="s">
        <v>445</v>
      </c>
      <c r="H387" s="281" t="s">
        <v>446</v>
      </c>
      <c r="I387" s="281" t="s">
        <v>41</v>
      </c>
      <c r="J387" s="285">
        <v>10</v>
      </c>
      <c r="K387" s="285">
        <v>271</v>
      </c>
    </row>
    <row r="388" spans="1:11" ht="90" customHeight="1" x14ac:dyDescent="0.3">
      <c r="A388" s="281">
        <v>382</v>
      </c>
      <c r="B388" s="281" t="s">
        <v>11</v>
      </c>
      <c r="C388" s="281"/>
      <c r="D388" s="281"/>
      <c r="E388" s="281" t="s">
        <v>370</v>
      </c>
      <c r="F388" s="281">
        <v>1300100081</v>
      </c>
      <c r="G388" s="281" t="s">
        <v>447</v>
      </c>
      <c r="H388" s="281" t="s">
        <v>448</v>
      </c>
      <c r="I388" s="281" t="s">
        <v>41</v>
      </c>
      <c r="J388" s="285">
        <v>0</v>
      </c>
      <c r="K388" s="285">
        <v>18718</v>
      </c>
    </row>
    <row r="389" spans="1:11" ht="135" customHeight="1" x14ac:dyDescent="0.3">
      <c r="A389" s="281">
        <v>383</v>
      </c>
      <c r="B389" s="281" t="s">
        <v>11</v>
      </c>
      <c r="C389" s="281"/>
      <c r="D389" s="281"/>
      <c r="E389" s="281" t="s">
        <v>370</v>
      </c>
      <c r="F389" s="281">
        <v>1300100082</v>
      </c>
      <c r="G389" s="281" t="s">
        <v>449</v>
      </c>
      <c r="H389" s="281" t="s">
        <v>450</v>
      </c>
      <c r="I389" s="281" t="s">
        <v>126</v>
      </c>
      <c r="J389" s="285">
        <v>0</v>
      </c>
      <c r="K389" s="285">
        <v>1739</v>
      </c>
    </row>
    <row r="390" spans="1:11" ht="90" customHeight="1" x14ac:dyDescent="0.3">
      <c r="A390" s="281">
        <v>384</v>
      </c>
      <c r="B390" s="281" t="s">
        <v>11</v>
      </c>
      <c r="C390" s="281"/>
      <c r="D390" s="281"/>
      <c r="E390" s="281" t="s">
        <v>370</v>
      </c>
      <c r="F390" s="281">
        <v>1300100085</v>
      </c>
      <c r="G390" s="281" t="s">
        <v>451</v>
      </c>
      <c r="H390" s="281" t="s">
        <v>452</v>
      </c>
      <c r="I390" s="281" t="s">
        <v>41</v>
      </c>
      <c r="J390" s="285">
        <v>0</v>
      </c>
      <c r="K390" s="285">
        <v>3883</v>
      </c>
    </row>
    <row r="391" spans="1:11" ht="90" customHeight="1" x14ac:dyDescent="0.3">
      <c r="A391" s="281">
        <v>385</v>
      </c>
      <c r="B391" s="281" t="s">
        <v>11</v>
      </c>
      <c r="C391" s="281"/>
      <c r="D391" s="281"/>
      <c r="E391" s="281" t="s">
        <v>370</v>
      </c>
      <c r="F391" s="281">
        <v>1300100087</v>
      </c>
      <c r="G391" s="281" t="s">
        <v>453</v>
      </c>
      <c r="H391" s="281" t="s">
        <v>454</v>
      </c>
      <c r="I391" s="281" t="s">
        <v>41</v>
      </c>
      <c r="J391" s="285">
        <v>0</v>
      </c>
      <c r="K391" s="285">
        <v>1297</v>
      </c>
    </row>
    <row r="392" spans="1:11" ht="60" customHeight="1" x14ac:dyDescent="0.3">
      <c r="A392" s="281">
        <v>386</v>
      </c>
      <c r="B392" s="281" t="s">
        <v>11</v>
      </c>
      <c r="C392" s="281"/>
      <c r="D392" s="281"/>
      <c r="E392" s="281" t="s">
        <v>370</v>
      </c>
      <c r="F392" s="281">
        <v>1300100090</v>
      </c>
      <c r="G392" s="281" t="s">
        <v>455</v>
      </c>
      <c r="H392" s="281" t="s">
        <v>456</v>
      </c>
      <c r="I392" s="281" t="s">
        <v>126</v>
      </c>
      <c r="J392" s="285">
        <v>0</v>
      </c>
      <c r="K392" s="285">
        <v>3917</v>
      </c>
    </row>
    <row r="393" spans="1:11" ht="105" customHeight="1" x14ac:dyDescent="0.3">
      <c r="A393" s="281">
        <v>387</v>
      </c>
      <c r="B393" s="281" t="s">
        <v>11</v>
      </c>
      <c r="C393" s="281"/>
      <c r="D393" s="281"/>
      <c r="E393" s="281" t="s">
        <v>370</v>
      </c>
      <c r="F393" s="281">
        <v>1300100091</v>
      </c>
      <c r="G393" s="281" t="s">
        <v>457</v>
      </c>
      <c r="H393" s="281" t="s">
        <v>458</v>
      </c>
      <c r="I393" s="281" t="s">
        <v>126</v>
      </c>
      <c r="J393" s="285">
        <v>3</v>
      </c>
      <c r="K393" s="285">
        <v>5</v>
      </c>
    </row>
    <row r="394" spans="1:11" ht="90" customHeight="1" x14ac:dyDescent="0.3">
      <c r="A394" s="281">
        <v>388</v>
      </c>
      <c r="B394" s="281" t="s">
        <v>11</v>
      </c>
      <c r="C394" s="281"/>
      <c r="D394" s="281"/>
      <c r="E394" s="281" t="s">
        <v>370</v>
      </c>
      <c r="F394" s="281">
        <v>1300100092</v>
      </c>
      <c r="G394" s="281" t="s">
        <v>459</v>
      </c>
      <c r="H394" s="281" t="s">
        <v>460</v>
      </c>
      <c r="I394" s="281" t="s">
        <v>41</v>
      </c>
      <c r="J394" s="285">
        <v>20</v>
      </c>
      <c r="K394" s="285">
        <v>411</v>
      </c>
    </row>
    <row r="395" spans="1:11" ht="120" customHeight="1" x14ac:dyDescent="0.3">
      <c r="A395" s="281">
        <v>389</v>
      </c>
      <c r="B395" s="281" t="s">
        <v>11</v>
      </c>
      <c r="C395" s="281"/>
      <c r="D395" s="281"/>
      <c r="E395" s="281" t="s">
        <v>370</v>
      </c>
      <c r="F395" s="281">
        <v>1300100113</v>
      </c>
      <c r="G395" s="281" t="s">
        <v>461</v>
      </c>
      <c r="H395" s="281" t="s">
        <v>462</v>
      </c>
      <c r="I395" s="281" t="s">
        <v>41</v>
      </c>
      <c r="J395" s="285">
        <v>8</v>
      </c>
      <c r="K395" s="285">
        <v>4068</v>
      </c>
    </row>
    <row r="396" spans="1:11" ht="90" customHeight="1" x14ac:dyDescent="0.3">
      <c r="A396" s="281">
        <v>390</v>
      </c>
      <c r="B396" s="281" t="s">
        <v>11</v>
      </c>
      <c r="C396" s="281"/>
      <c r="D396" s="281"/>
      <c r="E396" s="281" t="s">
        <v>370</v>
      </c>
      <c r="F396" s="281">
        <v>1300100116</v>
      </c>
      <c r="G396" s="281" t="s">
        <v>463</v>
      </c>
      <c r="H396" s="281" t="s">
        <v>464</v>
      </c>
      <c r="I396" s="281" t="s">
        <v>41</v>
      </c>
      <c r="J396" s="285">
        <v>0</v>
      </c>
      <c r="K396" s="285">
        <v>244</v>
      </c>
    </row>
    <row r="397" spans="1:11" ht="90" customHeight="1" x14ac:dyDescent="0.3">
      <c r="A397" s="281">
        <v>391</v>
      </c>
      <c r="B397" s="281" t="s">
        <v>11</v>
      </c>
      <c r="C397" s="281"/>
      <c r="D397" s="281"/>
      <c r="E397" s="281" t="s">
        <v>370</v>
      </c>
      <c r="F397" s="281">
        <v>1300100120</v>
      </c>
      <c r="G397" s="281" t="s">
        <v>465</v>
      </c>
      <c r="H397" s="281" t="s">
        <v>466</v>
      </c>
      <c r="I397" s="281" t="s">
        <v>41</v>
      </c>
      <c r="J397" s="285">
        <v>0</v>
      </c>
      <c r="K397" s="285">
        <v>1</v>
      </c>
    </row>
    <row r="398" spans="1:11" ht="60" customHeight="1" x14ac:dyDescent="0.3">
      <c r="A398" s="281">
        <v>392</v>
      </c>
      <c r="B398" s="281" t="s">
        <v>11</v>
      </c>
      <c r="C398" s="281"/>
      <c r="D398" s="281"/>
      <c r="E398" s="281" t="s">
        <v>370</v>
      </c>
      <c r="F398" s="281">
        <v>1300100123</v>
      </c>
      <c r="G398" s="281" t="s">
        <v>467</v>
      </c>
      <c r="H398" s="281" t="s">
        <v>468</v>
      </c>
      <c r="I398" s="281" t="s">
        <v>41</v>
      </c>
      <c r="J398" s="285">
        <v>0</v>
      </c>
      <c r="K398" s="285">
        <v>197</v>
      </c>
    </row>
    <row r="399" spans="1:11" ht="60" customHeight="1" x14ac:dyDescent="0.3">
      <c r="A399" s="281">
        <v>393</v>
      </c>
      <c r="B399" s="281" t="s">
        <v>11</v>
      </c>
      <c r="C399" s="281"/>
      <c r="D399" s="281"/>
      <c r="E399" s="281" t="s">
        <v>370</v>
      </c>
      <c r="F399" s="281">
        <v>1300100127</v>
      </c>
      <c r="G399" s="281" t="s">
        <v>469</v>
      </c>
      <c r="H399" s="281" t="s">
        <v>470</v>
      </c>
      <c r="I399" s="281" t="s">
        <v>126</v>
      </c>
      <c r="J399" s="285">
        <v>0</v>
      </c>
      <c r="K399" s="285">
        <v>1084</v>
      </c>
    </row>
    <row r="400" spans="1:11" ht="75" customHeight="1" x14ac:dyDescent="0.3">
      <c r="A400" s="281">
        <v>394</v>
      </c>
      <c r="B400" s="281" t="s">
        <v>11</v>
      </c>
      <c r="C400" s="281"/>
      <c r="D400" s="281"/>
      <c r="E400" s="281" t="s">
        <v>370</v>
      </c>
      <c r="F400" s="281">
        <v>1300100130</v>
      </c>
      <c r="G400" s="281" t="s">
        <v>471</v>
      </c>
      <c r="H400" s="281" t="s">
        <v>472</v>
      </c>
      <c r="I400" s="281" t="s">
        <v>41</v>
      </c>
      <c r="J400" s="285">
        <v>0</v>
      </c>
      <c r="K400" s="285">
        <v>504</v>
      </c>
    </row>
    <row r="401" spans="1:11" ht="75" customHeight="1" x14ac:dyDescent="0.3">
      <c r="A401" s="281">
        <v>395</v>
      </c>
      <c r="B401" s="281" t="s">
        <v>11</v>
      </c>
      <c r="C401" s="281"/>
      <c r="D401" s="281"/>
      <c r="E401" s="281" t="s">
        <v>370</v>
      </c>
      <c r="F401" s="281">
        <v>1300100131</v>
      </c>
      <c r="G401" s="281" t="s">
        <v>473</v>
      </c>
      <c r="H401" s="281" t="s">
        <v>474</v>
      </c>
      <c r="I401" s="281" t="s">
        <v>41</v>
      </c>
      <c r="J401" s="285">
        <v>0</v>
      </c>
      <c r="K401" s="285">
        <v>389</v>
      </c>
    </row>
    <row r="402" spans="1:11" ht="105" customHeight="1" x14ac:dyDescent="0.3">
      <c r="A402" s="281">
        <v>396</v>
      </c>
      <c r="B402" s="281" t="s">
        <v>11</v>
      </c>
      <c r="C402" s="281"/>
      <c r="D402" s="281"/>
      <c r="E402" s="281" t="s">
        <v>370</v>
      </c>
      <c r="F402" s="281">
        <v>1300100132</v>
      </c>
      <c r="G402" s="281" t="s">
        <v>475</v>
      </c>
      <c r="H402" s="281" t="s">
        <v>476</v>
      </c>
      <c r="I402" s="281" t="s">
        <v>41</v>
      </c>
      <c r="J402" s="285">
        <v>3</v>
      </c>
      <c r="K402" s="285">
        <v>0</v>
      </c>
    </row>
    <row r="403" spans="1:11" ht="90" customHeight="1" x14ac:dyDescent="0.3">
      <c r="A403" s="281">
        <v>397</v>
      </c>
      <c r="B403" s="281" t="s">
        <v>11</v>
      </c>
      <c r="C403" s="281"/>
      <c r="D403" s="281"/>
      <c r="E403" s="281" t="s">
        <v>370</v>
      </c>
      <c r="F403" s="281">
        <v>1300100133</v>
      </c>
      <c r="G403" s="281" t="s">
        <v>477</v>
      </c>
      <c r="H403" s="281" t="s">
        <v>478</v>
      </c>
      <c r="I403" s="281" t="s">
        <v>126</v>
      </c>
      <c r="J403" s="285">
        <v>0</v>
      </c>
      <c r="K403" s="285">
        <v>149</v>
      </c>
    </row>
    <row r="404" spans="1:11" ht="90" customHeight="1" x14ac:dyDescent="0.3">
      <c r="A404" s="281">
        <v>398</v>
      </c>
      <c r="B404" s="281" t="s">
        <v>11</v>
      </c>
      <c r="C404" s="281"/>
      <c r="D404" s="281"/>
      <c r="E404" s="281" t="s">
        <v>370</v>
      </c>
      <c r="F404" s="281">
        <v>1300100139</v>
      </c>
      <c r="G404" s="281" t="s">
        <v>479</v>
      </c>
      <c r="H404" s="281" t="s">
        <v>480</v>
      </c>
      <c r="I404" s="281" t="s">
        <v>126</v>
      </c>
      <c r="J404" s="285">
        <v>0</v>
      </c>
      <c r="K404" s="285">
        <v>1</v>
      </c>
    </row>
    <row r="405" spans="1:11" ht="75" customHeight="1" x14ac:dyDescent="0.3">
      <c r="A405" s="281">
        <v>399</v>
      </c>
      <c r="B405" s="281" t="s">
        <v>11</v>
      </c>
      <c r="C405" s="281"/>
      <c r="D405" s="281" t="s">
        <v>481</v>
      </c>
      <c r="E405" s="281" t="s">
        <v>482</v>
      </c>
      <c r="F405" s="281">
        <v>100103562</v>
      </c>
      <c r="G405" s="281" t="s">
        <v>483</v>
      </c>
      <c r="H405" s="281" t="s">
        <v>484</v>
      </c>
      <c r="I405" s="281" t="s">
        <v>41</v>
      </c>
      <c r="J405" s="285">
        <v>14</v>
      </c>
      <c r="K405" s="285">
        <v>1</v>
      </c>
    </row>
    <row r="406" spans="1:11" ht="90" customHeight="1" x14ac:dyDescent="0.3">
      <c r="A406" s="281">
        <v>400</v>
      </c>
      <c r="B406" s="281" t="s">
        <v>11</v>
      </c>
      <c r="C406" s="281"/>
      <c r="D406" s="281" t="s">
        <v>481</v>
      </c>
      <c r="E406" s="281" t="s">
        <v>482</v>
      </c>
      <c r="F406" s="281">
        <v>100103563</v>
      </c>
      <c r="G406" s="281" t="s">
        <v>485</v>
      </c>
      <c r="H406" s="281" t="s">
        <v>486</v>
      </c>
      <c r="I406" s="281" t="s">
        <v>41</v>
      </c>
      <c r="J406" s="285">
        <v>34</v>
      </c>
      <c r="K406" s="285">
        <v>0</v>
      </c>
    </row>
    <row r="407" spans="1:11" ht="90" customHeight="1" x14ac:dyDescent="0.3">
      <c r="A407" s="281">
        <v>401</v>
      </c>
      <c r="B407" s="281" t="s">
        <v>11</v>
      </c>
      <c r="C407" s="281"/>
      <c r="D407" s="281" t="s">
        <v>481</v>
      </c>
      <c r="E407" s="281" t="s">
        <v>482</v>
      </c>
      <c r="F407" s="281">
        <v>100103564</v>
      </c>
      <c r="G407" s="281" t="s">
        <v>487</v>
      </c>
      <c r="H407" s="281" t="s">
        <v>488</v>
      </c>
      <c r="I407" s="281" t="s">
        <v>41</v>
      </c>
      <c r="J407" s="285">
        <v>25</v>
      </c>
      <c r="K407" s="285">
        <v>8</v>
      </c>
    </row>
    <row r="408" spans="1:11" ht="75" customHeight="1" x14ac:dyDescent="0.3">
      <c r="A408" s="281">
        <v>402</v>
      </c>
      <c r="B408" s="281" t="s">
        <v>11</v>
      </c>
      <c r="C408" s="281"/>
      <c r="D408" s="281" t="s">
        <v>481</v>
      </c>
      <c r="E408" s="281" t="s">
        <v>482</v>
      </c>
      <c r="F408" s="281">
        <v>100104717</v>
      </c>
      <c r="G408" s="281" t="s">
        <v>489</v>
      </c>
      <c r="H408" s="281" t="s">
        <v>490</v>
      </c>
      <c r="I408" s="281" t="s">
        <v>41</v>
      </c>
      <c r="J408" s="285">
        <v>1</v>
      </c>
      <c r="K408" s="285">
        <v>0</v>
      </c>
    </row>
    <row r="409" spans="1:11" ht="120" customHeight="1" x14ac:dyDescent="0.3">
      <c r="A409" s="281">
        <v>403</v>
      </c>
      <c r="B409" s="281" t="s">
        <v>11</v>
      </c>
      <c r="C409" s="281"/>
      <c r="D409" s="281" t="s">
        <v>481</v>
      </c>
      <c r="E409" s="281" t="s">
        <v>482</v>
      </c>
      <c r="F409" s="281">
        <v>100104722</v>
      </c>
      <c r="G409" s="281" t="s">
        <v>491</v>
      </c>
      <c r="H409" s="281" t="s">
        <v>492</v>
      </c>
      <c r="I409" s="281" t="s">
        <v>41</v>
      </c>
      <c r="J409" s="285">
        <v>65</v>
      </c>
      <c r="K409" s="285">
        <v>0</v>
      </c>
    </row>
    <row r="410" spans="1:11" ht="75" customHeight="1" x14ac:dyDescent="0.3">
      <c r="A410" s="281">
        <v>404</v>
      </c>
      <c r="B410" s="281" t="s">
        <v>11</v>
      </c>
      <c r="C410" s="281"/>
      <c r="D410" s="281" t="s">
        <v>481</v>
      </c>
      <c r="E410" s="281" t="s">
        <v>482</v>
      </c>
      <c r="F410" s="281">
        <v>100103570</v>
      </c>
      <c r="G410" s="281" t="s">
        <v>493</v>
      </c>
      <c r="H410" s="281" t="s">
        <v>494</v>
      </c>
      <c r="I410" s="281" t="s">
        <v>41</v>
      </c>
      <c r="J410" s="285">
        <v>22</v>
      </c>
      <c r="K410" s="285">
        <v>0</v>
      </c>
    </row>
    <row r="411" spans="1:11" ht="75" customHeight="1" x14ac:dyDescent="0.3">
      <c r="A411" s="281">
        <v>405</v>
      </c>
      <c r="B411" s="281" t="s">
        <v>11</v>
      </c>
      <c r="C411" s="281"/>
      <c r="D411" s="281" t="s">
        <v>481</v>
      </c>
      <c r="E411" s="281" t="s">
        <v>482</v>
      </c>
      <c r="F411" s="281">
        <v>100103571</v>
      </c>
      <c r="G411" s="281" t="s">
        <v>495</v>
      </c>
      <c r="H411" s="281" t="s">
        <v>496</v>
      </c>
      <c r="I411" s="281" t="s">
        <v>41</v>
      </c>
      <c r="J411" s="285">
        <v>39</v>
      </c>
      <c r="K411" s="285">
        <v>0</v>
      </c>
    </row>
    <row r="412" spans="1:11" ht="75" customHeight="1" x14ac:dyDescent="0.3">
      <c r="A412" s="281">
        <v>406</v>
      </c>
      <c r="B412" s="281" t="s">
        <v>11</v>
      </c>
      <c r="C412" s="281"/>
      <c r="D412" s="281" t="s">
        <v>481</v>
      </c>
      <c r="E412" s="281" t="s">
        <v>482</v>
      </c>
      <c r="F412" s="281">
        <v>100103572</v>
      </c>
      <c r="G412" s="281" t="s">
        <v>497</v>
      </c>
      <c r="H412" s="281" t="s">
        <v>498</v>
      </c>
      <c r="I412" s="281" t="s">
        <v>41</v>
      </c>
      <c r="J412" s="285">
        <v>123</v>
      </c>
      <c r="K412" s="285">
        <v>0</v>
      </c>
    </row>
    <row r="413" spans="1:11" ht="75" customHeight="1" x14ac:dyDescent="0.3">
      <c r="A413" s="281">
        <v>407</v>
      </c>
      <c r="B413" s="281" t="s">
        <v>11</v>
      </c>
      <c r="C413" s="281"/>
      <c r="D413" s="281" t="s">
        <v>499</v>
      </c>
      <c r="E413" s="281" t="s">
        <v>482</v>
      </c>
      <c r="F413" s="281">
        <v>100103576</v>
      </c>
      <c r="G413" s="281" t="s">
        <v>500</v>
      </c>
      <c r="H413" s="281" t="s">
        <v>501</v>
      </c>
      <c r="I413" s="281" t="s">
        <v>41</v>
      </c>
      <c r="J413" s="285">
        <v>87</v>
      </c>
      <c r="K413" s="285">
        <v>0</v>
      </c>
    </row>
    <row r="414" spans="1:11" ht="75" customHeight="1" x14ac:dyDescent="0.3">
      <c r="A414" s="281">
        <v>408</v>
      </c>
      <c r="B414" s="281" t="s">
        <v>11</v>
      </c>
      <c r="C414" s="281"/>
      <c r="D414" s="281" t="s">
        <v>499</v>
      </c>
      <c r="E414" s="281" t="s">
        <v>482</v>
      </c>
      <c r="F414" s="281">
        <v>100103575</v>
      </c>
      <c r="G414" s="281" t="s">
        <v>502</v>
      </c>
      <c r="H414" s="281" t="s">
        <v>503</v>
      </c>
      <c r="I414" s="281" t="s">
        <v>41</v>
      </c>
      <c r="J414" s="285">
        <v>60</v>
      </c>
      <c r="K414" s="285">
        <v>118</v>
      </c>
    </row>
    <row r="415" spans="1:11" ht="90" customHeight="1" x14ac:dyDescent="0.3">
      <c r="A415" s="281">
        <v>409</v>
      </c>
      <c r="B415" s="281" t="s">
        <v>11</v>
      </c>
      <c r="C415" s="281"/>
      <c r="D415" s="281" t="s">
        <v>504</v>
      </c>
      <c r="E415" s="281" t="s">
        <v>482</v>
      </c>
      <c r="F415" s="281">
        <v>100103577</v>
      </c>
      <c r="G415" s="281" t="s">
        <v>505</v>
      </c>
      <c r="H415" s="281" t="s">
        <v>506</v>
      </c>
      <c r="I415" s="281" t="s">
        <v>41</v>
      </c>
      <c r="J415" s="285">
        <v>4</v>
      </c>
      <c r="K415" s="285">
        <v>0</v>
      </c>
    </row>
    <row r="416" spans="1:11" ht="90" customHeight="1" x14ac:dyDescent="0.3">
      <c r="A416" s="281">
        <v>410</v>
      </c>
      <c r="B416" s="281" t="s">
        <v>11</v>
      </c>
      <c r="C416" s="281"/>
      <c r="D416" s="281" t="s">
        <v>504</v>
      </c>
      <c r="E416" s="281" t="s">
        <v>482</v>
      </c>
      <c r="F416" s="281">
        <v>100106794</v>
      </c>
      <c r="G416" s="281" t="s">
        <v>507</v>
      </c>
      <c r="H416" s="281" t="s">
        <v>508</v>
      </c>
      <c r="I416" s="281" t="s">
        <v>41</v>
      </c>
      <c r="J416" s="285">
        <v>0</v>
      </c>
      <c r="K416" s="285">
        <v>0</v>
      </c>
    </row>
    <row r="417" spans="1:11" ht="60" customHeight="1" x14ac:dyDescent="0.3">
      <c r="A417" s="281">
        <v>411</v>
      </c>
      <c r="B417" s="281" t="s">
        <v>11</v>
      </c>
      <c r="C417" s="281"/>
      <c r="D417" s="281" t="s">
        <v>504</v>
      </c>
      <c r="E417" s="281" t="s">
        <v>482</v>
      </c>
      <c r="F417" s="281">
        <v>100103581</v>
      </c>
      <c r="G417" s="281" t="s">
        <v>509</v>
      </c>
      <c r="H417" s="281" t="s">
        <v>510</v>
      </c>
      <c r="I417" s="281" t="s">
        <v>41</v>
      </c>
      <c r="J417" s="285">
        <v>0</v>
      </c>
      <c r="K417" s="285"/>
    </row>
    <row r="418" spans="1:11" ht="60" customHeight="1" x14ac:dyDescent="0.3">
      <c r="A418" s="281">
        <v>412</v>
      </c>
      <c r="B418" s="281" t="s">
        <v>11</v>
      </c>
      <c r="C418" s="281"/>
      <c r="D418" s="281" t="s">
        <v>504</v>
      </c>
      <c r="E418" s="281" t="s">
        <v>482</v>
      </c>
      <c r="F418" s="281">
        <v>100103582</v>
      </c>
      <c r="G418" s="281" t="s">
        <v>511</v>
      </c>
      <c r="H418" s="281" t="s">
        <v>512</v>
      </c>
      <c r="I418" s="281" t="s">
        <v>41</v>
      </c>
      <c r="J418" s="285">
        <v>0</v>
      </c>
      <c r="K418" s="285"/>
    </row>
    <row r="419" spans="1:11" ht="90" customHeight="1" x14ac:dyDescent="0.3">
      <c r="A419" s="281">
        <v>413</v>
      </c>
      <c r="B419" s="281" t="s">
        <v>11</v>
      </c>
      <c r="C419" s="281"/>
      <c r="D419" s="281" t="s">
        <v>513</v>
      </c>
      <c r="E419" s="281" t="s">
        <v>482</v>
      </c>
      <c r="F419" s="281">
        <v>100103599</v>
      </c>
      <c r="G419" s="281" t="s">
        <v>514</v>
      </c>
      <c r="H419" s="281" t="s">
        <v>515</v>
      </c>
      <c r="I419" s="281" t="s">
        <v>516</v>
      </c>
      <c r="J419" s="285">
        <v>0</v>
      </c>
      <c r="K419" s="285">
        <v>0</v>
      </c>
    </row>
    <row r="420" spans="1:11" ht="90" customHeight="1" x14ac:dyDescent="0.3">
      <c r="A420" s="281">
        <v>414</v>
      </c>
      <c r="B420" s="281" t="s">
        <v>11</v>
      </c>
      <c r="C420" s="281"/>
      <c r="D420" s="281" t="s">
        <v>513</v>
      </c>
      <c r="E420" s="281" t="s">
        <v>482</v>
      </c>
      <c r="F420" s="281">
        <v>100103597</v>
      </c>
      <c r="G420" s="281" t="s">
        <v>517</v>
      </c>
      <c r="H420" s="281" t="s">
        <v>518</v>
      </c>
      <c r="I420" s="281" t="s">
        <v>516</v>
      </c>
      <c r="J420" s="285">
        <v>1</v>
      </c>
      <c r="K420" s="285">
        <v>7</v>
      </c>
    </row>
    <row r="421" spans="1:11" ht="90" customHeight="1" x14ac:dyDescent="0.3">
      <c r="A421" s="281">
        <v>415</v>
      </c>
      <c r="B421" s="281" t="s">
        <v>11</v>
      </c>
      <c r="C421" s="281"/>
      <c r="D421" s="281" t="s">
        <v>513</v>
      </c>
      <c r="E421" s="281" t="s">
        <v>482</v>
      </c>
      <c r="F421" s="281">
        <v>100103587</v>
      </c>
      <c r="G421" s="281" t="s">
        <v>519</v>
      </c>
      <c r="H421" s="281" t="s">
        <v>520</v>
      </c>
      <c r="I421" s="281" t="s">
        <v>516</v>
      </c>
      <c r="J421" s="285">
        <v>9</v>
      </c>
      <c r="K421" s="285">
        <v>13</v>
      </c>
    </row>
    <row r="422" spans="1:11" ht="105" customHeight="1" x14ac:dyDescent="0.3">
      <c r="A422" s="281">
        <v>416</v>
      </c>
      <c r="B422" s="281" t="s">
        <v>11</v>
      </c>
      <c r="C422" s="281"/>
      <c r="D422" s="281" t="s">
        <v>513</v>
      </c>
      <c r="E422" s="281" t="s">
        <v>482</v>
      </c>
      <c r="F422" s="281">
        <v>100103589</v>
      </c>
      <c r="G422" s="281" t="s">
        <v>521</v>
      </c>
      <c r="H422" s="281" t="s">
        <v>522</v>
      </c>
      <c r="I422" s="281" t="s">
        <v>516</v>
      </c>
      <c r="J422" s="285">
        <v>23</v>
      </c>
      <c r="K422" s="285">
        <v>0</v>
      </c>
    </row>
    <row r="423" spans="1:11" ht="45" customHeight="1" x14ac:dyDescent="0.3">
      <c r="A423" s="281">
        <v>417</v>
      </c>
      <c r="B423" s="281" t="s">
        <v>11</v>
      </c>
      <c r="C423" s="281"/>
      <c r="D423" s="281" t="s">
        <v>513</v>
      </c>
      <c r="E423" s="281" t="s">
        <v>482</v>
      </c>
      <c r="F423" s="281">
        <v>100103726</v>
      </c>
      <c r="G423" s="281" t="s">
        <v>523</v>
      </c>
      <c r="H423" s="281" t="s">
        <v>524</v>
      </c>
      <c r="I423" s="281" t="s">
        <v>14</v>
      </c>
      <c r="J423" s="285">
        <v>0</v>
      </c>
      <c r="K423" s="285">
        <v>254</v>
      </c>
    </row>
    <row r="424" spans="1:11" ht="60" customHeight="1" x14ac:dyDescent="0.3">
      <c r="A424" s="281">
        <v>418</v>
      </c>
      <c r="B424" s="281" t="s">
        <v>11</v>
      </c>
      <c r="C424" s="281"/>
      <c r="D424" s="281" t="s">
        <v>525</v>
      </c>
      <c r="E424" s="281" t="s">
        <v>243</v>
      </c>
      <c r="F424" s="281">
        <v>300300056</v>
      </c>
      <c r="G424" s="281">
        <v>3201010056</v>
      </c>
      <c r="H424" s="281" t="s">
        <v>526</v>
      </c>
      <c r="I424" s="281" t="s">
        <v>41</v>
      </c>
      <c r="J424" s="285">
        <v>0</v>
      </c>
      <c r="K424" s="285">
        <v>1463</v>
      </c>
    </row>
    <row r="425" spans="1:11" ht="15" customHeight="1" x14ac:dyDescent="0.3">
      <c r="A425" s="385" t="s">
        <v>527</v>
      </c>
      <c r="B425" s="386"/>
      <c r="C425" s="386"/>
      <c r="D425" s="386"/>
      <c r="E425" s="386"/>
      <c r="F425" s="386"/>
      <c r="G425" s="386"/>
      <c r="H425" s="386"/>
      <c r="I425" s="387"/>
      <c r="J425" s="285">
        <v>2301051.05296</v>
      </c>
      <c r="K425" s="285">
        <v>2044248.8909100001</v>
      </c>
    </row>
    <row r="426" spans="1:11" ht="32.25" customHeight="1" thickBot="1" x14ac:dyDescent="0.35">
      <c r="A426" s="17"/>
      <c r="B426" s="17"/>
      <c r="C426" s="17"/>
      <c r="D426" s="17"/>
      <c r="E426" s="17"/>
      <c r="F426" s="17"/>
      <c r="G426" s="17"/>
      <c r="H426" s="17"/>
      <c r="I426" s="17"/>
      <c r="J426" s="18"/>
      <c r="K426" s="18"/>
    </row>
    <row r="427" spans="1:11" ht="15.75" customHeight="1" thickBot="1" x14ac:dyDescent="0.35">
      <c r="A427" s="379"/>
      <c r="J427" s="18"/>
      <c r="K427" s="18"/>
    </row>
    <row r="428" spans="1:11" ht="15.75" customHeight="1" thickBot="1" x14ac:dyDescent="0.3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</row>
    <row r="429" spans="1:11" ht="15.75" customHeight="1" thickBot="1" x14ac:dyDescent="0.3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</row>
    <row r="430" spans="1:11" ht="15.75" customHeight="1" thickBot="1" x14ac:dyDescent="0.3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</row>
    <row r="431" spans="1:11" ht="15.75" customHeight="1" thickBot="1" x14ac:dyDescent="0.3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</row>
    <row r="432" spans="1:11" ht="15.75" customHeight="1" thickBot="1" x14ac:dyDescent="0.3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</row>
    <row r="433" spans="1:11" ht="15.75" customHeight="1" thickBot="1" x14ac:dyDescent="0.3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</row>
    <row r="434" spans="1:11" ht="15.75" customHeight="1" thickBot="1" x14ac:dyDescent="0.3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</row>
    <row r="435" spans="1:11" ht="15.75" customHeight="1" thickBot="1" x14ac:dyDescent="0.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</row>
    <row r="436" spans="1:11" ht="15.75" customHeight="1" thickBot="1" x14ac:dyDescent="0.3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</row>
    <row r="437" spans="1:11" ht="15.75" customHeight="1" thickBot="1" x14ac:dyDescent="0.3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</row>
    <row r="438" spans="1:11" ht="15.75" customHeight="1" thickBot="1" x14ac:dyDescent="0.3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</row>
    <row r="439" spans="1:11" ht="15.75" customHeight="1" thickBot="1" x14ac:dyDescent="0.3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</row>
    <row r="440" spans="1:11" ht="15.75" customHeight="1" thickBot="1" x14ac:dyDescent="0.3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</row>
    <row r="441" spans="1:11" ht="15.75" customHeight="1" thickBot="1" x14ac:dyDescent="0.3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</row>
    <row r="442" spans="1:11" ht="15.75" customHeight="1" thickBot="1" x14ac:dyDescent="0.3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</row>
    <row r="443" spans="1:11" ht="15.75" customHeight="1" thickBot="1" x14ac:dyDescent="0.3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</row>
    <row r="444" spans="1:11" ht="15.75" customHeight="1" thickBot="1" x14ac:dyDescent="0.3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</row>
    <row r="445" spans="1:11" ht="15.75" customHeight="1" thickBot="1" x14ac:dyDescent="0.3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</row>
    <row r="446" spans="1:11" ht="15.75" customHeight="1" thickBot="1" x14ac:dyDescent="0.3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</row>
    <row r="447" spans="1:11" ht="15.75" customHeight="1" thickBot="1" x14ac:dyDescent="0.3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</row>
    <row r="448" spans="1:11" ht="15.75" customHeight="1" thickBot="1" x14ac:dyDescent="0.3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</row>
    <row r="449" spans="1:11" ht="15.75" customHeight="1" thickBot="1" x14ac:dyDescent="0.3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</row>
    <row r="450" spans="1:11" ht="15.75" customHeight="1" thickBot="1" x14ac:dyDescent="0.3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</row>
    <row r="451" spans="1:11" ht="15.75" customHeight="1" thickBot="1" x14ac:dyDescent="0.3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</row>
    <row r="452" spans="1:11" ht="15.75" customHeight="1" thickBot="1" x14ac:dyDescent="0.3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</row>
    <row r="453" spans="1:11" ht="15.75" customHeight="1" thickBot="1" x14ac:dyDescent="0.3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</row>
    <row r="454" spans="1:11" ht="15.75" customHeight="1" thickBot="1" x14ac:dyDescent="0.3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</row>
    <row r="455" spans="1:11" ht="15.75" customHeight="1" thickBot="1" x14ac:dyDescent="0.3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</row>
    <row r="456" spans="1:11" ht="15.75" customHeight="1" thickBot="1" x14ac:dyDescent="0.3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</row>
    <row r="457" spans="1:11" ht="15.75" customHeight="1" thickBot="1" x14ac:dyDescent="0.3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</row>
    <row r="458" spans="1:11" ht="15.75" customHeight="1" thickBot="1" x14ac:dyDescent="0.3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</row>
    <row r="459" spans="1:11" ht="15.75" customHeight="1" thickBot="1" x14ac:dyDescent="0.3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</row>
    <row r="460" spans="1:11" ht="15.75" customHeight="1" thickBot="1" x14ac:dyDescent="0.3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</row>
    <row r="461" spans="1:11" ht="15.75" customHeight="1" thickBot="1" x14ac:dyDescent="0.3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</row>
    <row r="462" spans="1:11" ht="15.75" customHeight="1" thickBot="1" x14ac:dyDescent="0.3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</row>
    <row r="463" spans="1:11" ht="15.75" customHeight="1" thickBot="1" x14ac:dyDescent="0.3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</row>
    <row r="464" spans="1:11" ht="15.75" customHeight="1" thickBot="1" x14ac:dyDescent="0.3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</row>
    <row r="465" spans="1:11" ht="15.75" customHeight="1" thickBot="1" x14ac:dyDescent="0.35">
      <c r="A465" s="20"/>
      <c r="B465" s="20"/>
      <c r="C465" s="20"/>
      <c r="D465" s="20"/>
      <c r="E465" s="20"/>
      <c r="F465" s="21"/>
      <c r="G465" s="20"/>
      <c r="H465" s="21"/>
      <c r="I465" s="21"/>
      <c r="J465" s="21"/>
      <c r="K465" s="21"/>
    </row>
  </sheetData>
  <mergeCells count="6">
    <mergeCell ref="A425:I425"/>
    <mergeCell ref="A1:K1"/>
    <mergeCell ref="A2:K2"/>
    <mergeCell ref="A3:K3"/>
    <mergeCell ref="A4:K4"/>
    <mergeCell ref="A5:K5"/>
  </mergeCells>
  <pageMargins left="0.7" right="0.7" top="0.75" bottom="0.75" header="0.3" footer="0.3"/>
  <pageSetup paperSize="256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Z41"/>
  <sheetViews>
    <sheetView zoomScale="85" zoomScaleNormal="85" workbookViewId="0">
      <pane ySplit="1" topLeftCell="A2" activePane="bottomLeft" state="frozen"/>
      <selection pane="bottomLeft" sqref="A1:Z32"/>
    </sheetView>
  </sheetViews>
  <sheetFormatPr defaultRowHeight="14.4" x14ac:dyDescent="0.3"/>
  <sheetData>
    <row r="1" spans="1:26" ht="45" customHeight="1" x14ac:dyDescent="0.3">
      <c r="A1" s="278" t="s">
        <v>0</v>
      </c>
      <c r="B1" s="278" t="s">
        <v>1</v>
      </c>
      <c r="C1" s="278" t="s">
        <v>3</v>
      </c>
      <c r="D1" s="278" t="s">
        <v>581</v>
      </c>
      <c r="E1" s="278" t="s">
        <v>582</v>
      </c>
      <c r="F1" s="278" t="s">
        <v>7</v>
      </c>
      <c r="G1" s="278" t="s">
        <v>8</v>
      </c>
      <c r="H1" s="279" t="s">
        <v>583</v>
      </c>
      <c r="I1" s="279" t="s">
        <v>584</v>
      </c>
      <c r="J1" s="279" t="s">
        <v>585</v>
      </c>
      <c r="K1" s="279" t="s">
        <v>586</v>
      </c>
      <c r="L1" s="279" t="s">
        <v>587</v>
      </c>
      <c r="M1" s="279" t="s">
        <v>588</v>
      </c>
      <c r="N1" s="279" t="s">
        <v>589</v>
      </c>
      <c r="O1" s="279" t="s">
        <v>590</v>
      </c>
      <c r="P1" s="280" t="s">
        <v>591</v>
      </c>
      <c r="Q1" s="280" t="s">
        <v>592</v>
      </c>
      <c r="R1" s="280" t="s">
        <v>584</v>
      </c>
      <c r="S1" s="280" t="s">
        <v>593</v>
      </c>
      <c r="T1" s="280" t="s">
        <v>594</v>
      </c>
      <c r="U1" s="280" t="s">
        <v>595</v>
      </c>
      <c r="V1" s="280" t="s">
        <v>596</v>
      </c>
      <c r="W1" s="278" t="s">
        <v>597</v>
      </c>
      <c r="X1" s="278" t="s">
        <v>598</v>
      </c>
      <c r="Y1" s="278" t="s">
        <v>599</v>
      </c>
      <c r="Z1" s="278" t="s">
        <v>600</v>
      </c>
    </row>
    <row r="2" spans="1:26" ht="75" customHeight="1" x14ac:dyDescent="0.3">
      <c r="A2" s="281">
        <v>1</v>
      </c>
      <c r="B2" s="281" t="s">
        <v>11</v>
      </c>
      <c r="C2" s="281" t="s">
        <v>482</v>
      </c>
      <c r="D2" s="281">
        <v>100103576</v>
      </c>
      <c r="E2" s="281" t="s">
        <v>500</v>
      </c>
      <c r="F2" s="281" t="s">
        <v>501</v>
      </c>
      <c r="G2" s="281" t="s">
        <v>41</v>
      </c>
      <c r="H2" s="281">
        <v>22</v>
      </c>
      <c r="I2" s="281"/>
      <c r="J2" s="281">
        <v>0</v>
      </c>
      <c r="K2" s="281">
        <v>2690</v>
      </c>
      <c r="L2" s="281">
        <v>2690</v>
      </c>
      <c r="M2" s="281"/>
      <c r="N2" s="281">
        <v>0</v>
      </c>
      <c r="O2" s="281">
        <v>5402</v>
      </c>
      <c r="P2" s="281"/>
      <c r="Q2" s="281">
        <v>5402</v>
      </c>
      <c r="R2" s="281"/>
      <c r="S2" s="281"/>
      <c r="T2" s="281"/>
      <c r="U2" s="281"/>
      <c r="V2" s="281">
        <v>5402</v>
      </c>
      <c r="W2" s="281">
        <v>0</v>
      </c>
      <c r="X2" s="281">
        <v>0</v>
      </c>
      <c r="Y2" s="281">
        <v>0</v>
      </c>
      <c r="Z2" s="281"/>
    </row>
    <row r="3" spans="1:26" ht="75" customHeight="1" x14ac:dyDescent="0.3">
      <c r="A3" s="281">
        <v>2</v>
      </c>
      <c r="B3" s="281" t="s">
        <v>11</v>
      </c>
      <c r="C3" s="281" t="s">
        <v>482</v>
      </c>
      <c r="D3" s="281">
        <v>100103575</v>
      </c>
      <c r="E3" s="281" t="s">
        <v>502</v>
      </c>
      <c r="F3" s="281" t="s">
        <v>503</v>
      </c>
      <c r="G3" s="281" t="s">
        <v>41</v>
      </c>
      <c r="H3" s="281">
        <v>0</v>
      </c>
      <c r="I3" s="281"/>
      <c r="J3" s="281">
        <v>0</v>
      </c>
      <c r="K3" s="281">
        <v>1554</v>
      </c>
      <c r="L3" s="281">
        <v>1554</v>
      </c>
      <c r="M3" s="281"/>
      <c r="N3" s="281">
        <v>0</v>
      </c>
      <c r="O3" s="281">
        <v>3108</v>
      </c>
      <c r="P3" s="281"/>
      <c r="Q3" s="281">
        <v>2990</v>
      </c>
      <c r="R3" s="281"/>
      <c r="S3" s="281"/>
      <c r="T3" s="281"/>
      <c r="U3" s="281"/>
      <c r="V3" s="281">
        <v>2990</v>
      </c>
      <c r="W3" s="281">
        <v>118</v>
      </c>
      <c r="X3" s="281">
        <v>118</v>
      </c>
      <c r="Y3" s="281">
        <v>0</v>
      </c>
      <c r="Z3" s="281"/>
    </row>
    <row r="4" spans="1:26" ht="90" customHeight="1" x14ac:dyDescent="0.3">
      <c r="A4" s="281">
        <v>3</v>
      </c>
      <c r="B4" s="281" t="s">
        <v>11</v>
      </c>
      <c r="C4" s="281" t="s">
        <v>482</v>
      </c>
      <c r="D4" s="281">
        <v>100103577</v>
      </c>
      <c r="E4" s="281" t="s">
        <v>505</v>
      </c>
      <c r="F4" s="281" t="s">
        <v>506</v>
      </c>
      <c r="G4" s="281" t="s">
        <v>41</v>
      </c>
      <c r="H4" s="281">
        <v>264</v>
      </c>
      <c r="I4" s="281"/>
      <c r="J4" s="281">
        <v>0</v>
      </c>
      <c r="K4" s="281">
        <v>30</v>
      </c>
      <c r="L4" s="281">
        <v>30</v>
      </c>
      <c r="M4" s="281"/>
      <c r="N4" s="281">
        <v>0</v>
      </c>
      <c r="O4" s="281">
        <v>324</v>
      </c>
      <c r="P4" s="281"/>
      <c r="Q4" s="281">
        <v>324</v>
      </c>
      <c r="R4" s="281"/>
      <c r="S4" s="281"/>
      <c r="T4" s="281"/>
      <c r="U4" s="281"/>
      <c r="V4" s="281">
        <v>324</v>
      </c>
      <c r="W4" s="281">
        <v>0</v>
      </c>
      <c r="X4" s="281">
        <v>0</v>
      </c>
      <c r="Y4" s="281">
        <v>0</v>
      </c>
      <c r="Z4" s="281"/>
    </row>
    <row r="5" spans="1:26" ht="75" customHeight="1" x14ac:dyDescent="0.3">
      <c r="A5" s="281">
        <v>4</v>
      </c>
      <c r="B5" s="281" t="s">
        <v>11</v>
      </c>
      <c r="C5" s="281" t="s">
        <v>482</v>
      </c>
      <c r="D5" s="281">
        <v>100103572</v>
      </c>
      <c r="E5" s="281" t="s">
        <v>497</v>
      </c>
      <c r="F5" s="281" t="s">
        <v>498</v>
      </c>
      <c r="G5" s="281" t="s">
        <v>41</v>
      </c>
      <c r="H5" s="281">
        <v>0</v>
      </c>
      <c r="I5" s="281"/>
      <c r="J5" s="281">
        <v>0</v>
      </c>
      <c r="K5" s="281">
        <v>1091</v>
      </c>
      <c r="L5" s="281">
        <v>1091</v>
      </c>
      <c r="M5" s="281"/>
      <c r="N5" s="281">
        <v>0</v>
      </c>
      <c r="O5" s="281">
        <v>2182</v>
      </c>
      <c r="P5" s="281"/>
      <c r="Q5" s="281">
        <v>2182</v>
      </c>
      <c r="R5" s="281"/>
      <c r="S5" s="281"/>
      <c r="T5" s="281"/>
      <c r="U5" s="281"/>
      <c r="V5" s="281">
        <v>2182</v>
      </c>
      <c r="W5" s="281">
        <v>0</v>
      </c>
      <c r="X5" s="281">
        <v>0</v>
      </c>
      <c r="Y5" s="281">
        <v>0</v>
      </c>
      <c r="Z5" s="281"/>
    </row>
    <row r="6" spans="1:26" ht="90" customHeight="1" x14ac:dyDescent="0.3">
      <c r="A6" s="281">
        <v>5</v>
      </c>
      <c r="B6" s="281" t="s">
        <v>11</v>
      </c>
      <c r="C6" s="281" t="s">
        <v>482</v>
      </c>
      <c r="D6" s="281">
        <v>100103601</v>
      </c>
      <c r="E6" s="281" t="s">
        <v>565</v>
      </c>
      <c r="F6" s="281" t="s">
        <v>601</v>
      </c>
      <c r="G6" s="281" t="s">
        <v>516</v>
      </c>
      <c r="H6" s="281">
        <v>6</v>
      </c>
      <c r="I6" s="281"/>
      <c r="J6" s="281">
        <v>0</v>
      </c>
      <c r="K6" s="281"/>
      <c r="L6" s="281"/>
      <c r="M6" s="281"/>
      <c r="N6" s="281"/>
      <c r="O6" s="281">
        <v>6</v>
      </c>
      <c r="P6" s="281"/>
      <c r="Q6" s="281"/>
      <c r="R6" s="281"/>
      <c r="S6" s="281"/>
      <c r="T6" s="281"/>
      <c r="U6" s="281"/>
      <c r="V6" s="281">
        <v>0</v>
      </c>
      <c r="W6" s="281">
        <v>6</v>
      </c>
      <c r="X6" s="281">
        <v>6</v>
      </c>
      <c r="Y6" s="281">
        <v>0</v>
      </c>
      <c r="Z6" s="281"/>
    </row>
    <row r="7" spans="1:26" ht="75" customHeight="1" x14ac:dyDescent="0.3">
      <c r="A7" s="281">
        <v>6</v>
      </c>
      <c r="B7" s="281" t="s">
        <v>11</v>
      </c>
      <c r="C7" s="281" t="s">
        <v>482</v>
      </c>
      <c r="D7" s="281">
        <v>100103571</v>
      </c>
      <c r="E7" s="281" t="s">
        <v>495</v>
      </c>
      <c r="F7" s="281" t="s">
        <v>496</v>
      </c>
      <c r="G7" s="281" t="s">
        <v>41</v>
      </c>
      <c r="H7" s="281">
        <v>13</v>
      </c>
      <c r="I7" s="281"/>
      <c r="J7" s="281">
        <v>0</v>
      </c>
      <c r="K7" s="281">
        <v>8000</v>
      </c>
      <c r="L7" s="281">
        <v>8000</v>
      </c>
      <c r="M7" s="281"/>
      <c r="N7" s="281">
        <v>0</v>
      </c>
      <c r="O7" s="281">
        <v>16013</v>
      </c>
      <c r="P7" s="281"/>
      <c r="Q7" s="281">
        <v>14320</v>
      </c>
      <c r="R7" s="281"/>
      <c r="S7" s="281"/>
      <c r="T7" s="281"/>
      <c r="U7" s="281">
        <v>1693</v>
      </c>
      <c r="V7" s="281">
        <v>16013</v>
      </c>
      <c r="W7" s="281">
        <v>0</v>
      </c>
      <c r="X7" s="281">
        <v>0</v>
      </c>
      <c r="Y7" s="281">
        <v>0</v>
      </c>
      <c r="Z7" s="281"/>
    </row>
    <row r="8" spans="1:26" ht="15.75" customHeight="1" x14ac:dyDescent="0.3">
      <c r="A8" s="281">
        <v>7</v>
      </c>
      <c r="B8" s="281" t="s">
        <v>11</v>
      </c>
      <c r="C8" s="281" t="s">
        <v>482</v>
      </c>
      <c r="D8" s="281">
        <v>100104725</v>
      </c>
      <c r="E8" s="281" t="s">
        <v>566</v>
      </c>
      <c r="F8" s="281" t="s">
        <v>602</v>
      </c>
      <c r="G8" s="281" t="s">
        <v>41</v>
      </c>
      <c r="H8" s="281">
        <v>15</v>
      </c>
      <c r="I8" s="281"/>
      <c r="J8" s="281">
        <v>0</v>
      </c>
      <c r="K8" s="281"/>
      <c r="L8" s="281"/>
      <c r="M8" s="281"/>
      <c r="N8" s="281"/>
      <c r="O8" s="281">
        <v>15</v>
      </c>
      <c r="P8" s="281"/>
      <c r="Q8" s="281"/>
      <c r="R8" s="281"/>
      <c r="S8" s="281"/>
      <c r="T8" s="281"/>
      <c r="U8" s="281"/>
      <c r="V8" s="281">
        <v>0</v>
      </c>
      <c r="W8" s="281">
        <v>15</v>
      </c>
      <c r="X8" s="281">
        <v>15</v>
      </c>
      <c r="Y8" s="281">
        <v>0</v>
      </c>
      <c r="Z8" s="281"/>
    </row>
    <row r="9" spans="1:26" ht="90" customHeight="1" x14ac:dyDescent="0.3">
      <c r="A9" s="281">
        <v>8</v>
      </c>
      <c r="B9" s="281" t="s">
        <v>11</v>
      </c>
      <c r="C9" s="281" t="s">
        <v>482</v>
      </c>
      <c r="D9" s="281">
        <v>100103599</v>
      </c>
      <c r="E9" s="281" t="s">
        <v>514</v>
      </c>
      <c r="F9" s="281" t="s">
        <v>515</v>
      </c>
      <c r="G9" s="281" t="s">
        <v>516</v>
      </c>
      <c r="H9" s="281">
        <v>9</v>
      </c>
      <c r="I9" s="281"/>
      <c r="J9" s="281">
        <v>0</v>
      </c>
      <c r="K9" s="281">
        <v>1</v>
      </c>
      <c r="L9" s="281">
        <v>1</v>
      </c>
      <c r="M9" s="281"/>
      <c r="N9" s="281">
        <v>0</v>
      </c>
      <c r="O9" s="281">
        <v>11</v>
      </c>
      <c r="P9" s="281"/>
      <c r="Q9" s="281">
        <v>11</v>
      </c>
      <c r="R9" s="281"/>
      <c r="S9" s="281"/>
      <c r="T9" s="281"/>
      <c r="U9" s="281"/>
      <c r="V9" s="281">
        <v>11</v>
      </c>
      <c r="W9" s="281">
        <v>0</v>
      </c>
      <c r="X9" s="281">
        <v>0</v>
      </c>
      <c r="Y9" s="281">
        <v>0</v>
      </c>
      <c r="Z9" s="281"/>
    </row>
    <row r="10" spans="1:26" ht="75" customHeight="1" x14ac:dyDescent="0.3">
      <c r="A10" s="281">
        <v>9</v>
      </c>
      <c r="B10" s="281" t="s">
        <v>11</v>
      </c>
      <c r="C10" s="281" t="s">
        <v>482</v>
      </c>
      <c r="D10" s="281">
        <v>100103570</v>
      </c>
      <c r="E10" s="281" t="s">
        <v>493</v>
      </c>
      <c r="F10" s="281" t="s">
        <v>494</v>
      </c>
      <c r="G10" s="281" t="s">
        <v>41</v>
      </c>
      <c r="H10" s="281">
        <v>0</v>
      </c>
      <c r="I10" s="281"/>
      <c r="J10" s="281">
        <v>0</v>
      </c>
      <c r="K10" s="281">
        <v>1100</v>
      </c>
      <c r="L10" s="281">
        <v>1100</v>
      </c>
      <c r="M10" s="281"/>
      <c r="N10" s="281">
        <v>0</v>
      </c>
      <c r="O10" s="281">
        <v>2200</v>
      </c>
      <c r="P10" s="281"/>
      <c r="Q10" s="281">
        <v>2200</v>
      </c>
      <c r="R10" s="281"/>
      <c r="S10" s="281"/>
      <c r="T10" s="281"/>
      <c r="U10" s="281"/>
      <c r="V10" s="281">
        <v>2200</v>
      </c>
      <c r="W10" s="281">
        <v>0</v>
      </c>
      <c r="X10" s="281">
        <v>0</v>
      </c>
      <c r="Y10" s="281">
        <v>0</v>
      </c>
      <c r="Z10" s="281"/>
    </row>
    <row r="11" spans="1:26" ht="90" customHeight="1" x14ac:dyDescent="0.3">
      <c r="A11" s="281">
        <v>10</v>
      </c>
      <c r="B11" s="281" t="s">
        <v>11</v>
      </c>
      <c r="C11" s="281" t="s">
        <v>482</v>
      </c>
      <c r="D11" s="281">
        <v>100103597</v>
      </c>
      <c r="E11" s="281" t="s">
        <v>517</v>
      </c>
      <c r="F11" s="281" t="s">
        <v>518</v>
      </c>
      <c r="G11" s="281" t="s">
        <v>516</v>
      </c>
      <c r="H11" s="281">
        <v>7</v>
      </c>
      <c r="I11" s="281"/>
      <c r="J11" s="281">
        <v>0</v>
      </c>
      <c r="K11" s="281"/>
      <c r="L11" s="281"/>
      <c r="M11" s="281"/>
      <c r="N11" s="281"/>
      <c r="O11" s="281">
        <v>7</v>
      </c>
      <c r="P11" s="281"/>
      <c r="Q11" s="281"/>
      <c r="R11" s="281"/>
      <c r="S11" s="281"/>
      <c r="T11" s="281"/>
      <c r="U11" s="281"/>
      <c r="V11" s="281">
        <v>0</v>
      </c>
      <c r="W11" s="281">
        <v>7</v>
      </c>
      <c r="X11" s="281">
        <v>7</v>
      </c>
      <c r="Y11" s="281">
        <v>0</v>
      </c>
      <c r="Z11" s="281"/>
    </row>
    <row r="12" spans="1:26" ht="75" customHeight="1" x14ac:dyDescent="0.3">
      <c r="A12" s="281">
        <v>11</v>
      </c>
      <c r="B12" s="281" t="s">
        <v>11</v>
      </c>
      <c r="C12" s="281" t="s">
        <v>482</v>
      </c>
      <c r="D12" s="281">
        <v>100104717</v>
      </c>
      <c r="E12" s="281" t="s">
        <v>489</v>
      </c>
      <c r="F12" s="281" t="s">
        <v>490</v>
      </c>
      <c r="G12" s="281" t="s">
        <v>41</v>
      </c>
      <c r="H12" s="281">
        <v>1</v>
      </c>
      <c r="I12" s="281"/>
      <c r="J12" s="281">
        <v>0</v>
      </c>
      <c r="K12" s="281">
        <v>335</v>
      </c>
      <c r="L12" s="281">
        <v>335</v>
      </c>
      <c r="M12" s="281"/>
      <c r="N12" s="281">
        <v>0</v>
      </c>
      <c r="O12" s="281">
        <v>671</v>
      </c>
      <c r="P12" s="281"/>
      <c r="Q12" s="281">
        <v>671</v>
      </c>
      <c r="R12" s="281"/>
      <c r="S12" s="281"/>
      <c r="T12" s="281"/>
      <c r="U12" s="281"/>
      <c r="V12" s="281">
        <v>671</v>
      </c>
      <c r="W12" s="281">
        <v>0</v>
      </c>
      <c r="X12" s="281">
        <v>0</v>
      </c>
      <c r="Y12" s="281">
        <v>0</v>
      </c>
      <c r="Z12" s="281"/>
    </row>
    <row r="13" spans="1:26" ht="75" customHeight="1" x14ac:dyDescent="0.3">
      <c r="A13" s="281">
        <v>12</v>
      </c>
      <c r="B13" s="281" t="s">
        <v>11</v>
      </c>
      <c r="C13" s="281" t="s">
        <v>482</v>
      </c>
      <c r="D13" s="281">
        <v>100103562</v>
      </c>
      <c r="E13" s="281" t="s">
        <v>483</v>
      </c>
      <c r="F13" s="281" t="s">
        <v>484</v>
      </c>
      <c r="G13" s="281" t="s">
        <v>41</v>
      </c>
      <c r="H13" s="281">
        <v>1</v>
      </c>
      <c r="I13" s="281"/>
      <c r="J13" s="281">
        <v>1</v>
      </c>
      <c r="K13" s="281">
        <v>30786</v>
      </c>
      <c r="L13" s="281">
        <v>30786</v>
      </c>
      <c r="M13" s="281"/>
      <c r="N13" s="281">
        <v>0</v>
      </c>
      <c r="O13" s="281">
        <v>61574</v>
      </c>
      <c r="P13" s="281"/>
      <c r="Q13" s="281">
        <v>61573</v>
      </c>
      <c r="R13" s="281"/>
      <c r="S13" s="281"/>
      <c r="T13" s="281"/>
      <c r="U13" s="281"/>
      <c r="V13" s="281">
        <v>61573</v>
      </c>
      <c r="W13" s="281">
        <v>1</v>
      </c>
      <c r="X13" s="281">
        <v>1</v>
      </c>
      <c r="Y13" s="281">
        <v>0</v>
      </c>
      <c r="Z13" s="281"/>
    </row>
    <row r="14" spans="1:26" ht="75" customHeight="1" x14ac:dyDescent="0.3">
      <c r="A14" s="281">
        <v>13</v>
      </c>
      <c r="B14" s="281" t="s">
        <v>11</v>
      </c>
      <c r="C14" s="281" t="s">
        <v>482</v>
      </c>
      <c r="D14" s="281">
        <v>100104179</v>
      </c>
      <c r="E14" s="281" t="s">
        <v>567</v>
      </c>
      <c r="F14" s="281" t="s">
        <v>603</v>
      </c>
      <c r="G14" s="281" t="s">
        <v>41</v>
      </c>
      <c r="H14" s="281">
        <v>23</v>
      </c>
      <c r="I14" s="281"/>
      <c r="J14" s="281">
        <v>0</v>
      </c>
      <c r="K14" s="281">
        <v>49</v>
      </c>
      <c r="L14" s="281">
        <v>49</v>
      </c>
      <c r="M14" s="281"/>
      <c r="N14" s="281">
        <v>0</v>
      </c>
      <c r="O14" s="281">
        <v>121</v>
      </c>
      <c r="P14" s="281"/>
      <c r="Q14" s="281">
        <v>49</v>
      </c>
      <c r="R14" s="281"/>
      <c r="S14" s="281"/>
      <c r="T14" s="281"/>
      <c r="U14" s="281">
        <v>49</v>
      </c>
      <c r="V14" s="281">
        <v>98</v>
      </c>
      <c r="W14" s="281">
        <v>23</v>
      </c>
      <c r="X14" s="281">
        <v>23</v>
      </c>
      <c r="Y14" s="281">
        <v>0</v>
      </c>
      <c r="Z14" s="281"/>
    </row>
    <row r="15" spans="1:26" ht="90" customHeight="1" x14ac:dyDescent="0.3">
      <c r="A15" s="281">
        <v>14</v>
      </c>
      <c r="B15" s="281" t="s">
        <v>11</v>
      </c>
      <c r="C15" s="281" t="s">
        <v>482</v>
      </c>
      <c r="D15" s="281">
        <v>100103587</v>
      </c>
      <c r="E15" s="281" t="s">
        <v>519</v>
      </c>
      <c r="F15" s="281" t="s">
        <v>520</v>
      </c>
      <c r="G15" s="281" t="s">
        <v>516</v>
      </c>
      <c r="H15" s="281">
        <v>33</v>
      </c>
      <c r="I15" s="281"/>
      <c r="J15" s="281">
        <v>0</v>
      </c>
      <c r="K15" s="281"/>
      <c r="L15" s="281"/>
      <c r="M15" s="281"/>
      <c r="N15" s="281"/>
      <c r="O15" s="281">
        <v>33</v>
      </c>
      <c r="P15" s="281"/>
      <c r="Q15" s="281">
        <v>20</v>
      </c>
      <c r="R15" s="281"/>
      <c r="S15" s="281"/>
      <c r="T15" s="281"/>
      <c r="U15" s="281"/>
      <c r="V15" s="281">
        <v>20</v>
      </c>
      <c r="W15" s="281">
        <v>13</v>
      </c>
      <c r="X15" s="281">
        <v>13</v>
      </c>
      <c r="Y15" s="281">
        <v>0</v>
      </c>
      <c r="Z15" s="281"/>
    </row>
    <row r="16" spans="1:26" ht="105" customHeight="1" x14ac:dyDescent="0.3">
      <c r="A16" s="281">
        <v>15</v>
      </c>
      <c r="B16" s="281" t="s">
        <v>11</v>
      </c>
      <c r="C16" s="281" t="s">
        <v>482</v>
      </c>
      <c r="D16" s="281">
        <v>100104745</v>
      </c>
      <c r="E16" s="281" t="s">
        <v>604</v>
      </c>
      <c r="F16" s="281" t="s">
        <v>605</v>
      </c>
      <c r="G16" s="281" t="s">
        <v>41</v>
      </c>
      <c r="H16" s="281">
        <v>0</v>
      </c>
      <c r="I16" s="281"/>
      <c r="J16" s="281">
        <v>0</v>
      </c>
      <c r="K16" s="281">
        <v>48</v>
      </c>
      <c r="L16" s="281">
        <v>48</v>
      </c>
      <c r="M16" s="281"/>
      <c r="N16" s="281">
        <v>0</v>
      </c>
      <c r="O16" s="281">
        <v>96</v>
      </c>
      <c r="P16" s="281"/>
      <c r="Q16" s="281">
        <v>96</v>
      </c>
      <c r="R16" s="281"/>
      <c r="S16" s="281"/>
      <c r="T16" s="281"/>
      <c r="U16" s="281"/>
      <c r="V16" s="281">
        <v>96</v>
      </c>
      <c r="W16" s="281">
        <v>0</v>
      </c>
      <c r="X16" s="281">
        <v>0</v>
      </c>
      <c r="Y16" s="281">
        <v>0</v>
      </c>
      <c r="Z16" s="281"/>
    </row>
    <row r="17" spans="1:26" ht="120" customHeight="1" x14ac:dyDescent="0.3">
      <c r="A17" s="281">
        <v>16</v>
      </c>
      <c r="B17" s="281" t="s">
        <v>11</v>
      </c>
      <c r="C17" s="281" t="s">
        <v>482</v>
      </c>
      <c r="D17" s="281">
        <v>100104722</v>
      </c>
      <c r="E17" s="281" t="s">
        <v>491</v>
      </c>
      <c r="F17" s="281" t="s">
        <v>492</v>
      </c>
      <c r="G17" s="281" t="s">
        <v>41</v>
      </c>
      <c r="H17" s="281">
        <v>93</v>
      </c>
      <c r="I17" s="281"/>
      <c r="J17" s="281">
        <v>0</v>
      </c>
      <c r="K17" s="281">
        <v>2015</v>
      </c>
      <c r="L17" s="281">
        <v>2015</v>
      </c>
      <c r="M17" s="281"/>
      <c r="N17" s="281">
        <v>0</v>
      </c>
      <c r="O17" s="281">
        <v>4123</v>
      </c>
      <c r="P17" s="281"/>
      <c r="Q17" s="281">
        <v>4123</v>
      </c>
      <c r="R17" s="281"/>
      <c r="S17" s="281"/>
      <c r="T17" s="281"/>
      <c r="U17" s="281"/>
      <c r="V17" s="281">
        <v>4123</v>
      </c>
      <c r="W17" s="281">
        <v>0</v>
      </c>
      <c r="X17" s="281">
        <v>0</v>
      </c>
      <c r="Y17" s="281">
        <v>0</v>
      </c>
      <c r="Z17" s="281"/>
    </row>
    <row r="18" spans="1:26" ht="120" customHeight="1" x14ac:dyDescent="0.3">
      <c r="A18" s="281">
        <v>17</v>
      </c>
      <c r="B18" s="281" t="s">
        <v>11</v>
      </c>
      <c r="C18" s="281" t="s">
        <v>482</v>
      </c>
      <c r="D18" s="281">
        <v>100104726</v>
      </c>
      <c r="E18" s="281" t="s">
        <v>568</v>
      </c>
      <c r="F18" s="281" t="s">
        <v>606</v>
      </c>
      <c r="G18" s="281" t="s">
        <v>41</v>
      </c>
      <c r="H18" s="281">
        <v>0</v>
      </c>
      <c r="I18" s="281"/>
      <c r="J18" s="281">
        <v>0</v>
      </c>
      <c r="K18" s="281">
        <v>56</v>
      </c>
      <c r="L18" s="281">
        <v>56</v>
      </c>
      <c r="M18" s="281"/>
      <c r="N18" s="281">
        <v>0</v>
      </c>
      <c r="O18" s="281">
        <v>112</v>
      </c>
      <c r="P18" s="281"/>
      <c r="Q18" s="281">
        <v>112</v>
      </c>
      <c r="R18" s="281"/>
      <c r="S18" s="281"/>
      <c r="T18" s="281"/>
      <c r="U18" s="281"/>
      <c r="V18" s="281">
        <v>112</v>
      </c>
      <c r="W18" s="281">
        <v>0</v>
      </c>
      <c r="X18" s="281">
        <v>0</v>
      </c>
      <c r="Y18" s="281">
        <v>0</v>
      </c>
      <c r="Z18" s="281"/>
    </row>
    <row r="19" spans="1:26" ht="90" customHeight="1" x14ac:dyDescent="0.3">
      <c r="A19" s="281">
        <v>18</v>
      </c>
      <c r="B19" s="281" t="s">
        <v>11</v>
      </c>
      <c r="C19" s="281" t="s">
        <v>482</v>
      </c>
      <c r="D19" s="281">
        <v>100103564</v>
      </c>
      <c r="E19" s="281" t="s">
        <v>487</v>
      </c>
      <c r="F19" s="281" t="s">
        <v>488</v>
      </c>
      <c r="G19" s="281" t="s">
        <v>41</v>
      </c>
      <c r="H19" s="281">
        <v>8</v>
      </c>
      <c r="I19" s="281"/>
      <c r="J19" s="281">
        <v>0</v>
      </c>
      <c r="K19" s="281"/>
      <c r="L19" s="281"/>
      <c r="M19" s="281"/>
      <c r="N19" s="281"/>
      <c r="O19" s="281">
        <v>8</v>
      </c>
      <c r="P19" s="281"/>
      <c r="Q19" s="281"/>
      <c r="R19" s="281"/>
      <c r="S19" s="281"/>
      <c r="T19" s="281"/>
      <c r="U19" s="281"/>
      <c r="V19" s="281">
        <v>0</v>
      </c>
      <c r="W19" s="281">
        <v>8</v>
      </c>
      <c r="X19" s="281">
        <v>8</v>
      </c>
      <c r="Y19" s="281">
        <v>0</v>
      </c>
      <c r="Z19" s="281"/>
    </row>
    <row r="20" spans="1:26" ht="90" customHeight="1" x14ac:dyDescent="0.3">
      <c r="A20" s="281">
        <v>19</v>
      </c>
      <c r="B20" s="281" t="s">
        <v>11</v>
      </c>
      <c r="C20" s="281" t="s">
        <v>482</v>
      </c>
      <c r="D20" s="281">
        <v>100103567</v>
      </c>
      <c r="E20" s="281" t="s">
        <v>557</v>
      </c>
      <c r="F20" s="281" t="s">
        <v>559</v>
      </c>
      <c r="G20" s="281" t="s">
        <v>41</v>
      </c>
      <c r="H20" s="281">
        <v>0</v>
      </c>
      <c r="I20" s="281"/>
      <c r="J20" s="281">
        <v>0</v>
      </c>
      <c r="K20" s="281">
        <v>60</v>
      </c>
      <c r="L20" s="281">
        <v>60</v>
      </c>
      <c r="M20" s="281"/>
      <c r="N20" s="281">
        <v>0</v>
      </c>
      <c r="O20" s="281">
        <v>120</v>
      </c>
      <c r="P20" s="281"/>
      <c r="Q20" s="281">
        <v>112</v>
      </c>
      <c r="R20" s="281"/>
      <c r="S20" s="281"/>
      <c r="T20" s="281"/>
      <c r="U20" s="281"/>
      <c r="V20" s="281">
        <v>112</v>
      </c>
      <c r="W20" s="281">
        <v>8</v>
      </c>
      <c r="X20" s="281">
        <v>8</v>
      </c>
      <c r="Y20" s="281">
        <v>0</v>
      </c>
      <c r="Z20" s="281"/>
    </row>
    <row r="21" spans="1:26" ht="120" customHeight="1" x14ac:dyDescent="0.3">
      <c r="A21" s="281">
        <v>20</v>
      </c>
      <c r="B21" s="281" t="s">
        <v>11</v>
      </c>
      <c r="C21" s="281" t="s">
        <v>482</v>
      </c>
      <c r="D21" s="281">
        <v>100105514</v>
      </c>
      <c r="E21" s="281" t="s">
        <v>569</v>
      </c>
      <c r="F21" s="281" t="s">
        <v>607</v>
      </c>
      <c r="G21" s="281" t="s">
        <v>41</v>
      </c>
      <c r="H21" s="281">
        <v>4</v>
      </c>
      <c r="I21" s="281"/>
      <c r="J21" s="281">
        <v>0</v>
      </c>
      <c r="K21" s="281"/>
      <c r="L21" s="281"/>
      <c r="M21" s="281"/>
      <c r="N21" s="281"/>
      <c r="O21" s="281">
        <v>4</v>
      </c>
      <c r="P21" s="281"/>
      <c r="Q21" s="281"/>
      <c r="R21" s="281"/>
      <c r="S21" s="281"/>
      <c r="T21" s="281"/>
      <c r="U21" s="281"/>
      <c r="V21" s="281">
        <v>0</v>
      </c>
      <c r="W21" s="281">
        <v>4</v>
      </c>
      <c r="X21" s="281">
        <v>4</v>
      </c>
      <c r="Y21" s="281">
        <v>0</v>
      </c>
      <c r="Z21" s="281"/>
    </row>
    <row r="22" spans="1:26" ht="135" customHeight="1" x14ac:dyDescent="0.3">
      <c r="A22" s="281">
        <v>21</v>
      </c>
      <c r="B22" s="281" t="s">
        <v>11</v>
      </c>
      <c r="C22" s="281" t="s">
        <v>482</v>
      </c>
      <c r="D22" s="281">
        <v>100105513</v>
      </c>
      <c r="E22" s="281" t="s">
        <v>570</v>
      </c>
      <c r="F22" s="281" t="s">
        <v>608</v>
      </c>
      <c r="G22" s="281" t="s">
        <v>41</v>
      </c>
      <c r="H22" s="281">
        <v>2</v>
      </c>
      <c r="I22" s="281"/>
      <c r="J22" s="281">
        <v>0</v>
      </c>
      <c r="K22" s="281"/>
      <c r="L22" s="281"/>
      <c r="M22" s="281"/>
      <c r="N22" s="281"/>
      <c r="O22" s="281">
        <v>2</v>
      </c>
      <c r="P22" s="281"/>
      <c r="Q22" s="281"/>
      <c r="R22" s="281"/>
      <c r="S22" s="281"/>
      <c r="T22" s="281"/>
      <c r="U22" s="281"/>
      <c r="V22" s="281">
        <v>0</v>
      </c>
      <c r="W22" s="281">
        <v>2</v>
      </c>
      <c r="X22" s="281">
        <v>2</v>
      </c>
      <c r="Y22" s="281">
        <v>0</v>
      </c>
      <c r="Z22" s="281"/>
    </row>
    <row r="23" spans="1:26" ht="90" customHeight="1" x14ac:dyDescent="0.3">
      <c r="A23" s="281">
        <v>22</v>
      </c>
      <c r="B23" s="281" t="s">
        <v>11</v>
      </c>
      <c r="C23" s="281" t="s">
        <v>482</v>
      </c>
      <c r="D23" s="281">
        <v>100103563</v>
      </c>
      <c r="E23" s="281" t="s">
        <v>485</v>
      </c>
      <c r="F23" s="281" t="s">
        <v>486</v>
      </c>
      <c r="G23" s="281" t="s">
        <v>41</v>
      </c>
      <c r="H23" s="281">
        <v>296</v>
      </c>
      <c r="I23" s="281"/>
      <c r="J23" s="281">
        <v>0</v>
      </c>
      <c r="K23" s="281"/>
      <c r="L23" s="281"/>
      <c r="M23" s="281"/>
      <c r="N23" s="281"/>
      <c r="O23" s="281">
        <v>296</v>
      </c>
      <c r="P23" s="281"/>
      <c r="Q23" s="281">
        <v>296</v>
      </c>
      <c r="R23" s="281"/>
      <c r="S23" s="281"/>
      <c r="T23" s="281"/>
      <c r="U23" s="281"/>
      <c r="V23" s="281">
        <v>296</v>
      </c>
      <c r="W23" s="281">
        <v>0</v>
      </c>
      <c r="X23" s="281">
        <v>0</v>
      </c>
      <c r="Y23" s="281">
        <v>0</v>
      </c>
      <c r="Z23" s="281"/>
    </row>
    <row r="24" spans="1:26" ht="75" customHeight="1" x14ac:dyDescent="0.3">
      <c r="A24" s="281">
        <v>23</v>
      </c>
      <c r="B24" s="281" t="s">
        <v>11</v>
      </c>
      <c r="C24" s="281" t="s">
        <v>482</v>
      </c>
      <c r="D24" s="281">
        <v>100107316</v>
      </c>
      <c r="E24" s="281" t="s">
        <v>540</v>
      </c>
      <c r="F24" s="281" t="s">
        <v>542</v>
      </c>
      <c r="G24" s="281" t="s">
        <v>41</v>
      </c>
      <c r="H24" s="281">
        <v>301</v>
      </c>
      <c r="I24" s="281"/>
      <c r="J24" s="281">
        <v>0</v>
      </c>
      <c r="K24" s="281">
        <v>3078</v>
      </c>
      <c r="L24" s="281">
        <v>3078</v>
      </c>
      <c r="M24" s="281"/>
      <c r="N24" s="281">
        <v>0</v>
      </c>
      <c r="O24" s="281">
        <v>6457</v>
      </c>
      <c r="P24" s="281"/>
      <c r="Q24" s="281">
        <v>6456</v>
      </c>
      <c r="R24" s="281"/>
      <c r="S24" s="281"/>
      <c r="T24" s="281"/>
      <c r="U24" s="281"/>
      <c r="V24" s="281">
        <v>6456</v>
      </c>
      <c r="W24" s="281">
        <v>1</v>
      </c>
      <c r="X24" s="281">
        <v>1</v>
      </c>
      <c r="Y24" s="281">
        <v>0</v>
      </c>
      <c r="Z24" s="281"/>
    </row>
    <row r="25" spans="1:26" ht="60" customHeight="1" x14ac:dyDescent="0.3">
      <c r="A25" s="281">
        <v>24</v>
      </c>
      <c r="B25" s="281" t="s">
        <v>11</v>
      </c>
      <c r="C25" s="281" t="s">
        <v>482</v>
      </c>
      <c r="D25" s="281">
        <v>100107315</v>
      </c>
      <c r="E25" s="281" t="s">
        <v>543</v>
      </c>
      <c r="F25" s="281" t="s">
        <v>545</v>
      </c>
      <c r="G25" s="281" t="s">
        <v>41</v>
      </c>
      <c r="H25" s="281">
        <v>20</v>
      </c>
      <c r="I25" s="281"/>
      <c r="J25" s="281">
        <v>0</v>
      </c>
      <c r="K25" s="281">
        <v>2626</v>
      </c>
      <c r="L25" s="281">
        <v>2626</v>
      </c>
      <c r="M25" s="281"/>
      <c r="N25" s="281">
        <v>0</v>
      </c>
      <c r="O25" s="281">
        <v>5272</v>
      </c>
      <c r="P25" s="281"/>
      <c r="Q25" s="281">
        <v>5272</v>
      </c>
      <c r="R25" s="281"/>
      <c r="S25" s="281"/>
      <c r="T25" s="281"/>
      <c r="U25" s="281"/>
      <c r="V25" s="281">
        <v>5272</v>
      </c>
      <c r="W25" s="281">
        <v>0</v>
      </c>
      <c r="X25" s="281">
        <v>0</v>
      </c>
      <c r="Y25" s="281">
        <v>0</v>
      </c>
      <c r="Z25" s="281"/>
    </row>
    <row r="26" spans="1:26" ht="60" customHeight="1" x14ac:dyDescent="0.3">
      <c r="A26" s="281">
        <v>25</v>
      </c>
      <c r="B26" s="281" t="s">
        <v>11</v>
      </c>
      <c r="C26" s="281" t="s">
        <v>482</v>
      </c>
      <c r="D26" s="281">
        <v>100107035</v>
      </c>
      <c r="E26" s="281" t="s">
        <v>547</v>
      </c>
      <c r="F26" s="281" t="s">
        <v>549</v>
      </c>
      <c r="G26" s="281" t="s">
        <v>41</v>
      </c>
      <c r="H26" s="281">
        <v>0</v>
      </c>
      <c r="I26" s="281"/>
      <c r="J26" s="281">
        <v>0</v>
      </c>
      <c r="K26" s="281">
        <v>70128</v>
      </c>
      <c r="L26" s="281">
        <v>70128</v>
      </c>
      <c r="M26" s="281"/>
      <c r="N26" s="281">
        <v>0</v>
      </c>
      <c r="O26" s="281">
        <v>140256</v>
      </c>
      <c r="P26" s="281"/>
      <c r="Q26" s="281">
        <v>138576</v>
      </c>
      <c r="R26" s="281"/>
      <c r="S26" s="281"/>
      <c r="T26" s="281"/>
      <c r="U26" s="281"/>
      <c r="V26" s="281">
        <v>138576</v>
      </c>
      <c r="W26" s="282">
        <v>1680</v>
      </c>
      <c r="X26" s="281">
        <v>1680</v>
      </c>
      <c r="Y26" s="281">
        <v>0</v>
      </c>
      <c r="Z26" s="281"/>
    </row>
    <row r="27" spans="1:26" ht="60" customHeight="1" x14ac:dyDescent="0.3">
      <c r="A27" s="281">
        <v>26</v>
      </c>
      <c r="B27" s="281" t="s">
        <v>11</v>
      </c>
      <c r="C27" s="281" t="s">
        <v>482</v>
      </c>
      <c r="D27" s="281">
        <v>100107036</v>
      </c>
      <c r="E27" s="281" t="s">
        <v>550</v>
      </c>
      <c r="F27" s="281" t="s">
        <v>552</v>
      </c>
      <c r="G27" s="281" t="s">
        <v>41</v>
      </c>
      <c r="H27" s="281">
        <v>0</v>
      </c>
      <c r="I27" s="281"/>
      <c r="J27" s="281">
        <v>0</v>
      </c>
      <c r="K27" s="281">
        <v>79872</v>
      </c>
      <c r="L27" s="281">
        <v>79872</v>
      </c>
      <c r="M27" s="281"/>
      <c r="N27" s="281">
        <v>0</v>
      </c>
      <c r="O27" s="281">
        <v>159744</v>
      </c>
      <c r="P27" s="281"/>
      <c r="Q27" s="281">
        <v>159744</v>
      </c>
      <c r="R27" s="281"/>
      <c r="S27" s="281"/>
      <c r="T27" s="281"/>
      <c r="U27" s="281"/>
      <c r="V27" s="281">
        <v>159744</v>
      </c>
      <c r="W27" s="281">
        <v>0</v>
      </c>
      <c r="X27" s="281">
        <v>0</v>
      </c>
      <c r="Y27" s="281">
        <v>0</v>
      </c>
      <c r="Z27" s="281"/>
    </row>
    <row r="28" spans="1:26" ht="90" customHeight="1" x14ac:dyDescent="0.3">
      <c r="A28" s="281">
        <v>27</v>
      </c>
      <c r="B28" s="281" t="s">
        <v>11</v>
      </c>
      <c r="C28" s="281" t="s">
        <v>482</v>
      </c>
      <c r="D28" s="281">
        <v>1300100099</v>
      </c>
      <c r="E28" s="281" t="s">
        <v>609</v>
      </c>
      <c r="F28" s="281" t="s">
        <v>610</v>
      </c>
      <c r="G28" s="281" t="s">
        <v>611</v>
      </c>
      <c r="H28" s="281">
        <v>2831</v>
      </c>
      <c r="I28" s="281"/>
      <c r="J28" s="281">
        <v>0</v>
      </c>
      <c r="K28" s="281">
        <v>22000</v>
      </c>
      <c r="L28" s="281">
        <v>22000</v>
      </c>
      <c r="M28" s="281"/>
      <c r="N28" s="281">
        <v>0</v>
      </c>
      <c r="O28" s="281">
        <v>46831</v>
      </c>
      <c r="P28" s="281"/>
      <c r="Q28" s="281">
        <v>43332</v>
      </c>
      <c r="R28" s="281"/>
      <c r="S28" s="281"/>
      <c r="T28" s="281"/>
      <c r="U28" s="281">
        <v>686</v>
      </c>
      <c r="V28" s="281">
        <v>44018</v>
      </c>
      <c r="W28" s="282">
        <v>2813</v>
      </c>
      <c r="X28" s="281">
        <v>2813</v>
      </c>
      <c r="Y28" s="281">
        <v>0</v>
      </c>
      <c r="Z28" s="281"/>
    </row>
    <row r="29" spans="1:26" ht="90" customHeight="1" x14ac:dyDescent="0.3">
      <c r="A29" s="281">
        <v>28</v>
      </c>
      <c r="B29" s="281" t="s">
        <v>11</v>
      </c>
      <c r="C29" s="281" t="s">
        <v>482</v>
      </c>
      <c r="D29" s="281">
        <v>100103662</v>
      </c>
      <c r="E29" s="281" t="s">
        <v>612</v>
      </c>
      <c r="F29" s="281" t="s">
        <v>613</v>
      </c>
      <c r="G29" s="281" t="s">
        <v>41</v>
      </c>
      <c r="H29" s="281">
        <v>2</v>
      </c>
      <c r="I29" s="281"/>
      <c r="J29" s="281">
        <v>0</v>
      </c>
      <c r="K29" s="281"/>
      <c r="L29" s="281"/>
      <c r="M29" s="281"/>
      <c r="N29" s="281"/>
      <c r="O29" s="281">
        <v>2</v>
      </c>
      <c r="P29" s="281"/>
      <c r="Q29" s="281"/>
      <c r="R29" s="281"/>
      <c r="S29" s="281"/>
      <c r="T29" s="281"/>
      <c r="U29" s="281"/>
      <c r="V29" s="281">
        <v>0</v>
      </c>
      <c r="W29" s="281">
        <v>2</v>
      </c>
      <c r="X29" s="281">
        <v>2</v>
      </c>
      <c r="Y29" s="281">
        <v>0</v>
      </c>
      <c r="Z29" s="281"/>
    </row>
    <row r="30" spans="1:26" ht="90" customHeight="1" x14ac:dyDescent="0.3">
      <c r="A30" s="281">
        <v>29</v>
      </c>
      <c r="B30" s="281" t="s">
        <v>11</v>
      </c>
      <c r="C30" s="281" t="s">
        <v>482</v>
      </c>
      <c r="D30" s="281">
        <v>100103647</v>
      </c>
      <c r="E30" s="281" t="s">
        <v>614</v>
      </c>
      <c r="F30" s="281" t="s">
        <v>615</v>
      </c>
      <c r="G30" s="281" t="s">
        <v>41</v>
      </c>
      <c r="H30" s="281">
        <v>1</v>
      </c>
      <c r="I30" s="281"/>
      <c r="J30" s="281">
        <v>0</v>
      </c>
      <c r="K30" s="281"/>
      <c r="L30" s="281"/>
      <c r="M30" s="281"/>
      <c r="N30" s="281"/>
      <c r="O30" s="281">
        <v>1</v>
      </c>
      <c r="P30" s="281"/>
      <c r="Q30" s="281"/>
      <c r="R30" s="281"/>
      <c r="S30" s="281"/>
      <c r="T30" s="281"/>
      <c r="U30" s="281"/>
      <c r="V30" s="281">
        <v>0</v>
      </c>
      <c r="W30" s="281">
        <v>1</v>
      </c>
      <c r="X30" s="281">
        <v>1</v>
      </c>
      <c r="Y30" s="281">
        <v>0</v>
      </c>
      <c r="Z30" s="281"/>
    </row>
    <row r="31" spans="1:26" ht="30" customHeight="1" x14ac:dyDescent="0.3">
      <c r="A31" s="281">
        <v>30</v>
      </c>
      <c r="B31" s="281" t="s">
        <v>11</v>
      </c>
      <c r="C31" s="281" t="s">
        <v>482</v>
      </c>
      <c r="D31" s="281">
        <v>100103726</v>
      </c>
      <c r="E31" s="281" t="s">
        <v>523</v>
      </c>
      <c r="F31" s="281" t="s">
        <v>524</v>
      </c>
      <c r="G31" s="281" t="s">
        <v>14</v>
      </c>
      <c r="H31" s="281">
        <v>254</v>
      </c>
      <c r="I31" s="281"/>
      <c r="J31" s="281">
        <v>0</v>
      </c>
      <c r="K31" s="281"/>
      <c r="L31" s="281"/>
      <c r="M31" s="281"/>
      <c r="N31" s="281"/>
      <c r="O31" s="281">
        <v>254</v>
      </c>
      <c r="P31" s="281"/>
      <c r="Q31" s="281"/>
      <c r="R31" s="281"/>
      <c r="S31" s="281"/>
      <c r="T31" s="281"/>
      <c r="U31" s="281"/>
      <c r="V31" s="281">
        <v>0</v>
      </c>
      <c r="W31" s="281">
        <v>254</v>
      </c>
      <c r="X31" s="281">
        <v>254</v>
      </c>
      <c r="Y31" s="281">
        <v>0</v>
      </c>
      <c r="Z31" s="281"/>
    </row>
    <row r="32" spans="1:26" x14ac:dyDescent="0.3">
      <c r="A32" s="283"/>
      <c r="B32" s="283"/>
      <c r="C32" s="283"/>
      <c r="D32" s="283"/>
      <c r="E32" s="283"/>
      <c r="F32" s="284" t="s">
        <v>527</v>
      </c>
      <c r="G32" s="283"/>
      <c r="H32" s="284">
        <v>4206</v>
      </c>
      <c r="I32" s="284">
        <v>0</v>
      </c>
      <c r="J32" s="284">
        <v>1</v>
      </c>
      <c r="K32" s="284">
        <v>225519</v>
      </c>
      <c r="L32" s="284">
        <v>225519</v>
      </c>
      <c r="M32" s="284">
        <v>0</v>
      </c>
      <c r="N32" s="284">
        <v>0</v>
      </c>
      <c r="O32" s="284">
        <v>455245</v>
      </c>
      <c r="P32" s="284">
        <v>0</v>
      </c>
      <c r="Q32" s="284">
        <v>447861</v>
      </c>
      <c r="R32" s="284">
        <v>0</v>
      </c>
      <c r="S32" s="284">
        <v>0</v>
      </c>
      <c r="T32" s="284">
        <v>0</v>
      </c>
      <c r="U32" s="284">
        <v>2428</v>
      </c>
      <c r="V32" s="284">
        <v>450289</v>
      </c>
      <c r="W32" s="284">
        <v>4956</v>
      </c>
      <c r="X32" s="284">
        <v>4956</v>
      </c>
      <c r="Y32" s="283">
        <v>0</v>
      </c>
      <c r="Z32" s="283"/>
    </row>
    <row r="33" spans="1:26" ht="42.75" customHeight="1" thickBot="1" x14ac:dyDescent="0.3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32.25" customHeight="1" thickBot="1" x14ac:dyDescent="0.3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26"/>
      <c r="X34" s="17"/>
      <c r="Y34" s="17"/>
      <c r="Z34" s="17"/>
    </row>
    <row r="35" spans="1:26" ht="32.25" customHeight="1" thickBot="1" x14ac:dyDescent="0.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26"/>
      <c r="X35" s="17"/>
      <c r="Y35" s="17"/>
      <c r="Z35" s="17"/>
    </row>
    <row r="36" spans="1:26" ht="42.75" customHeight="1" thickBot="1" x14ac:dyDescent="0.3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26"/>
      <c r="X36" s="17"/>
      <c r="Y36" s="17"/>
      <c r="Z36" s="17"/>
    </row>
    <row r="37" spans="1:26" ht="42.75" customHeight="1" thickBot="1" x14ac:dyDescent="0.3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42.75" customHeight="1" thickBot="1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21.75" customHeight="1" thickBot="1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thickBot="1" x14ac:dyDescent="0.35">
      <c r="A40" s="27"/>
      <c r="B40" s="27"/>
      <c r="C40" s="27"/>
      <c r="D40" s="27"/>
      <c r="E40" s="27"/>
      <c r="F40" s="28"/>
      <c r="G40" s="27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7"/>
      <c r="Z40" s="27"/>
    </row>
    <row r="41" spans="1:26" ht="15.75" customHeight="1" thickBot="1" x14ac:dyDescent="0.35">
      <c r="A41" s="27"/>
      <c r="B41" s="27"/>
      <c r="C41" s="27"/>
      <c r="D41" s="27"/>
      <c r="E41" s="27"/>
      <c r="F41" s="28"/>
      <c r="G41" s="27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7"/>
      <c r="Z41" s="2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A1558"/>
  <sheetViews>
    <sheetView workbookViewId="0">
      <pane ySplit="8" topLeftCell="A9" activePane="bottomLeft" state="frozen"/>
      <selection pane="bottomLeft" sqref="A1:Y165"/>
    </sheetView>
  </sheetViews>
  <sheetFormatPr defaultRowHeight="14.4" x14ac:dyDescent="0.3"/>
  <cols>
    <col min="3" max="3" width="9.109375" style="338" customWidth="1"/>
    <col min="27" max="27" width="9.44140625" bestFit="1" customWidth="1"/>
  </cols>
  <sheetData>
    <row r="1" spans="1:27" ht="31.5" customHeight="1" x14ac:dyDescent="0.3">
      <c r="A1" s="400" t="s">
        <v>782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2"/>
      <c r="AA1" s="338">
        <f t="shared" ref="AA1:AA64" si="0">IFERROR(
IF(ISNUMBER(C1),C1,DATE(VALUE(RIGHT(C1,4)),VALUE(MID(SUBSTITUTE(C1,"/","-"),FIND("-",SUBSTITUTE(C1,"/","-"))+1,FIND("-",SUBSTITUTE(C1,"/","-"),FIND("-",SUBSTITUTE(C1,"/","-"))+1)-FIND("-",SUBSTITUTE(C1,"/","-"))-1)),VALUE(LEFT(SUBSTITUTE(C1,"/","-"),FIND("-",SUBSTITUTE(C1,"/","-"))-1)))),
DATE(1995,1,1)
)</f>
        <v>34700</v>
      </c>
    </row>
    <row r="2" spans="1:27" x14ac:dyDescent="0.3">
      <c r="A2" s="391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AA2" s="338">
        <f t="shared" si="0"/>
        <v>34700</v>
      </c>
    </row>
    <row r="3" spans="1:27" ht="24" customHeight="1" x14ac:dyDescent="0.3">
      <c r="A3" s="394" t="s">
        <v>783</v>
      </c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6"/>
      <c r="AA3" s="338">
        <f t="shared" si="0"/>
        <v>34700</v>
      </c>
    </row>
    <row r="4" spans="1:27" ht="30.75" customHeight="1" x14ac:dyDescent="0.3">
      <c r="A4" s="391"/>
      <c r="B4" s="392"/>
      <c r="C4" s="392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2"/>
      <c r="O4" s="392"/>
      <c r="P4" s="392"/>
      <c r="Q4" s="392"/>
      <c r="R4" s="392"/>
      <c r="S4" s="392"/>
      <c r="T4" s="392"/>
      <c r="U4" s="392"/>
      <c r="V4" s="392"/>
      <c r="W4" s="392"/>
      <c r="X4" s="392"/>
      <c r="Y4" s="393"/>
      <c r="AA4" s="338">
        <f t="shared" si="0"/>
        <v>34700</v>
      </c>
    </row>
    <row r="5" spans="1:27" ht="24" customHeight="1" x14ac:dyDescent="0.3">
      <c r="A5" s="394" t="s">
        <v>786</v>
      </c>
      <c r="B5" s="395"/>
      <c r="C5" s="395"/>
      <c r="D5" s="395"/>
      <c r="E5" s="395"/>
      <c r="F5" s="395"/>
      <c r="G5" s="395"/>
      <c r="H5" s="395"/>
      <c r="I5" s="395"/>
      <c r="J5" s="395"/>
      <c r="K5" s="395"/>
      <c r="L5" s="395"/>
      <c r="M5" s="395"/>
      <c r="N5" s="395"/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96"/>
      <c r="AA5" s="338">
        <f t="shared" si="0"/>
        <v>34700</v>
      </c>
    </row>
    <row r="6" spans="1:27" ht="23.25" customHeight="1" x14ac:dyDescent="0.3">
      <c r="A6" s="391"/>
      <c r="B6" s="392"/>
      <c r="C6" s="392"/>
      <c r="D6" s="392"/>
      <c r="E6" s="392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3"/>
      <c r="AA6" s="338">
        <f t="shared" si="0"/>
        <v>34700</v>
      </c>
    </row>
    <row r="7" spans="1:27" ht="15" customHeight="1" x14ac:dyDescent="0.3">
      <c r="A7" s="391" t="s">
        <v>785</v>
      </c>
      <c r="B7" s="392"/>
      <c r="C7" s="392"/>
      <c r="D7" s="392"/>
      <c r="E7" s="392"/>
      <c r="F7" s="392"/>
      <c r="G7" s="392"/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3"/>
      <c r="AA7" s="338">
        <f t="shared" si="0"/>
        <v>34700</v>
      </c>
    </row>
    <row r="8" spans="1:27" ht="23.25" customHeight="1" x14ac:dyDescent="0.3">
      <c r="A8" s="356" t="s">
        <v>0</v>
      </c>
      <c r="B8" s="356" t="s">
        <v>616</v>
      </c>
      <c r="C8" s="356" t="s">
        <v>617</v>
      </c>
      <c r="D8" s="356" t="s">
        <v>618</v>
      </c>
      <c r="E8" s="356" t="s">
        <v>619</v>
      </c>
      <c r="F8" s="356" t="s">
        <v>620</v>
      </c>
      <c r="G8" s="356" t="s">
        <v>5</v>
      </c>
      <c r="H8" s="356" t="s">
        <v>7</v>
      </c>
      <c r="I8" s="356" t="s">
        <v>621</v>
      </c>
      <c r="J8" s="356" t="s">
        <v>622</v>
      </c>
      <c r="K8" s="356" t="s">
        <v>623</v>
      </c>
      <c r="L8" s="356" t="s">
        <v>624</v>
      </c>
      <c r="M8" s="356" t="s">
        <v>625</v>
      </c>
      <c r="N8" s="356" t="s">
        <v>626</v>
      </c>
      <c r="O8" s="356" t="s">
        <v>627</v>
      </c>
      <c r="P8" s="356" t="s">
        <v>628</v>
      </c>
      <c r="Q8" s="356" t="s">
        <v>629</v>
      </c>
      <c r="R8" s="356" t="s">
        <v>630</v>
      </c>
      <c r="Y8" s="286"/>
      <c r="AA8" s="338">
        <f t="shared" si="0"/>
        <v>34700</v>
      </c>
    </row>
    <row r="9" spans="1:27" ht="90" customHeight="1" x14ac:dyDescent="0.3">
      <c r="A9" s="357">
        <v>1</v>
      </c>
      <c r="B9" s="380">
        <v>2108</v>
      </c>
      <c r="C9" s="355" t="s">
        <v>631</v>
      </c>
      <c r="D9" s="357"/>
      <c r="E9" s="355" t="s">
        <v>11</v>
      </c>
      <c r="F9" s="355" t="s">
        <v>632</v>
      </c>
      <c r="G9" s="355">
        <v>3202010001</v>
      </c>
      <c r="H9" s="355" t="s">
        <v>314</v>
      </c>
      <c r="I9" s="355" t="s">
        <v>14</v>
      </c>
      <c r="J9" s="355">
        <v>50</v>
      </c>
      <c r="K9" s="358">
        <v>14494.54</v>
      </c>
      <c r="L9" s="281"/>
      <c r="M9" s="355">
        <v>0</v>
      </c>
      <c r="N9" s="355">
        <v>50</v>
      </c>
      <c r="O9" s="358">
        <v>14494.54</v>
      </c>
      <c r="P9" s="355" t="s">
        <v>633</v>
      </c>
      <c r="Q9" s="355">
        <v>144</v>
      </c>
      <c r="R9" s="359">
        <v>46193.792696759258</v>
      </c>
      <c r="Y9" s="286"/>
      <c r="AA9" s="338">
        <f t="shared" si="0"/>
        <v>46193</v>
      </c>
    </row>
    <row r="10" spans="1:27" ht="90" customHeight="1" x14ac:dyDescent="0.3">
      <c r="A10" s="357">
        <v>2</v>
      </c>
      <c r="B10" s="380">
        <v>2111</v>
      </c>
      <c r="C10" s="355" t="s">
        <v>634</v>
      </c>
      <c r="D10" s="360">
        <v>1517415243</v>
      </c>
      <c r="E10" s="355" t="s">
        <v>11</v>
      </c>
      <c r="F10" s="355" t="s">
        <v>632</v>
      </c>
      <c r="G10" s="355">
        <v>3202010001</v>
      </c>
      <c r="H10" s="355" t="s">
        <v>314</v>
      </c>
      <c r="I10" s="355" t="s">
        <v>14</v>
      </c>
      <c r="J10" s="355">
        <v>100</v>
      </c>
      <c r="K10" s="358">
        <v>28989.08</v>
      </c>
      <c r="L10" s="355">
        <v>42</v>
      </c>
      <c r="M10" s="358">
        <v>12175.41</v>
      </c>
      <c r="N10" s="355">
        <v>58</v>
      </c>
      <c r="O10" s="358">
        <v>16813.669999999998</v>
      </c>
      <c r="P10" s="355" t="s">
        <v>633</v>
      </c>
      <c r="Q10" s="355">
        <v>144</v>
      </c>
      <c r="R10" s="359">
        <v>46196.358159722222</v>
      </c>
      <c r="Y10" s="286"/>
      <c r="AA10" s="338">
        <f t="shared" si="0"/>
        <v>46194</v>
      </c>
    </row>
    <row r="11" spans="1:27" ht="90" customHeight="1" x14ac:dyDescent="0.3">
      <c r="A11" s="357">
        <v>3</v>
      </c>
      <c r="B11" s="380">
        <v>2219</v>
      </c>
      <c r="C11" s="355" t="s">
        <v>635</v>
      </c>
      <c r="D11" s="360">
        <v>1584715871</v>
      </c>
      <c r="E11" s="355" t="s">
        <v>11</v>
      </c>
      <c r="F11" s="355" t="s">
        <v>632</v>
      </c>
      <c r="G11" s="355">
        <v>3202010001</v>
      </c>
      <c r="H11" s="355" t="s">
        <v>314</v>
      </c>
      <c r="I11" s="355" t="s">
        <v>14</v>
      </c>
      <c r="J11" s="355">
        <v>100</v>
      </c>
      <c r="K11" s="358">
        <v>28989.08</v>
      </c>
      <c r="L11" s="355">
        <v>100</v>
      </c>
      <c r="M11" s="358">
        <v>28989.08</v>
      </c>
      <c r="N11" s="355">
        <v>0</v>
      </c>
      <c r="O11" s="355">
        <v>0</v>
      </c>
      <c r="P11" s="355" t="s">
        <v>633</v>
      </c>
      <c r="Q11" s="355">
        <v>144</v>
      </c>
      <c r="R11" s="359">
        <v>46229.684525462966</v>
      </c>
      <c r="Y11" s="286"/>
      <c r="AA11" s="338">
        <f t="shared" si="0"/>
        <v>46229</v>
      </c>
    </row>
    <row r="12" spans="1:27" ht="90" customHeight="1" x14ac:dyDescent="0.3">
      <c r="A12" s="357">
        <v>4</v>
      </c>
      <c r="B12" s="380">
        <v>2282</v>
      </c>
      <c r="C12" s="355" t="s">
        <v>636</v>
      </c>
      <c r="D12" s="357"/>
      <c r="E12" s="355" t="s">
        <v>11</v>
      </c>
      <c r="F12" s="355" t="s">
        <v>632</v>
      </c>
      <c r="G12" s="355">
        <v>3202010001</v>
      </c>
      <c r="H12" s="355" t="s">
        <v>314</v>
      </c>
      <c r="I12" s="355" t="s">
        <v>14</v>
      </c>
      <c r="J12" s="355">
        <v>0</v>
      </c>
      <c r="K12" s="355">
        <v>0</v>
      </c>
      <c r="L12" s="281"/>
      <c r="M12" s="355">
        <v>0</v>
      </c>
      <c r="N12" s="355">
        <v>0</v>
      </c>
      <c r="O12" s="355">
        <v>0</v>
      </c>
      <c r="P12" s="355" t="s">
        <v>637</v>
      </c>
      <c r="Q12" s="355">
        <v>144</v>
      </c>
      <c r="R12" s="359">
        <v>46260.681643518517</v>
      </c>
      <c r="Y12" s="286"/>
      <c r="AA12" s="338">
        <f t="shared" si="0"/>
        <v>46254</v>
      </c>
    </row>
    <row r="13" spans="1:27" ht="60" customHeight="1" x14ac:dyDescent="0.3">
      <c r="A13" s="357">
        <v>5</v>
      </c>
      <c r="B13" s="380">
        <v>2108</v>
      </c>
      <c r="C13" s="355" t="s">
        <v>631</v>
      </c>
      <c r="D13" s="357"/>
      <c r="E13" s="355" t="s">
        <v>11</v>
      </c>
      <c r="F13" s="355" t="s">
        <v>632</v>
      </c>
      <c r="G13" s="355">
        <v>3202010002</v>
      </c>
      <c r="H13" s="355" t="s">
        <v>315</v>
      </c>
      <c r="I13" s="355" t="s">
        <v>41</v>
      </c>
      <c r="J13" s="355">
        <v>2300</v>
      </c>
      <c r="K13" s="358">
        <v>98189.87</v>
      </c>
      <c r="L13" s="281"/>
      <c r="M13" s="355">
        <v>0</v>
      </c>
      <c r="N13" s="355">
        <v>2300</v>
      </c>
      <c r="O13" s="358">
        <v>98189.87</v>
      </c>
      <c r="P13" s="355" t="s">
        <v>633</v>
      </c>
      <c r="Q13" s="355">
        <v>144</v>
      </c>
      <c r="R13" s="359">
        <v>46193.792696759258</v>
      </c>
      <c r="Y13" s="286"/>
      <c r="AA13" s="338">
        <f t="shared" si="0"/>
        <v>46193</v>
      </c>
    </row>
    <row r="14" spans="1:27" ht="60" customHeight="1" x14ac:dyDescent="0.3">
      <c r="A14" s="357">
        <v>6</v>
      </c>
      <c r="B14" s="380">
        <v>2111</v>
      </c>
      <c r="C14" s="355" t="s">
        <v>634</v>
      </c>
      <c r="D14" s="355">
        <v>14747</v>
      </c>
      <c r="E14" s="355" t="s">
        <v>11</v>
      </c>
      <c r="F14" s="355" t="s">
        <v>632</v>
      </c>
      <c r="G14" s="355">
        <v>3202010002</v>
      </c>
      <c r="H14" s="355" t="s">
        <v>315</v>
      </c>
      <c r="I14" s="355" t="s">
        <v>41</v>
      </c>
      <c r="J14" s="355">
        <v>6100</v>
      </c>
      <c r="K14" s="358">
        <v>260416.61</v>
      </c>
      <c r="L14" s="355">
        <v>165</v>
      </c>
      <c r="M14" s="358">
        <v>7044.06</v>
      </c>
      <c r="N14" s="355">
        <v>5935</v>
      </c>
      <c r="O14" s="358">
        <v>253372.56</v>
      </c>
      <c r="P14" s="355" t="s">
        <v>633</v>
      </c>
      <c r="Q14" s="355">
        <v>144</v>
      </c>
      <c r="R14" s="359">
        <v>46196.358159722222</v>
      </c>
      <c r="Y14" s="286"/>
      <c r="AA14" s="338">
        <f t="shared" si="0"/>
        <v>46194</v>
      </c>
    </row>
    <row r="15" spans="1:27" ht="60" customHeight="1" x14ac:dyDescent="0.3">
      <c r="A15" s="357">
        <v>7</v>
      </c>
      <c r="B15" s="380">
        <v>2230</v>
      </c>
      <c r="C15" s="361">
        <v>46030</v>
      </c>
      <c r="D15" s="360">
        <v>1.5798157731575999E+24</v>
      </c>
      <c r="E15" s="355" t="s">
        <v>11</v>
      </c>
      <c r="F15" s="355" t="s">
        <v>632</v>
      </c>
      <c r="G15" s="355">
        <v>3202010002</v>
      </c>
      <c r="H15" s="355" t="s">
        <v>315</v>
      </c>
      <c r="I15" s="355" t="s">
        <v>41</v>
      </c>
      <c r="J15" s="355">
        <v>3150</v>
      </c>
      <c r="K15" s="358">
        <v>134477.43</v>
      </c>
      <c r="L15" s="355">
        <v>2918</v>
      </c>
      <c r="M15" s="358">
        <v>124573.06</v>
      </c>
      <c r="N15" s="355">
        <v>232</v>
      </c>
      <c r="O15" s="358">
        <v>9904.3700000000008</v>
      </c>
      <c r="P15" s="355" t="s">
        <v>633</v>
      </c>
      <c r="Q15" s="355">
        <v>144</v>
      </c>
      <c r="R15" s="359">
        <v>46236.692210648151</v>
      </c>
      <c r="Y15" s="286"/>
      <c r="AA15" s="338">
        <f t="shared" si="0"/>
        <v>46030</v>
      </c>
    </row>
    <row r="16" spans="1:27" ht="90" customHeight="1" x14ac:dyDescent="0.3">
      <c r="A16" s="357">
        <v>8</v>
      </c>
      <c r="B16" s="380">
        <v>2108</v>
      </c>
      <c r="C16" s="355" t="s">
        <v>631</v>
      </c>
      <c r="D16" s="360">
        <v>1509415175</v>
      </c>
      <c r="E16" s="355" t="s">
        <v>11</v>
      </c>
      <c r="F16" s="355" t="s">
        <v>632</v>
      </c>
      <c r="G16" s="355">
        <v>3202010008</v>
      </c>
      <c r="H16" s="355" t="s">
        <v>317</v>
      </c>
      <c r="I16" s="355" t="s">
        <v>14</v>
      </c>
      <c r="J16" s="355">
        <v>55</v>
      </c>
      <c r="K16" s="358">
        <v>15875.2</v>
      </c>
      <c r="L16" s="355">
        <v>40.5</v>
      </c>
      <c r="M16" s="358">
        <v>11689.92</v>
      </c>
      <c r="N16" s="355">
        <v>14.5</v>
      </c>
      <c r="O16" s="358">
        <v>4185.28</v>
      </c>
      <c r="P16" s="355" t="s">
        <v>633</v>
      </c>
      <c r="Q16" s="355">
        <v>144</v>
      </c>
      <c r="R16" s="359">
        <v>46193.792696759258</v>
      </c>
      <c r="Y16" s="286"/>
      <c r="AA16" s="338">
        <f t="shared" si="0"/>
        <v>46193</v>
      </c>
    </row>
    <row r="17" spans="1:27" ht="90" customHeight="1" x14ac:dyDescent="0.3">
      <c r="A17" s="357">
        <v>9</v>
      </c>
      <c r="B17" s="380">
        <v>2111</v>
      </c>
      <c r="C17" s="355" t="s">
        <v>634</v>
      </c>
      <c r="D17" s="360">
        <v>1.4766148681491699E+59</v>
      </c>
      <c r="E17" s="355" t="s">
        <v>11</v>
      </c>
      <c r="F17" s="355" t="s">
        <v>632</v>
      </c>
      <c r="G17" s="355">
        <v>3202010008</v>
      </c>
      <c r="H17" s="355" t="s">
        <v>317</v>
      </c>
      <c r="I17" s="355" t="s">
        <v>14</v>
      </c>
      <c r="J17" s="355">
        <v>275</v>
      </c>
      <c r="K17" s="358">
        <v>79376.02</v>
      </c>
      <c r="L17" s="355">
        <v>275</v>
      </c>
      <c r="M17" s="358">
        <v>79376.02</v>
      </c>
      <c r="N17" s="355">
        <v>0</v>
      </c>
      <c r="O17" s="355">
        <v>0</v>
      </c>
      <c r="P17" s="355" t="s">
        <v>633</v>
      </c>
      <c r="Q17" s="355">
        <v>144</v>
      </c>
      <c r="R17" s="359">
        <v>46196.358159722222</v>
      </c>
      <c r="Y17" s="286"/>
      <c r="AA17" s="338">
        <f t="shared" si="0"/>
        <v>46194</v>
      </c>
    </row>
    <row r="18" spans="1:27" ht="90" customHeight="1" x14ac:dyDescent="0.3">
      <c r="A18" s="357">
        <v>10</v>
      </c>
      <c r="B18" s="380">
        <v>2219</v>
      </c>
      <c r="C18" s="355" t="s">
        <v>635</v>
      </c>
      <c r="D18" s="360">
        <v>1584715655</v>
      </c>
      <c r="E18" s="355" t="s">
        <v>11</v>
      </c>
      <c r="F18" s="355" t="s">
        <v>632</v>
      </c>
      <c r="G18" s="355">
        <v>3202010008</v>
      </c>
      <c r="H18" s="355" t="s">
        <v>317</v>
      </c>
      <c r="I18" s="355" t="s">
        <v>14</v>
      </c>
      <c r="J18" s="355">
        <v>200</v>
      </c>
      <c r="K18" s="358">
        <v>57728.01</v>
      </c>
      <c r="L18" s="355">
        <v>200</v>
      </c>
      <c r="M18" s="358">
        <v>57728.01</v>
      </c>
      <c r="N18" s="355">
        <v>0</v>
      </c>
      <c r="O18" s="355">
        <v>0</v>
      </c>
      <c r="P18" s="355" t="s">
        <v>633</v>
      </c>
      <c r="Q18" s="355">
        <v>144</v>
      </c>
      <c r="R18" s="359">
        <v>46229.684525462966</v>
      </c>
      <c r="Y18" s="286"/>
      <c r="AA18" s="338">
        <f t="shared" si="0"/>
        <v>46229</v>
      </c>
    </row>
    <row r="19" spans="1:27" ht="90" customHeight="1" x14ac:dyDescent="0.3">
      <c r="A19" s="357">
        <v>11</v>
      </c>
      <c r="B19" s="380">
        <v>2282</v>
      </c>
      <c r="C19" s="355" t="s">
        <v>636</v>
      </c>
      <c r="D19" s="357"/>
      <c r="E19" s="355" t="s">
        <v>11</v>
      </c>
      <c r="F19" s="355" t="s">
        <v>632</v>
      </c>
      <c r="G19" s="355">
        <v>3202010008</v>
      </c>
      <c r="H19" s="355" t="s">
        <v>317</v>
      </c>
      <c r="I19" s="355" t="s">
        <v>14</v>
      </c>
      <c r="J19" s="355">
        <v>150</v>
      </c>
      <c r="K19" s="358">
        <v>43296.01</v>
      </c>
      <c r="L19" s="281"/>
      <c r="M19" s="355">
        <v>0</v>
      </c>
      <c r="N19" s="355">
        <v>150</v>
      </c>
      <c r="O19" s="358">
        <v>43296.01</v>
      </c>
      <c r="P19" s="355" t="s">
        <v>637</v>
      </c>
      <c r="Q19" s="355">
        <v>144</v>
      </c>
      <c r="R19" s="359">
        <v>46260.681643518517</v>
      </c>
      <c r="Y19" s="286"/>
      <c r="AA19" s="338">
        <f t="shared" si="0"/>
        <v>46254</v>
      </c>
    </row>
    <row r="20" spans="1:27" ht="60" customHeight="1" x14ac:dyDescent="0.3">
      <c r="A20" s="357">
        <v>12</v>
      </c>
      <c r="B20" s="380">
        <v>2108</v>
      </c>
      <c r="C20" s="355" t="s">
        <v>631</v>
      </c>
      <c r="D20" s="357"/>
      <c r="E20" s="355" t="s">
        <v>11</v>
      </c>
      <c r="F20" s="355" t="s">
        <v>632</v>
      </c>
      <c r="G20" s="355">
        <v>3202010009</v>
      </c>
      <c r="H20" s="355" t="s">
        <v>318</v>
      </c>
      <c r="I20" s="355" t="s">
        <v>41</v>
      </c>
      <c r="J20" s="355">
        <v>1500</v>
      </c>
      <c r="K20" s="358">
        <v>78861.460000000006</v>
      </c>
      <c r="L20" s="281"/>
      <c r="M20" s="355">
        <v>0</v>
      </c>
      <c r="N20" s="355">
        <v>1500</v>
      </c>
      <c r="O20" s="358">
        <v>78861.460000000006</v>
      </c>
      <c r="P20" s="355" t="s">
        <v>633</v>
      </c>
      <c r="Q20" s="355">
        <v>144</v>
      </c>
      <c r="R20" s="359">
        <v>46193.792696759258</v>
      </c>
      <c r="Y20" s="286"/>
      <c r="AA20" s="338">
        <f t="shared" si="0"/>
        <v>46193</v>
      </c>
    </row>
    <row r="21" spans="1:27" ht="60" customHeight="1" x14ac:dyDescent="0.3">
      <c r="A21" s="357">
        <v>13</v>
      </c>
      <c r="B21" s="380">
        <v>2111</v>
      </c>
      <c r="C21" s="355" t="s">
        <v>634</v>
      </c>
      <c r="D21" s="355">
        <v>14747</v>
      </c>
      <c r="E21" s="355" t="s">
        <v>11</v>
      </c>
      <c r="F21" s="355" t="s">
        <v>632</v>
      </c>
      <c r="G21" s="355">
        <v>3202010009</v>
      </c>
      <c r="H21" s="355" t="s">
        <v>318</v>
      </c>
      <c r="I21" s="355" t="s">
        <v>41</v>
      </c>
      <c r="J21" s="355">
        <v>9200</v>
      </c>
      <c r="K21" s="358">
        <v>483683.62</v>
      </c>
      <c r="L21" s="355">
        <v>675</v>
      </c>
      <c r="M21" s="358">
        <v>35487.660000000003</v>
      </c>
      <c r="N21" s="355">
        <v>8525</v>
      </c>
      <c r="O21" s="358">
        <v>448195.96</v>
      </c>
      <c r="P21" s="355" t="s">
        <v>633</v>
      </c>
      <c r="Q21" s="355">
        <v>144</v>
      </c>
      <c r="R21" s="359">
        <v>46196.358159722222</v>
      </c>
      <c r="Y21" s="286"/>
      <c r="AA21" s="338">
        <f t="shared" si="0"/>
        <v>46194</v>
      </c>
    </row>
    <row r="22" spans="1:27" ht="60" customHeight="1" x14ac:dyDescent="0.3">
      <c r="A22" s="357">
        <v>14</v>
      </c>
      <c r="B22" s="380">
        <v>2230</v>
      </c>
      <c r="C22" s="361">
        <v>46030</v>
      </c>
      <c r="D22" s="360">
        <v>1.58861587415882E+29</v>
      </c>
      <c r="E22" s="355" t="s">
        <v>11</v>
      </c>
      <c r="F22" s="355" t="s">
        <v>632</v>
      </c>
      <c r="G22" s="355">
        <v>3202010009</v>
      </c>
      <c r="H22" s="355" t="s">
        <v>318</v>
      </c>
      <c r="I22" s="355" t="s">
        <v>41</v>
      </c>
      <c r="J22" s="355">
        <v>2650</v>
      </c>
      <c r="K22" s="358">
        <v>139321.91</v>
      </c>
      <c r="L22" s="355">
        <v>2575</v>
      </c>
      <c r="M22" s="358">
        <v>135378.84</v>
      </c>
      <c r="N22" s="355">
        <v>75</v>
      </c>
      <c r="O22" s="358">
        <v>3943.07</v>
      </c>
      <c r="P22" s="355" t="s">
        <v>633</v>
      </c>
      <c r="Q22" s="355">
        <v>144</v>
      </c>
      <c r="R22" s="359">
        <v>46236.692210648151</v>
      </c>
      <c r="Y22" s="286"/>
      <c r="AA22" s="338">
        <f t="shared" si="0"/>
        <v>46030</v>
      </c>
    </row>
    <row r="23" spans="1:27" ht="60" customHeight="1" x14ac:dyDescent="0.3">
      <c r="A23" s="357">
        <v>15</v>
      </c>
      <c r="B23" s="380">
        <v>2108</v>
      </c>
      <c r="C23" s="355" t="s">
        <v>631</v>
      </c>
      <c r="D23" s="357"/>
      <c r="E23" s="355" t="s">
        <v>11</v>
      </c>
      <c r="F23" s="355" t="s">
        <v>632</v>
      </c>
      <c r="G23" s="355">
        <v>3202010015</v>
      </c>
      <c r="H23" s="355" t="s">
        <v>324</v>
      </c>
      <c r="I23" s="355" t="s">
        <v>41</v>
      </c>
      <c r="J23" s="355">
        <v>6200</v>
      </c>
      <c r="K23" s="358">
        <v>1807.27</v>
      </c>
      <c r="L23" s="281"/>
      <c r="M23" s="355">
        <v>0</v>
      </c>
      <c r="N23" s="355">
        <v>6200</v>
      </c>
      <c r="O23" s="358">
        <v>1807.27</v>
      </c>
      <c r="P23" s="355" t="s">
        <v>633</v>
      </c>
      <c r="Q23" s="355">
        <v>144</v>
      </c>
      <c r="R23" s="359">
        <v>46193.792696759258</v>
      </c>
      <c r="Y23" s="286"/>
      <c r="AA23" s="338">
        <f t="shared" si="0"/>
        <v>46193</v>
      </c>
    </row>
    <row r="24" spans="1:27" ht="60" customHeight="1" x14ac:dyDescent="0.3">
      <c r="A24" s="357">
        <v>16</v>
      </c>
      <c r="B24" s="380">
        <v>2111</v>
      </c>
      <c r="C24" s="355" t="s">
        <v>634</v>
      </c>
      <c r="D24" s="355">
        <v>14720</v>
      </c>
      <c r="E24" s="355" t="s">
        <v>11</v>
      </c>
      <c r="F24" s="355" t="s">
        <v>632</v>
      </c>
      <c r="G24" s="355">
        <v>3202010015</v>
      </c>
      <c r="H24" s="355" t="s">
        <v>324</v>
      </c>
      <c r="I24" s="355" t="s">
        <v>41</v>
      </c>
      <c r="J24" s="355">
        <v>15500</v>
      </c>
      <c r="K24" s="358">
        <v>4518.18</v>
      </c>
      <c r="L24" s="355">
        <v>1000</v>
      </c>
      <c r="M24" s="355">
        <v>291.5</v>
      </c>
      <c r="N24" s="355">
        <v>14500</v>
      </c>
      <c r="O24" s="358">
        <v>4226.68</v>
      </c>
      <c r="P24" s="355" t="s">
        <v>633</v>
      </c>
      <c r="Q24" s="355">
        <v>144</v>
      </c>
      <c r="R24" s="359">
        <v>46196.358159722222</v>
      </c>
      <c r="Y24" s="286"/>
      <c r="AA24" s="338">
        <f t="shared" si="0"/>
        <v>46194</v>
      </c>
    </row>
    <row r="25" spans="1:27" ht="60" customHeight="1" x14ac:dyDescent="0.3">
      <c r="A25" s="357">
        <v>17</v>
      </c>
      <c r="B25" s="380">
        <v>2230</v>
      </c>
      <c r="C25" s="361">
        <v>46030</v>
      </c>
      <c r="D25" s="355">
        <v>15428</v>
      </c>
      <c r="E25" s="355" t="s">
        <v>11</v>
      </c>
      <c r="F25" s="355" t="s">
        <v>632</v>
      </c>
      <c r="G25" s="355">
        <v>3202010015</v>
      </c>
      <c r="H25" s="355" t="s">
        <v>324</v>
      </c>
      <c r="I25" s="355" t="s">
        <v>41</v>
      </c>
      <c r="J25" s="355">
        <v>6000</v>
      </c>
      <c r="K25" s="358">
        <v>1748.97</v>
      </c>
      <c r="L25" s="355">
        <v>6000</v>
      </c>
      <c r="M25" s="358">
        <v>1748.97</v>
      </c>
      <c r="N25" s="355">
        <v>0</v>
      </c>
      <c r="O25" s="355">
        <v>0</v>
      </c>
      <c r="P25" s="355" t="s">
        <v>633</v>
      </c>
      <c r="Q25" s="355">
        <v>144</v>
      </c>
      <c r="R25" s="359">
        <v>46236.692210648151</v>
      </c>
      <c r="Y25" s="286"/>
      <c r="AA25" s="338">
        <f t="shared" si="0"/>
        <v>46030</v>
      </c>
    </row>
    <row r="26" spans="1:27" ht="60" customHeight="1" x14ac:dyDescent="0.3">
      <c r="A26" s="357">
        <v>18</v>
      </c>
      <c r="B26" s="380">
        <v>2108</v>
      </c>
      <c r="C26" s="355" t="s">
        <v>631</v>
      </c>
      <c r="D26" s="357"/>
      <c r="E26" s="355" t="s">
        <v>11</v>
      </c>
      <c r="F26" s="355" t="s">
        <v>632</v>
      </c>
      <c r="G26" s="355">
        <v>3202010016</v>
      </c>
      <c r="H26" s="355" t="s">
        <v>325</v>
      </c>
      <c r="I26" s="355" t="s">
        <v>41</v>
      </c>
      <c r="J26" s="355">
        <v>6300</v>
      </c>
      <c r="K26" s="358">
        <v>1150.6400000000001</v>
      </c>
      <c r="L26" s="281"/>
      <c r="M26" s="355">
        <v>0</v>
      </c>
      <c r="N26" s="355">
        <v>6300</v>
      </c>
      <c r="O26" s="358">
        <v>1150.6400000000001</v>
      </c>
      <c r="P26" s="355" t="s">
        <v>633</v>
      </c>
      <c r="Q26" s="355">
        <v>144</v>
      </c>
      <c r="R26" s="359">
        <v>46193.792696759258</v>
      </c>
      <c r="Y26" s="286"/>
      <c r="AA26" s="338">
        <f t="shared" si="0"/>
        <v>46193</v>
      </c>
    </row>
    <row r="27" spans="1:27" ht="60" customHeight="1" x14ac:dyDescent="0.3">
      <c r="A27" s="357">
        <v>19</v>
      </c>
      <c r="B27" s="380">
        <v>2111</v>
      </c>
      <c r="C27" s="355" t="s">
        <v>634</v>
      </c>
      <c r="D27" s="360">
        <v>1523214948</v>
      </c>
      <c r="E27" s="355" t="s">
        <v>11</v>
      </c>
      <c r="F27" s="355" t="s">
        <v>632</v>
      </c>
      <c r="G27" s="355">
        <v>3202010016</v>
      </c>
      <c r="H27" s="355" t="s">
        <v>325</v>
      </c>
      <c r="I27" s="355" t="s">
        <v>41</v>
      </c>
      <c r="J27" s="355">
        <v>15500</v>
      </c>
      <c r="K27" s="358">
        <v>2830.94</v>
      </c>
      <c r="L27" s="355">
        <v>300</v>
      </c>
      <c r="M27" s="355">
        <v>54.79</v>
      </c>
      <c r="N27" s="355">
        <v>15200</v>
      </c>
      <c r="O27" s="358">
        <v>2776.15</v>
      </c>
      <c r="P27" s="355" t="s">
        <v>633</v>
      </c>
      <c r="Q27" s="355">
        <v>144</v>
      </c>
      <c r="R27" s="359">
        <v>46196.358159722222</v>
      </c>
      <c r="Y27" s="286"/>
      <c r="AA27" s="338">
        <f t="shared" si="0"/>
        <v>46194</v>
      </c>
    </row>
    <row r="28" spans="1:27" ht="60" customHeight="1" x14ac:dyDescent="0.3">
      <c r="A28" s="357">
        <v>20</v>
      </c>
      <c r="B28" s="380">
        <v>2230</v>
      </c>
      <c r="C28" s="361">
        <v>46030</v>
      </c>
      <c r="D28" s="360">
        <v>1542815554</v>
      </c>
      <c r="E28" s="355" t="s">
        <v>11</v>
      </c>
      <c r="F28" s="355" t="s">
        <v>632</v>
      </c>
      <c r="G28" s="355">
        <v>3202010016</v>
      </c>
      <c r="H28" s="355" t="s">
        <v>325</v>
      </c>
      <c r="I28" s="355" t="s">
        <v>41</v>
      </c>
      <c r="J28" s="355">
        <v>6000</v>
      </c>
      <c r="K28" s="358">
        <v>1095.8499999999999</v>
      </c>
      <c r="L28" s="355">
        <v>6000</v>
      </c>
      <c r="M28" s="358">
        <v>1095.8499999999999</v>
      </c>
      <c r="N28" s="355">
        <v>0</v>
      </c>
      <c r="O28" s="355">
        <v>0</v>
      </c>
      <c r="P28" s="355" t="s">
        <v>633</v>
      </c>
      <c r="Q28" s="355">
        <v>144</v>
      </c>
      <c r="R28" s="359">
        <v>46236.692210648151</v>
      </c>
      <c r="Y28" s="286"/>
      <c r="AA28" s="338">
        <f t="shared" si="0"/>
        <v>46030</v>
      </c>
    </row>
    <row r="29" spans="1:27" ht="60" customHeight="1" x14ac:dyDescent="0.3">
      <c r="A29" s="357">
        <v>21</v>
      </c>
      <c r="B29" s="380">
        <v>2117</v>
      </c>
      <c r="C29" s="355" t="s">
        <v>634</v>
      </c>
      <c r="D29" s="360">
        <v>148521485114471</v>
      </c>
      <c r="E29" s="355" t="s">
        <v>11</v>
      </c>
      <c r="F29" s="355" t="s">
        <v>632</v>
      </c>
      <c r="G29" s="355">
        <v>3201010002</v>
      </c>
      <c r="H29" s="355" t="s">
        <v>244</v>
      </c>
      <c r="I29" s="355" t="s">
        <v>41</v>
      </c>
      <c r="J29" s="355">
        <v>136500</v>
      </c>
      <c r="K29" s="358">
        <v>209358.94</v>
      </c>
      <c r="L29" s="355">
        <v>136500</v>
      </c>
      <c r="M29" s="358">
        <v>209358.94</v>
      </c>
      <c r="N29" s="355">
        <v>0</v>
      </c>
      <c r="O29" s="355">
        <v>0</v>
      </c>
      <c r="P29" s="355" t="s">
        <v>633</v>
      </c>
      <c r="Q29" s="355">
        <v>144</v>
      </c>
      <c r="R29" s="359">
        <v>46196.3596412037</v>
      </c>
      <c r="Y29" s="286"/>
      <c r="AA29" s="338">
        <f t="shared" si="0"/>
        <v>46194</v>
      </c>
    </row>
    <row r="30" spans="1:27" ht="60" customHeight="1" x14ac:dyDescent="0.3">
      <c r="A30" s="357">
        <v>22</v>
      </c>
      <c r="B30" s="380">
        <v>2206</v>
      </c>
      <c r="C30" s="355" t="s">
        <v>638</v>
      </c>
      <c r="D30" s="355">
        <v>15333</v>
      </c>
      <c r="E30" s="355" t="s">
        <v>11</v>
      </c>
      <c r="F30" s="355" t="s">
        <v>632</v>
      </c>
      <c r="G30" s="355">
        <v>3201010002</v>
      </c>
      <c r="H30" s="355" t="s">
        <v>244</v>
      </c>
      <c r="I30" s="355" t="s">
        <v>41</v>
      </c>
      <c r="J30" s="355">
        <v>136500</v>
      </c>
      <c r="K30" s="358">
        <v>209358.94</v>
      </c>
      <c r="L30" s="355">
        <v>136500</v>
      </c>
      <c r="M30" s="358">
        <v>209358.94</v>
      </c>
      <c r="N30" s="355">
        <v>0</v>
      </c>
      <c r="O30" s="355">
        <v>0</v>
      </c>
      <c r="P30" s="355" t="s">
        <v>633</v>
      </c>
      <c r="Q30" s="355">
        <v>144</v>
      </c>
      <c r="R30" s="359">
        <v>46228.398125</v>
      </c>
      <c r="Y30" s="286"/>
      <c r="AA30" s="338">
        <f t="shared" si="0"/>
        <v>46225</v>
      </c>
    </row>
    <row r="31" spans="1:27" ht="60" customHeight="1" x14ac:dyDescent="0.3">
      <c r="A31" s="357">
        <v>23</v>
      </c>
      <c r="B31" s="380">
        <v>2283</v>
      </c>
      <c r="C31" s="355" t="s">
        <v>636</v>
      </c>
      <c r="D31" s="357"/>
      <c r="E31" s="355" t="s">
        <v>11</v>
      </c>
      <c r="F31" s="355" t="s">
        <v>632</v>
      </c>
      <c r="G31" s="355">
        <v>3201010002</v>
      </c>
      <c r="H31" s="355" t="s">
        <v>244</v>
      </c>
      <c r="I31" s="355" t="s">
        <v>41</v>
      </c>
      <c r="J31" s="355">
        <v>129780</v>
      </c>
      <c r="K31" s="358">
        <v>199052.04</v>
      </c>
      <c r="L31" s="281"/>
      <c r="M31" s="355">
        <v>0</v>
      </c>
      <c r="N31" s="355">
        <v>129780</v>
      </c>
      <c r="O31" s="358">
        <v>199052.04</v>
      </c>
      <c r="P31" s="355" t="s">
        <v>637</v>
      </c>
      <c r="Q31" s="355">
        <v>144</v>
      </c>
      <c r="R31" s="359">
        <v>46260.690868055557</v>
      </c>
      <c r="Y31" s="286"/>
      <c r="AA31" s="338">
        <f t="shared" si="0"/>
        <v>46254</v>
      </c>
    </row>
    <row r="32" spans="1:27" ht="60" customHeight="1" x14ac:dyDescent="0.3">
      <c r="A32" s="357">
        <v>24</v>
      </c>
      <c r="B32" s="380">
        <v>2117</v>
      </c>
      <c r="C32" s="355" t="s">
        <v>634</v>
      </c>
      <c r="D32" s="360">
        <v>1464715285</v>
      </c>
      <c r="E32" s="355" t="s">
        <v>11</v>
      </c>
      <c r="F32" s="355" t="s">
        <v>632</v>
      </c>
      <c r="G32" s="355">
        <v>3201010004</v>
      </c>
      <c r="H32" s="355" t="s">
        <v>246</v>
      </c>
      <c r="I32" s="355" t="s">
        <v>41</v>
      </c>
      <c r="J32" s="355">
        <v>40425</v>
      </c>
      <c r="K32" s="358">
        <v>12216.85</v>
      </c>
      <c r="L32" s="355">
        <v>40425</v>
      </c>
      <c r="M32" s="358">
        <v>12216.85</v>
      </c>
      <c r="N32" s="355">
        <v>0</v>
      </c>
      <c r="O32" s="355">
        <v>0</v>
      </c>
      <c r="P32" s="355" t="s">
        <v>633</v>
      </c>
      <c r="Q32" s="355">
        <v>144</v>
      </c>
      <c r="R32" s="359">
        <v>46196.3596412037</v>
      </c>
      <c r="Y32" s="286"/>
      <c r="AA32" s="338">
        <f t="shared" si="0"/>
        <v>46194</v>
      </c>
    </row>
    <row r="33" spans="1:27" ht="60" customHeight="1" x14ac:dyDescent="0.3">
      <c r="A33" s="357">
        <v>25</v>
      </c>
      <c r="B33" s="380">
        <v>2206</v>
      </c>
      <c r="C33" s="355" t="s">
        <v>638</v>
      </c>
      <c r="D33" s="355">
        <v>15333</v>
      </c>
      <c r="E33" s="355" t="s">
        <v>11</v>
      </c>
      <c r="F33" s="355" t="s">
        <v>632</v>
      </c>
      <c r="G33" s="355">
        <v>3201010004</v>
      </c>
      <c r="H33" s="355" t="s">
        <v>246</v>
      </c>
      <c r="I33" s="355" t="s">
        <v>41</v>
      </c>
      <c r="J33" s="355">
        <v>31500</v>
      </c>
      <c r="K33" s="358">
        <v>9519.6299999999992</v>
      </c>
      <c r="L33" s="355">
        <v>31500</v>
      </c>
      <c r="M33" s="358">
        <v>9519.6299999999992</v>
      </c>
      <c r="N33" s="355">
        <v>0</v>
      </c>
      <c r="O33" s="355">
        <v>0</v>
      </c>
      <c r="P33" s="355" t="s">
        <v>633</v>
      </c>
      <c r="Q33" s="355">
        <v>144</v>
      </c>
      <c r="R33" s="359">
        <v>46228.398125</v>
      </c>
      <c r="Y33" s="286"/>
      <c r="AA33" s="338">
        <f t="shared" si="0"/>
        <v>46225</v>
      </c>
    </row>
    <row r="34" spans="1:27" ht="60" customHeight="1" x14ac:dyDescent="0.3">
      <c r="A34" s="357">
        <v>26</v>
      </c>
      <c r="B34" s="380">
        <v>2283</v>
      </c>
      <c r="C34" s="355" t="s">
        <v>636</v>
      </c>
      <c r="D34" s="357"/>
      <c r="E34" s="355" t="s">
        <v>11</v>
      </c>
      <c r="F34" s="355" t="s">
        <v>632</v>
      </c>
      <c r="G34" s="355">
        <v>3201010006</v>
      </c>
      <c r="H34" s="355" t="s">
        <v>248</v>
      </c>
      <c r="I34" s="355" t="s">
        <v>41</v>
      </c>
      <c r="J34" s="355">
        <v>10500</v>
      </c>
      <c r="K34" s="358">
        <v>3152.5</v>
      </c>
      <c r="L34" s="281"/>
      <c r="M34" s="355">
        <v>0</v>
      </c>
      <c r="N34" s="355">
        <v>10500</v>
      </c>
      <c r="O34" s="358">
        <v>3152.5</v>
      </c>
      <c r="P34" s="355" t="s">
        <v>637</v>
      </c>
      <c r="Q34" s="355">
        <v>144</v>
      </c>
      <c r="R34" s="359">
        <v>46260.690868055557</v>
      </c>
      <c r="Y34" s="286"/>
      <c r="AA34" s="338">
        <f t="shared" si="0"/>
        <v>46254</v>
      </c>
    </row>
    <row r="35" spans="1:27" ht="60" customHeight="1" x14ac:dyDescent="0.3">
      <c r="A35" s="357">
        <v>27</v>
      </c>
      <c r="B35" s="380">
        <v>2206</v>
      </c>
      <c r="C35" s="355" t="s">
        <v>638</v>
      </c>
      <c r="D35" s="355">
        <v>15333</v>
      </c>
      <c r="E35" s="355" t="s">
        <v>11</v>
      </c>
      <c r="F35" s="355" t="s">
        <v>632</v>
      </c>
      <c r="G35" s="355">
        <v>3201010007</v>
      </c>
      <c r="H35" s="355" t="s">
        <v>249</v>
      </c>
      <c r="I35" s="355" t="s">
        <v>41</v>
      </c>
      <c r="J35" s="355">
        <v>5250</v>
      </c>
      <c r="K35" s="358">
        <v>1503.11</v>
      </c>
      <c r="L35" s="355">
        <v>5250</v>
      </c>
      <c r="M35" s="358">
        <v>1503.11</v>
      </c>
      <c r="N35" s="355">
        <v>0</v>
      </c>
      <c r="O35" s="355">
        <v>0</v>
      </c>
      <c r="P35" s="355" t="s">
        <v>633</v>
      </c>
      <c r="Q35" s="355">
        <v>144</v>
      </c>
      <c r="R35" s="359">
        <v>46228.398125</v>
      </c>
      <c r="Y35" s="286"/>
      <c r="AA35" s="338">
        <f t="shared" si="0"/>
        <v>46225</v>
      </c>
    </row>
    <row r="36" spans="1:27" ht="60" customHeight="1" x14ac:dyDescent="0.3">
      <c r="A36" s="357">
        <v>28</v>
      </c>
      <c r="B36" s="380">
        <v>2206</v>
      </c>
      <c r="C36" s="355" t="s">
        <v>638</v>
      </c>
      <c r="D36" s="355">
        <v>15333</v>
      </c>
      <c r="E36" s="355" t="s">
        <v>11</v>
      </c>
      <c r="F36" s="355" t="s">
        <v>632</v>
      </c>
      <c r="G36" s="355">
        <v>3201010008</v>
      </c>
      <c r="H36" s="355" t="s">
        <v>250</v>
      </c>
      <c r="I36" s="355" t="s">
        <v>41</v>
      </c>
      <c r="J36" s="355">
        <v>5250</v>
      </c>
      <c r="K36" s="358">
        <v>1525.91</v>
      </c>
      <c r="L36" s="355">
        <v>5250</v>
      </c>
      <c r="M36" s="358">
        <v>1525.91</v>
      </c>
      <c r="N36" s="355">
        <v>0</v>
      </c>
      <c r="O36" s="355">
        <v>0</v>
      </c>
      <c r="P36" s="355" t="s">
        <v>633</v>
      </c>
      <c r="Q36" s="355">
        <v>144</v>
      </c>
      <c r="R36" s="359">
        <v>46228.398125</v>
      </c>
      <c r="Y36" s="286"/>
      <c r="AA36" s="338">
        <f t="shared" si="0"/>
        <v>46225</v>
      </c>
    </row>
    <row r="37" spans="1:27" ht="60" customHeight="1" x14ac:dyDescent="0.3">
      <c r="A37" s="357">
        <v>29</v>
      </c>
      <c r="B37" s="380">
        <v>2283</v>
      </c>
      <c r="C37" s="355" t="s">
        <v>636</v>
      </c>
      <c r="D37" s="357"/>
      <c r="E37" s="355" t="s">
        <v>11</v>
      </c>
      <c r="F37" s="355" t="s">
        <v>632</v>
      </c>
      <c r="G37" s="355">
        <v>3201010008</v>
      </c>
      <c r="H37" s="355" t="s">
        <v>250</v>
      </c>
      <c r="I37" s="355" t="s">
        <v>41</v>
      </c>
      <c r="J37" s="355">
        <v>5000</v>
      </c>
      <c r="K37" s="358">
        <v>1453.25</v>
      </c>
      <c r="L37" s="281"/>
      <c r="M37" s="355">
        <v>0</v>
      </c>
      <c r="N37" s="355">
        <v>5000</v>
      </c>
      <c r="O37" s="358">
        <v>1453.25</v>
      </c>
      <c r="P37" s="355" t="s">
        <v>637</v>
      </c>
      <c r="Q37" s="355">
        <v>144</v>
      </c>
      <c r="R37" s="359">
        <v>46260.690868055557</v>
      </c>
      <c r="Y37" s="286"/>
      <c r="AA37" s="338">
        <f t="shared" si="0"/>
        <v>46254</v>
      </c>
    </row>
    <row r="38" spans="1:27" ht="60" customHeight="1" x14ac:dyDescent="0.3">
      <c r="A38" s="357">
        <v>30</v>
      </c>
      <c r="B38" s="380">
        <v>2117</v>
      </c>
      <c r="C38" s="355" t="s">
        <v>634</v>
      </c>
      <c r="D38" s="357"/>
      <c r="E38" s="355" t="s">
        <v>11</v>
      </c>
      <c r="F38" s="355" t="s">
        <v>632</v>
      </c>
      <c r="G38" s="355">
        <v>3201010009</v>
      </c>
      <c r="H38" s="355" t="s">
        <v>251</v>
      </c>
      <c r="I38" s="355" t="s">
        <v>41</v>
      </c>
      <c r="J38" s="355">
        <v>5250</v>
      </c>
      <c r="K38" s="358">
        <v>1886.17</v>
      </c>
      <c r="L38" s="281"/>
      <c r="M38" s="355">
        <v>0</v>
      </c>
      <c r="N38" s="355">
        <v>5250</v>
      </c>
      <c r="O38" s="358">
        <v>1886.17</v>
      </c>
      <c r="P38" s="355" t="s">
        <v>633</v>
      </c>
      <c r="Q38" s="355">
        <v>144</v>
      </c>
      <c r="R38" s="359">
        <v>46196.3596412037</v>
      </c>
      <c r="Y38" s="286"/>
      <c r="AA38" s="338">
        <f t="shared" si="0"/>
        <v>46194</v>
      </c>
    </row>
    <row r="39" spans="1:27" ht="60" customHeight="1" x14ac:dyDescent="0.3">
      <c r="A39" s="357">
        <v>31</v>
      </c>
      <c r="B39" s="380">
        <v>2206</v>
      </c>
      <c r="C39" s="355" t="s">
        <v>638</v>
      </c>
      <c r="D39" s="355">
        <v>15338</v>
      </c>
      <c r="E39" s="355" t="s">
        <v>11</v>
      </c>
      <c r="F39" s="355" t="s">
        <v>632</v>
      </c>
      <c r="G39" s="355">
        <v>3201010009</v>
      </c>
      <c r="H39" s="355" t="s">
        <v>251</v>
      </c>
      <c r="I39" s="355" t="s">
        <v>41</v>
      </c>
      <c r="J39" s="355">
        <v>5250</v>
      </c>
      <c r="K39" s="358">
        <v>1886.17</v>
      </c>
      <c r="L39" s="355">
        <v>5000</v>
      </c>
      <c r="M39" s="358">
        <v>1796.35</v>
      </c>
      <c r="N39" s="355">
        <v>250</v>
      </c>
      <c r="O39" s="355">
        <v>89.82</v>
      </c>
      <c r="P39" s="355" t="s">
        <v>633</v>
      </c>
      <c r="Q39" s="355">
        <v>144</v>
      </c>
      <c r="R39" s="359">
        <v>46228.398125</v>
      </c>
      <c r="Y39" s="286"/>
      <c r="AA39" s="338">
        <f t="shared" si="0"/>
        <v>46225</v>
      </c>
    </row>
    <row r="40" spans="1:27" ht="60" customHeight="1" x14ac:dyDescent="0.3">
      <c r="A40" s="357">
        <v>32</v>
      </c>
      <c r="B40" s="380">
        <v>2117</v>
      </c>
      <c r="C40" s="355" t="s">
        <v>634</v>
      </c>
      <c r="D40" s="360">
        <v>1579414576</v>
      </c>
      <c r="E40" s="355" t="s">
        <v>11</v>
      </c>
      <c r="F40" s="355" t="s">
        <v>632</v>
      </c>
      <c r="G40" s="355">
        <v>3201010010</v>
      </c>
      <c r="H40" s="355" t="s">
        <v>252</v>
      </c>
      <c r="I40" s="355" t="s">
        <v>41</v>
      </c>
      <c r="J40" s="355">
        <v>93450</v>
      </c>
      <c r="K40" s="358">
        <v>45924.6</v>
      </c>
      <c r="L40" s="355">
        <v>33050</v>
      </c>
      <c r="M40" s="358">
        <v>16241.93</v>
      </c>
      <c r="N40" s="355">
        <v>60400</v>
      </c>
      <c r="O40" s="358">
        <v>29682.67</v>
      </c>
      <c r="P40" s="355" t="s">
        <v>633</v>
      </c>
      <c r="Q40" s="355">
        <v>144</v>
      </c>
      <c r="R40" s="359">
        <v>46196.3596412037</v>
      </c>
      <c r="Y40" s="286"/>
      <c r="AA40" s="338">
        <f t="shared" si="0"/>
        <v>46194</v>
      </c>
    </row>
    <row r="41" spans="1:27" ht="60" customHeight="1" x14ac:dyDescent="0.3">
      <c r="A41" s="357">
        <v>33</v>
      </c>
      <c r="B41" s="380">
        <v>2206</v>
      </c>
      <c r="C41" s="355" t="s">
        <v>638</v>
      </c>
      <c r="D41" s="355">
        <v>15547</v>
      </c>
      <c r="E41" s="355" t="s">
        <v>11</v>
      </c>
      <c r="F41" s="355" t="s">
        <v>632</v>
      </c>
      <c r="G41" s="355">
        <v>3201010010</v>
      </c>
      <c r="H41" s="355" t="s">
        <v>252</v>
      </c>
      <c r="I41" s="355" t="s">
        <v>41</v>
      </c>
      <c r="J41" s="355">
        <v>94500</v>
      </c>
      <c r="K41" s="358">
        <v>46440.61</v>
      </c>
      <c r="L41" s="355">
        <v>94500</v>
      </c>
      <c r="M41" s="358">
        <v>46440.61</v>
      </c>
      <c r="N41" s="355">
        <v>0</v>
      </c>
      <c r="O41" s="355">
        <v>0</v>
      </c>
      <c r="P41" s="355" t="s">
        <v>633</v>
      </c>
      <c r="Q41" s="355">
        <v>144</v>
      </c>
      <c r="R41" s="359">
        <v>46228.398125</v>
      </c>
      <c r="Y41" s="286"/>
      <c r="AA41" s="338">
        <f t="shared" si="0"/>
        <v>46225</v>
      </c>
    </row>
    <row r="42" spans="1:27" ht="60" customHeight="1" x14ac:dyDescent="0.3">
      <c r="A42" s="357">
        <v>34</v>
      </c>
      <c r="B42" s="380">
        <v>2283</v>
      </c>
      <c r="C42" s="355" t="s">
        <v>636</v>
      </c>
      <c r="D42" s="357"/>
      <c r="E42" s="355" t="s">
        <v>11</v>
      </c>
      <c r="F42" s="355" t="s">
        <v>632</v>
      </c>
      <c r="G42" s="355">
        <v>3201010010</v>
      </c>
      <c r="H42" s="355" t="s">
        <v>252</v>
      </c>
      <c r="I42" s="355" t="s">
        <v>41</v>
      </c>
      <c r="J42" s="355">
        <v>60000</v>
      </c>
      <c r="K42" s="358">
        <v>29486.1</v>
      </c>
      <c r="L42" s="281"/>
      <c r="M42" s="355">
        <v>0</v>
      </c>
      <c r="N42" s="355">
        <v>60000</v>
      </c>
      <c r="O42" s="358">
        <v>29486.1</v>
      </c>
      <c r="P42" s="355" t="s">
        <v>637</v>
      </c>
      <c r="Q42" s="355">
        <v>144</v>
      </c>
      <c r="R42" s="359">
        <v>46260.690868055557</v>
      </c>
      <c r="Y42" s="286"/>
      <c r="AA42" s="338">
        <f t="shared" si="0"/>
        <v>46254</v>
      </c>
    </row>
    <row r="43" spans="1:27" ht="60" customHeight="1" x14ac:dyDescent="0.3">
      <c r="A43" s="357">
        <v>35</v>
      </c>
      <c r="B43" s="380">
        <v>2283</v>
      </c>
      <c r="C43" s="355" t="s">
        <v>636</v>
      </c>
      <c r="D43" s="357"/>
      <c r="E43" s="355" t="s">
        <v>11</v>
      </c>
      <c r="F43" s="355" t="s">
        <v>632</v>
      </c>
      <c r="G43" s="355">
        <v>3201010011</v>
      </c>
      <c r="H43" s="355" t="s">
        <v>253</v>
      </c>
      <c r="I43" s="355" t="s">
        <v>41</v>
      </c>
      <c r="J43" s="355">
        <v>20000</v>
      </c>
      <c r="K43" s="358">
        <v>8769.68</v>
      </c>
      <c r="L43" s="281"/>
      <c r="M43" s="355">
        <v>0</v>
      </c>
      <c r="N43" s="355">
        <v>20000</v>
      </c>
      <c r="O43" s="358">
        <v>8769.68</v>
      </c>
      <c r="P43" s="355" t="s">
        <v>637</v>
      </c>
      <c r="Q43" s="355">
        <v>144</v>
      </c>
      <c r="R43" s="359">
        <v>46260.690868055557</v>
      </c>
      <c r="Y43" s="286"/>
      <c r="AA43" s="338">
        <f t="shared" si="0"/>
        <v>46254</v>
      </c>
    </row>
    <row r="44" spans="1:27" ht="60" customHeight="1" x14ac:dyDescent="0.3">
      <c r="A44" s="357">
        <v>36</v>
      </c>
      <c r="B44" s="380">
        <v>2117</v>
      </c>
      <c r="C44" s="355" t="s">
        <v>634</v>
      </c>
      <c r="D44" s="357"/>
      <c r="E44" s="355" t="s">
        <v>11</v>
      </c>
      <c r="F44" s="355" t="s">
        <v>632</v>
      </c>
      <c r="G44" s="355">
        <v>3201010013</v>
      </c>
      <c r="H44" s="355" t="s">
        <v>254</v>
      </c>
      <c r="I44" s="355" t="s">
        <v>41</v>
      </c>
      <c r="J44" s="355">
        <v>41475</v>
      </c>
      <c r="K44" s="358">
        <v>15508.05</v>
      </c>
      <c r="L44" s="281"/>
      <c r="M44" s="355">
        <v>0</v>
      </c>
      <c r="N44" s="355">
        <v>41475</v>
      </c>
      <c r="O44" s="358">
        <v>15508.05</v>
      </c>
      <c r="P44" s="355" t="s">
        <v>633</v>
      </c>
      <c r="Q44" s="355">
        <v>144</v>
      </c>
      <c r="R44" s="359">
        <v>46196.3596412037</v>
      </c>
      <c r="Y44" s="286"/>
      <c r="AA44" s="338">
        <f t="shared" si="0"/>
        <v>46194</v>
      </c>
    </row>
    <row r="45" spans="1:27" ht="60" customHeight="1" x14ac:dyDescent="0.3">
      <c r="A45" s="357">
        <v>37</v>
      </c>
      <c r="B45" s="380">
        <v>2206</v>
      </c>
      <c r="C45" s="355" t="s">
        <v>638</v>
      </c>
      <c r="D45" s="355">
        <v>15338</v>
      </c>
      <c r="E45" s="355" t="s">
        <v>11</v>
      </c>
      <c r="F45" s="355" t="s">
        <v>632</v>
      </c>
      <c r="G45" s="355">
        <v>3201010013</v>
      </c>
      <c r="H45" s="355" t="s">
        <v>254</v>
      </c>
      <c r="I45" s="355" t="s">
        <v>41</v>
      </c>
      <c r="J45" s="355">
        <v>36750</v>
      </c>
      <c r="K45" s="358">
        <v>13741.31</v>
      </c>
      <c r="L45" s="355">
        <v>17500</v>
      </c>
      <c r="M45" s="358">
        <v>6543.48</v>
      </c>
      <c r="N45" s="355">
        <v>19250</v>
      </c>
      <c r="O45" s="358">
        <v>7197.83</v>
      </c>
      <c r="P45" s="355" t="s">
        <v>633</v>
      </c>
      <c r="Q45" s="355">
        <v>144</v>
      </c>
      <c r="R45" s="359">
        <v>46228.398125</v>
      </c>
      <c r="Y45" s="286"/>
      <c r="AA45" s="338">
        <f t="shared" si="0"/>
        <v>46225</v>
      </c>
    </row>
    <row r="46" spans="1:27" ht="60" customHeight="1" x14ac:dyDescent="0.3">
      <c r="A46" s="357">
        <v>38</v>
      </c>
      <c r="B46" s="380">
        <v>2283</v>
      </c>
      <c r="C46" s="355" t="s">
        <v>636</v>
      </c>
      <c r="D46" s="357"/>
      <c r="E46" s="355" t="s">
        <v>11</v>
      </c>
      <c r="F46" s="355" t="s">
        <v>632</v>
      </c>
      <c r="G46" s="355">
        <v>3201010013</v>
      </c>
      <c r="H46" s="355" t="s">
        <v>254</v>
      </c>
      <c r="I46" s="355" t="s">
        <v>41</v>
      </c>
      <c r="J46" s="355">
        <v>21000</v>
      </c>
      <c r="K46" s="358">
        <v>7852.18</v>
      </c>
      <c r="L46" s="281"/>
      <c r="M46" s="355">
        <v>0</v>
      </c>
      <c r="N46" s="355">
        <v>21000</v>
      </c>
      <c r="O46" s="358">
        <v>7852.18</v>
      </c>
      <c r="P46" s="355" t="s">
        <v>637</v>
      </c>
      <c r="Q46" s="355">
        <v>144</v>
      </c>
      <c r="R46" s="359">
        <v>46260.690868055557</v>
      </c>
      <c r="Y46" s="286"/>
      <c r="AA46" s="338">
        <f t="shared" si="0"/>
        <v>46254</v>
      </c>
    </row>
    <row r="47" spans="1:27" ht="60" customHeight="1" x14ac:dyDescent="0.3">
      <c r="A47" s="357">
        <v>39</v>
      </c>
      <c r="B47" s="380">
        <v>2108</v>
      </c>
      <c r="C47" s="355" t="s">
        <v>631</v>
      </c>
      <c r="D47" s="357"/>
      <c r="E47" s="355" t="s">
        <v>11</v>
      </c>
      <c r="F47" s="355" t="s">
        <v>632</v>
      </c>
      <c r="G47" s="355">
        <v>3201010014</v>
      </c>
      <c r="H47" s="355" t="s">
        <v>255</v>
      </c>
      <c r="I47" s="355" t="s">
        <v>41</v>
      </c>
      <c r="J47" s="355">
        <v>6000</v>
      </c>
      <c r="K47" s="358">
        <v>1353.8</v>
      </c>
      <c r="L47" s="281"/>
      <c r="M47" s="355">
        <v>0</v>
      </c>
      <c r="N47" s="355">
        <v>6000</v>
      </c>
      <c r="O47" s="358">
        <v>1353.8</v>
      </c>
      <c r="P47" s="355" t="s">
        <v>633</v>
      </c>
      <c r="Q47" s="355">
        <v>144</v>
      </c>
      <c r="R47" s="359">
        <v>46193.792696759258</v>
      </c>
      <c r="Y47" s="286"/>
      <c r="AA47" s="338">
        <f t="shared" si="0"/>
        <v>46193</v>
      </c>
    </row>
    <row r="48" spans="1:27" ht="60" customHeight="1" x14ac:dyDescent="0.3">
      <c r="A48" s="357">
        <v>40</v>
      </c>
      <c r="B48" s="380">
        <v>2111</v>
      </c>
      <c r="C48" s="355" t="s">
        <v>634</v>
      </c>
      <c r="D48" s="355">
        <v>14908</v>
      </c>
      <c r="E48" s="355" t="s">
        <v>11</v>
      </c>
      <c r="F48" s="355" t="s">
        <v>632</v>
      </c>
      <c r="G48" s="355">
        <v>3201010014</v>
      </c>
      <c r="H48" s="355" t="s">
        <v>255</v>
      </c>
      <c r="I48" s="355" t="s">
        <v>41</v>
      </c>
      <c r="J48" s="355">
        <v>15500</v>
      </c>
      <c r="K48" s="358">
        <v>3497.32</v>
      </c>
      <c r="L48" s="355">
        <v>12750</v>
      </c>
      <c r="M48" s="358">
        <v>2876.82</v>
      </c>
      <c r="N48" s="355">
        <v>2750</v>
      </c>
      <c r="O48" s="355">
        <v>620.49</v>
      </c>
      <c r="P48" s="355" t="s">
        <v>633</v>
      </c>
      <c r="Q48" s="355">
        <v>144</v>
      </c>
      <c r="R48" s="359">
        <v>46196.358159722222</v>
      </c>
      <c r="Y48" s="286"/>
      <c r="AA48" s="338">
        <f t="shared" si="0"/>
        <v>46194</v>
      </c>
    </row>
    <row r="49" spans="1:27" ht="60" customHeight="1" x14ac:dyDescent="0.3">
      <c r="A49" s="357">
        <v>41</v>
      </c>
      <c r="B49" s="380">
        <v>2117</v>
      </c>
      <c r="C49" s="355" t="s">
        <v>634</v>
      </c>
      <c r="D49" s="355">
        <v>14909</v>
      </c>
      <c r="E49" s="355" t="s">
        <v>11</v>
      </c>
      <c r="F49" s="355" t="s">
        <v>632</v>
      </c>
      <c r="G49" s="355">
        <v>3201010014</v>
      </c>
      <c r="H49" s="355" t="s">
        <v>255</v>
      </c>
      <c r="I49" s="355" t="s">
        <v>41</v>
      </c>
      <c r="J49" s="355">
        <v>47250</v>
      </c>
      <c r="K49" s="358">
        <v>10661.17</v>
      </c>
      <c r="L49" s="355">
        <v>47250</v>
      </c>
      <c r="M49" s="358">
        <v>10661.17</v>
      </c>
      <c r="N49" s="355">
        <v>0</v>
      </c>
      <c r="O49" s="355">
        <v>0</v>
      </c>
      <c r="P49" s="355" t="s">
        <v>633</v>
      </c>
      <c r="Q49" s="355">
        <v>144</v>
      </c>
      <c r="R49" s="359">
        <v>46196.3596412037</v>
      </c>
      <c r="Y49" s="286"/>
      <c r="AA49" s="338">
        <f t="shared" si="0"/>
        <v>46194</v>
      </c>
    </row>
    <row r="50" spans="1:27" ht="60" customHeight="1" x14ac:dyDescent="0.3">
      <c r="A50" s="357">
        <v>42</v>
      </c>
      <c r="B50" s="380">
        <v>2206</v>
      </c>
      <c r="C50" s="355" t="s">
        <v>638</v>
      </c>
      <c r="D50" s="355">
        <v>15354</v>
      </c>
      <c r="E50" s="355" t="s">
        <v>11</v>
      </c>
      <c r="F50" s="355" t="s">
        <v>632</v>
      </c>
      <c r="G50" s="355">
        <v>3201010014</v>
      </c>
      <c r="H50" s="355" t="s">
        <v>255</v>
      </c>
      <c r="I50" s="355" t="s">
        <v>41</v>
      </c>
      <c r="J50" s="355">
        <v>47250</v>
      </c>
      <c r="K50" s="358">
        <v>10661.17</v>
      </c>
      <c r="L50" s="355">
        <v>40000</v>
      </c>
      <c r="M50" s="358">
        <v>9025.33</v>
      </c>
      <c r="N50" s="355">
        <v>7250</v>
      </c>
      <c r="O50" s="358">
        <v>1635.84</v>
      </c>
      <c r="P50" s="355" t="s">
        <v>633</v>
      </c>
      <c r="Q50" s="355">
        <v>144</v>
      </c>
      <c r="R50" s="359">
        <v>46228.398125</v>
      </c>
      <c r="Y50" s="286"/>
      <c r="AA50" s="338">
        <f t="shared" si="0"/>
        <v>46225</v>
      </c>
    </row>
    <row r="51" spans="1:27" ht="60" customHeight="1" x14ac:dyDescent="0.3">
      <c r="A51" s="357">
        <v>43</v>
      </c>
      <c r="B51" s="380">
        <v>2219</v>
      </c>
      <c r="C51" s="355" t="s">
        <v>635</v>
      </c>
      <c r="D51" s="355">
        <v>15353</v>
      </c>
      <c r="E51" s="355" t="s">
        <v>11</v>
      </c>
      <c r="F51" s="355" t="s">
        <v>632</v>
      </c>
      <c r="G51" s="355">
        <v>3201010014</v>
      </c>
      <c r="H51" s="355" t="s">
        <v>255</v>
      </c>
      <c r="I51" s="355" t="s">
        <v>41</v>
      </c>
      <c r="J51" s="355">
        <v>20000</v>
      </c>
      <c r="K51" s="358">
        <v>4512.67</v>
      </c>
      <c r="L51" s="355">
        <v>20000</v>
      </c>
      <c r="M51" s="358">
        <v>4512.67</v>
      </c>
      <c r="N51" s="355">
        <v>0</v>
      </c>
      <c r="O51" s="355">
        <v>0</v>
      </c>
      <c r="P51" s="355" t="s">
        <v>633</v>
      </c>
      <c r="Q51" s="355">
        <v>144</v>
      </c>
      <c r="R51" s="359">
        <v>46229.684525462966</v>
      </c>
      <c r="Y51" s="286"/>
      <c r="AA51" s="338">
        <f t="shared" si="0"/>
        <v>46229</v>
      </c>
    </row>
    <row r="52" spans="1:27" ht="60" customHeight="1" x14ac:dyDescent="0.3">
      <c r="A52" s="357">
        <v>44</v>
      </c>
      <c r="B52" s="380">
        <v>2282</v>
      </c>
      <c r="C52" s="355" t="s">
        <v>636</v>
      </c>
      <c r="D52" s="357"/>
      <c r="E52" s="355" t="s">
        <v>11</v>
      </c>
      <c r="F52" s="355" t="s">
        <v>632</v>
      </c>
      <c r="G52" s="355">
        <v>3201010014</v>
      </c>
      <c r="H52" s="355" t="s">
        <v>255</v>
      </c>
      <c r="I52" s="355" t="s">
        <v>41</v>
      </c>
      <c r="J52" s="355">
        <v>0</v>
      </c>
      <c r="K52" s="355">
        <v>0</v>
      </c>
      <c r="L52" s="281"/>
      <c r="M52" s="355">
        <v>0</v>
      </c>
      <c r="N52" s="355">
        <v>0</v>
      </c>
      <c r="O52" s="355">
        <v>0</v>
      </c>
      <c r="P52" s="355" t="s">
        <v>637</v>
      </c>
      <c r="Q52" s="355">
        <v>144</v>
      </c>
      <c r="R52" s="359">
        <v>46260.681643518517</v>
      </c>
      <c r="Y52" s="286"/>
      <c r="AA52" s="338">
        <f t="shared" si="0"/>
        <v>46254</v>
      </c>
    </row>
    <row r="53" spans="1:27" ht="60" customHeight="1" x14ac:dyDescent="0.3">
      <c r="A53" s="357">
        <v>45</v>
      </c>
      <c r="B53" s="380">
        <v>2283</v>
      </c>
      <c r="C53" s="355" t="s">
        <v>636</v>
      </c>
      <c r="D53" s="357"/>
      <c r="E53" s="355" t="s">
        <v>11</v>
      </c>
      <c r="F53" s="355" t="s">
        <v>632</v>
      </c>
      <c r="G53" s="355">
        <v>3201010014</v>
      </c>
      <c r="H53" s="355" t="s">
        <v>255</v>
      </c>
      <c r="I53" s="355" t="s">
        <v>41</v>
      </c>
      <c r="J53" s="355">
        <v>43000</v>
      </c>
      <c r="K53" s="358">
        <v>9702.23</v>
      </c>
      <c r="L53" s="281"/>
      <c r="M53" s="355">
        <v>0</v>
      </c>
      <c r="N53" s="355">
        <v>43000</v>
      </c>
      <c r="O53" s="358">
        <v>9702.23</v>
      </c>
      <c r="P53" s="355" t="s">
        <v>637</v>
      </c>
      <c r="Q53" s="355">
        <v>144</v>
      </c>
      <c r="R53" s="359">
        <v>46260.690868055557</v>
      </c>
      <c r="Y53" s="286"/>
      <c r="AA53" s="338">
        <f t="shared" si="0"/>
        <v>46254</v>
      </c>
    </row>
    <row r="54" spans="1:27" ht="60" customHeight="1" x14ac:dyDescent="0.3">
      <c r="A54" s="357">
        <v>46</v>
      </c>
      <c r="B54" s="380">
        <v>2117</v>
      </c>
      <c r="C54" s="355" t="s">
        <v>634</v>
      </c>
      <c r="D54" s="360">
        <v>1.44591488615429E+19</v>
      </c>
      <c r="E54" s="355" t="s">
        <v>11</v>
      </c>
      <c r="F54" s="355" t="s">
        <v>632</v>
      </c>
      <c r="G54" s="355">
        <v>3201010015</v>
      </c>
      <c r="H54" s="355" t="s">
        <v>256</v>
      </c>
      <c r="I54" s="355" t="s">
        <v>41</v>
      </c>
      <c r="J54" s="355">
        <v>41475</v>
      </c>
      <c r="K54" s="358">
        <v>60623.1</v>
      </c>
      <c r="L54" s="355">
        <v>27775</v>
      </c>
      <c r="M54" s="358">
        <v>40598.11</v>
      </c>
      <c r="N54" s="355">
        <v>13700</v>
      </c>
      <c r="O54" s="358">
        <v>20024.990000000002</v>
      </c>
      <c r="P54" s="355" t="s">
        <v>633</v>
      </c>
      <c r="Q54" s="355">
        <v>144</v>
      </c>
      <c r="R54" s="359">
        <v>46196.3596412037</v>
      </c>
      <c r="Y54" s="286"/>
      <c r="AA54" s="338">
        <f t="shared" si="0"/>
        <v>46194</v>
      </c>
    </row>
    <row r="55" spans="1:27" ht="60" customHeight="1" x14ac:dyDescent="0.3">
      <c r="A55" s="357">
        <v>47</v>
      </c>
      <c r="B55" s="380">
        <v>2206</v>
      </c>
      <c r="C55" s="355" t="s">
        <v>638</v>
      </c>
      <c r="D55" s="355">
        <v>15409</v>
      </c>
      <c r="E55" s="355" t="s">
        <v>11</v>
      </c>
      <c r="F55" s="355" t="s">
        <v>632</v>
      </c>
      <c r="G55" s="355">
        <v>3201010015</v>
      </c>
      <c r="H55" s="355" t="s">
        <v>256</v>
      </c>
      <c r="I55" s="355" t="s">
        <v>41</v>
      </c>
      <c r="J55" s="355">
        <v>31500</v>
      </c>
      <c r="K55" s="358">
        <v>46042.86</v>
      </c>
      <c r="L55" s="355">
        <v>31500</v>
      </c>
      <c r="M55" s="358">
        <v>46042.86</v>
      </c>
      <c r="N55" s="355">
        <v>0</v>
      </c>
      <c r="O55" s="355">
        <v>0</v>
      </c>
      <c r="P55" s="355" t="s">
        <v>633</v>
      </c>
      <c r="Q55" s="355">
        <v>144</v>
      </c>
      <c r="R55" s="359">
        <v>46228.398125</v>
      </c>
      <c r="Y55" s="286"/>
      <c r="AA55" s="338">
        <f t="shared" si="0"/>
        <v>46225</v>
      </c>
    </row>
    <row r="56" spans="1:27" ht="60" customHeight="1" x14ac:dyDescent="0.3">
      <c r="A56" s="357">
        <v>48</v>
      </c>
      <c r="B56" s="380">
        <v>2283</v>
      </c>
      <c r="C56" s="355" t="s">
        <v>636</v>
      </c>
      <c r="D56" s="357"/>
      <c r="E56" s="355" t="s">
        <v>11</v>
      </c>
      <c r="F56" s="355" t="s">
        <v>632</v>
      </c>
      <c r="G56" s="355">
        <v>3201010015</v>
      </c>
      <c r="H56" s="355" t="s">
        <v>256</v>
      </c>
      <c r="I56" s="355" t="s">
        <v>41</v>
      </c>
      <c r="J56" s="355">
        <v>21210</v>
      </c>
      <c r="K56" s="358">
        <v>31002.2</v>
      </c>
      <c r="L56" s="281"/>
      <c r="M56" s="355">
        <v>0</v>
      </c>
      <c r="N56" s="355">
        <v>21210</v>
      </c>
      <c r="O56" s="358">
        <v>31002.2</v>
      </c>
      <c r="P56" s="355" t="s">
        <v>637</v>
      </c>
      <c r="Q56" s="355">
        <v>144</v>
      </c>
      <c r="R56" s="359">
        <v>46260.690868055557</v>
      </c>
      <c r="Y56" s="286"/>
      <c r="AA56" s="338">
        <f t="shared" si="0"/>
        <v>46254</v>
      </c>
    </row>
    <row r="57" spans="1:27" ht="60" customHeight="1" x14ac:dyDescent="0.3">
      <c r="A57" s="357">
        <v>49</v>
      </c>
      <c r="B57" s="380">
        <v>2206</v>
      </c>
      <c r="C57" s="355" t="s">
        <v>638</v>
      </c>
      <c r="D57" s="355">
        <v>15426</v>
      </c>
      <c r="E57" s="355" t="s">
        <v>11</v>
      </c>
      <c r="F57" s="355" t="s">
        <v>632</v>
      </c>
      <c r="G57" s="355">
        <v>3201010016</v>
      </c>
      <c r="H57" s="355" t="s">
        <v>257</v>
      </c>
      <c r="I57" s="355" t="s">
        <v>41</v>
      </c>
      <c r="J57" s="355">
        <v>5250</v>
      </c>
      <c r="K57" s="358">
        <v>8986.68</v>
      </c>
      <c r="L57" s="355">
        <v>5000</v>
      </c>
      <c r="M57" s="358">
        <v>8558.74</v>
      </c>
      <c r="N57" s="355">
        <v>250</v>
      </c>
      <c r="O57" s="355">
        <v>427.94</v>
      </c>
      <c r="P57" s="355" t="s">
        <v>633</v>
      </c>
      <c r="Q57" s="355">
        <v>144</v>
      </c>
      <c r="R57" s="359">
        <v>46228.398125</v>
      </c>
      <c r="Y57" s="286"/>
      <c r="AA57" s="338">
        <f t="shared" si="0"/>
        <v>46225</v>
      </c>
    </row>
    <row r="58" spans="1:27" ht="60" customHeight="1" x14ac:dyDescent="0.3">
      <c r="A58" s="357">
        <v>50</v>
      </c>
      <c r="B58" s="380">
        <v>2283</v>
      </c>
      <c r="C58" s="355" t="s">
        <v>636</v>
      </c>
      <c r="D58" s="357"/>
      <c r="E58" s="355" t="s">
        <v>11</v>
      </c>
      <c r="F58" s="355" t="s">
        <v>632</v>
      </c>
      <c r="G58" s="355">
        <v>3201010017</v>
      </c>
      <c r="H58" s="355" t="s">
        <v>258</v>
      </c>
      <c r="I58" s="355" t="s">
        <v>41</v>
      </c>
      <c r="J58" s="355">
        <v>10500</v>
      </c>
      <c r="K58" s="358">
        <v>23464.27</v>
      </c>
      <c r="L58" s="281"/>
      <c r="M58" s="355">
        <v>0</v>
      </c>
      <c r="N58" s="355">
        <v>10500</v>
      </c>
      <c r="O58" s="358">
        <v>23464.27</v>
      </c>
      <c r="P58" s="355" t="s">
        <v>637</v>
      </c>
      <c r="Q58" s="355">
        <v>144</v>
      </c>
      <c r="R58" s="359">
        <v>46260.690868055557</v>
      </c>
      <c r="Y58" s="286"/>
      <c r="AA58" s="338">
        <f t="shared" si="0"/>
        <v>46254</v>
      </c>
    </row>
    <row r="59" spans="1:27" ht="60" customHeight="1" x14ac:dyDescent="0.3">
      <c r="A59" s="357">
        <v>51</v>
      </c>
      <c r="B59" s="380">
        <v>2117</v>
      </c>
      <c r="C59" s="355" t="s">
        <v>634</v>
      </c>
      <c r="D59" s="357"/>
      <c r="E59" s="355" t="s">
        <v>11</v>
      </c>
      <c r="F59" s="355" t="s">
        <v>632</v>
      </c>
      <c r="G59" s="355">
        <v>3201010018</v>
      </c>
      <c r="H59" s="355" t="s">
        <v>259</v>
      </c>
      <c r="I59" s="355" t="s">
        <v>41</v>
      </c>
      <c r="J59" s="355">
        <v>5250</v>
      </c>
      <c r="K59" s="358">
        <v>6405.84</v>
      </c>
      <c r="L59" s="281"/>
      <c r="M59" s="355">
        <v>0</v>
      </c>
      <c r="N59" s="355">
        <v>5250</v>
      </c>
      <c r="O59" s="358">
        <v>6405.84</v>
      </c>
      <c r="P59" s="355" t="s">
        <v>633</v>
      </c>
      <c r="Q59" s="355">
        <v>144</v>
      </c>
      <c r="R59" s="359">
        <v>46196.3596412037</v>
      </c>
      <c r="Y59" s="286"/>
      <c r="AA59" s="338">
        <f t="shared" si="0"/>
        <v>46194</v>
      </c>
    </row>
    <row r="60" spans="1:27" ht="60" customHeight="1" x14ac:dyDescent="0.3">
      <c r="A60" s="357">
        <v>52</v>
      </c>
      <c r="B60" s="380">
        <v>2206</v>
      </c>
      <c r="C60" s="355" t="s">
        <v>638</v>
      </c>
      <c r="D60" s="355">
        <v>15703</v>
      </c>
      <c r="E60" s="355" t="s">
        <v>11</v>
      </c>
      <c r="F60" s="355" t="s">
        <v>632</v>
      </c>
      <c r="G60" s="355">
        <v>3201010018</v>
      </c>
      <c r="H60" s="355" t="s">
        <v>259</v>
      </c>
      <c r="I60" s="355" t="s">
        <v>41</v>
      </c>
      <c r="J60" s="355">
        <v>10500</v>
      </c>
      <c r="K60" s="358">
        <v>12811.67</v>
      </c>
      <c r="L60" s="355">
        <v>10000</v>
      </c>
      <c r="M60" s="358">
        <v>12201.59</v>
      </c>
      <c r="N60" s="355">
        <v>500</v>
      </c>
      <c r="O60" s="355">
        <v>610.08000000000004</v>
      </c>
      <c r="P60" s="355" t="s">
        <v>633</v>
      </c>
      <c r="Q60" s="355">
        <v>144</v>
      </c>
      <c r="R60" s="359">
        <v>46228.398125</v>
      </c>
      <c r="Y60" s="286"/>
      <c r="AA60" s="338">
        <f t="shared" si="0"/>
        <v>46225</v>
      </c>
    </row>
    <row r="61" spans="1:27" ht="60" customHeight="1" x14ac:dyDescent="0.3">
      <c r="A61" s="357">
        <v>53</v>
      </c>
      <c r="B61" s="380">
        <v>2283</v>
      </c>
      <c r="C61" s="355" t="s">
        <v>636</v>
      </c>
      <c r="D61" s="357"/>
      <c r="E61" s="355" t="s">
        <v>11</v>
      </c>
      <c r="F61" s="355" t="s">
        <v>632</v>
      </c>
      <c r="G61" s="355">
        <v>3201010018</v>
      </c>
      <c r="H61" s="355" t="s">
        <v>259</v>
      </c>
      <c r="I61" s="355" t="s">
        <v>41</v>
      </c>
      <c r="J61" s="355">
        <v>10500</v>
      </c>
      <c r="K61" s="358">
        <v>12811.67</v>
      </c>
      <c r="L61" s="281"/>
      <c r="M61" s="355">
        <v>0</v>
      </c>
      <c r="N61" s="355">
        <v>10500</v>
      </c>
      <c r="O61" s="358">
        <v>12811.67</v>
      </c>
      <c r="P61" s="355" t="s">
        <v>637</v>
      </c>
      <c r="Q61" s="355">
        <v>144</v>
      </c>
      <c r="R61" s="359">
        <v>46260.690868055557</v>
      </c>
      <c r="Y61" s="286"/>
      <c r="AA61" s="338">
        <f t="shared" si="0"/>
        <v>46254</v>
      </c>
    </row>
    <row r="62" spans="1:27" ht="75" customHeight="1" x14ac:dyDescent="0.3">
      <c r="A62" s="357">
        <v>54</v>
      </c>
      <c r="B62" s="380">
        <v>2117</v>
      </c>
      <c r="C62" s="355" t="s">
        <v>634</v>
      </c>
      <c r="D62" s="360">
        <v>1.4803149181472401E+84</v>
      </c>
      <c r="E62" s="355" t="s">
        <v>11</v>
      </c>
      <c r="F62" s="355" t="s">
        <v>632</v>
      </c>
      <c r="G62" s="355">
        <v>3201010019</v>
      </c>
      <c r="H62" s="355" t="s">
        <v>260</v>
      </c>
      <c r="I62" s="355" t="s">
        <v>41</v>
      </c>
      <c r="J62" s="355">
        <v>41475</v>
      </c>
      <c r="K62" s="358">
        <v>797041.27</v>
      </c>
      <c r="L62" s="355">
        <v>14000</v>
      </c>
      <c r="M62" s="358">
        <v>269043.46999999997</v>
      </c>
      <c r="N62" s="355">
        <v>27475</v>
      </c>
      <c r="O62" s="358">
        <v>527997.80000000005</v>
      </c>
      <c r="P62" s="355" t="s">
        <v>633</v>
      </c>
      <c r="Q62" s="355">
        <v>144</v>
      </c>
      <c r="R62" s="359">
        <v>46196.3596412037</v>
      </c>
      <c r="Y62" s="286"/>
      <c r="AA62" s="338">
        <f t="shared" si="0"/>
        <v>46194</v>
      </c>
    </row>
    <row r="63" spans="1:27" ht="75" customHeight="1" x14ac:dyDescent="0.3">
      <c r="A63" s="357">
        <v>55</v>
      </c>
      <c r="B63" s="380">
        <v>2206</v>
      </c>
      <c r="C63" s="355" t="s">
        <v>638</v>
      </c>
      <c r="D63" s="360">
        <v>1.5776153591540501E+144</v>
      </c>
      <c r="E63" s="355" t="s">
        <v>11</v>
      </c>
      <c r="F63" s="355" t="s">
        <v>632</v>
      </c>
      <c r="G63" s="355">
        <v>3201010019</v>
      </c>
      <c r="H63" s="355" t="s">
        <v>260</v>
      </c>
      <c r="I63" s="355" t="s">
        <v>41</v>
      </c>
      <c r="J63" s="355">
        <v>36750</v>
      </c>
      <c r="K63" s="358">
        <v>706239.1</v>
      </c>
      <c r="L63" s="355">
        <v>24250</v>
      </c>
      <c r="M63" s="358">
        <v>466021.72</v>
      </c>
      <c r="N63" s="355">
        <v>12500</v>
      </c>
      <c r="O63" s="358">
        <v>240217.38</v>
      </c>
      <c r="P63" s="355" t="s">
        <v>633</v>
      </c>
      <c r="Q63" s="355">
        <v>144</v>
      </c>
      <c r="R63" s="359">
        <v>46228.398125</v>
      </c>
      <c r="Y63" s="286"/>
      <c r="AA63" s="338">
        <f t="shared" si="0"/>
        <v>46225</v>
      </c>
    </row>
    <row r="64" spans="1:27" ht="75" customHeight="1" x14ac:dyDescent="0.3">
      <c r="A64" s="357">
        <v>56</v>
      </c>
      <c r="B64" s="380">
        <v>2283</v>
      </c>
      <c r="C64" s="355" t="s">
        <v>636</v>
      </c>
      <c r="D64" s="357"/>
      <c r="E64" s="355" t="s">
        <v>11</v>
      </c>
      <c r="F64" s="355" t="s">
        <v>632</v>
      </c>
      <c r="G64" s="355">
        <v>3201010019</v>
      </c>
      <c r="H64" s="355" t="s">
        <v>260</v>
      </c>
      <c r="I64" s="355" t="s">
        <v>41</v>
      </c>
      <c r="J64" s="355">
        <v>21210</v>
      </c>
      <c r="K64" s="358">
        <v>407600.85</v>
      </c>
      <c r="L64" s="281"/>
      <c r="M64" s="355">
        <v>0</v>
      </c>
      <c r="N64" s="355">
        <v>21210</v>
      </c>
      <c r="O64" s="358">
        <v>407600.85</v>
      </c>
      <c r="P64" s="355" t="s">
        <v>637</v>
      </c>
      <c r="Q64" s="355">
        <v>144</v>
      </c>
      <c r="R64" s="359">
        <v>46260.690868055557</v>
      </c>
      <c r="Y64" s="286"/>
      <c r="AA64" s="338">
        <f t="shared" si="0"/>
        <v>46254</v>
      </c>
    </row>
    <row r="65" spans="1:27" ht="60" customHeight="1" x14ac:dyDescent="0.3">
      <c r="A65" s="357">
        <v>57</v>
      </c>
      <c r="B65" s="380">
        <v>2283</v>
      </c>
      <c r="C65" s="355" t="s">
        <v>636</v>
      </c>
      <c r="D65" s="357"/>
      <c r="E65" s="355" t="s">
        <v>11</v>
      </c>
      <c r="F65" s="355" t="s">
        <v>632</v>
      </c>
      <c r="G65" s="355">
        <v>3201010020</v>
      </c>
      <c r="H65" s="355" t="s">
        <v>261</v>
      </c>
      <c r="I65" s="355" t="s">
        <v>41</v>
      </c>
      <c r="J65" s="355">
        <v>10500</v>
      </c>
      <c r="K65" s="358">
        <v>22369.56</v>
      </c>
      <c r="L65" s="281"/>
      <c r="M65" s="355">
        <v>0</v>
      </c>
      <c r="N65" s="355">
        <v>10500</v>
      </c>
      <c r="O65" s="358">
        <v>22369.56</v>
      </c>
      <c r="P65" s="355" t="s">
        <v>637</v>
      </c>
      <c r="Q65" s="355">
        <v>144</v>
      </c>
      <c r="R65" s="359">
        <v>46260.690868055557</v>
      </c>
      <c r="Y65" s="286"/>
      <c r="AA65" s="338">
        <f t="shared" ref="AA65:AA128" si="1">IFERROR(
IF(ISNUMBER(C65),C65,DATE(VALUE(RIGHT(C65,4)),VALUE(MID(SUBSTITUTE(C65,"/","-"),FIND("-",SUBSTITUTE(C65,"/","-"))+1,FIND("-",SUBSTITUTE(C65,"/","-"),FIND("-",SUBSTITUTE(C65,"/","-"))+1)-FIND("-",SUBSTITUTE(C65,"/","-"))-1)),VALUE(LEFT(SUBSTITUTE(C65,"/","-"),FIND("-",SUBSTITUTE(C65,"/","-"))-1)))),
DATE(1995,1,1)
)</f>
        <v>46254</v>
      </c>
    </row>
    <row r="66" spans="1:27" ht="60" customHeight="1" x14ac:dyDescent="0.3">
      <c r="A66" s="357">
        <v>58</v>
      </c>
      <c r="B66" s="380">
        <v>2117</v>
      </c>
      <c r="C66" s="355" t="s">
        <v>634</v>
      </c>
      <c r="D66" s="357"/>
      <c r="E66" s="355" t="s">
        <v>11</v>
      </c>
      <c r="F66" s="355" t="s">
        <v>632</v>
      </c>
      <c r="G66" s="355">
        <v>3201010021</v>
      </c>
      <c r="H66" s="355" t="s">
        <v>262</v>
      </c>
      <c r="I66" s="355" t="s">
        <v>41</v>
      </c>
      <c r="J66" s="355">
        <v>5250</v>
      </c>
      <c r="K66" s="358">
        <v>116862.63</v>
      </c>
      <c r="L66" s="281"/>
      <c r="M66" s="355">
        <v>0</v>
      </c>
      <c r="N66" s="355">
        <v>5250</v>
      </c>
      <c r="O66" s="358">
        <v>116862.63</v>
      </c>
      <c r="P66" s="355" t="s">
        <v>633</v>
      </c>
      <c r="Q66" s="355">
        <v>144</v>
      </c>
      <c r="R66" s="359">
        <v>46196.3596412037</v>
      </c>
      <c r="Y66" s="286"/>
      <c r="AA66" s="338">
        <f t="shared" si="1"/>
        <v>46194</v>
      </c>
    </row>
    <row r="67" spans="1:27" ht="60" customHeight="1" x14ac:dyDescent="0.3">
      <c r="A67" s="357">
        <v>59</v>
      </c>
      <c r="B67" s="380">
        <v>2206</v>
      </c>
      <c r="C67" s="355" t="s">
        <v>638</v>
      </c>
      <c r="D67" s="360">
        <v>1.5807159061578299E+44</v>
      </c>
      <c r="E67" s="355" t="s">
        <v>11</v>
      </c>
      <c r="F67" s="355" t="s">
        <v>632</v>
      </c>
      <c r="G67" s="355">
        <v>3201010021</v>
      </c>
      <c r="H67" s="355" t="s">
        <v>262</v>
      </c>
      <c r="I67" s="355" t="s">
        <v>41</v>
      </c>
      <c r="J67" s="355">
        <v>10500</v>
      </c>
      <c r="K67" s="358">
        <v>233725.26</v>
      </c>
      <c r="L67" s="355">
        <v>7800</v>
      </c>
      <c r="M67" s="358">
        <v>173624.48</v>
      </c>
      <c r="N67" s="355">
        <v>2700</v>
      </c>
      <c r="O67" s="358">
        <v>60100.78</v>
      </c>
      <c r="P67" s="355" t="s">
        <v>633</v>
      </c>
      <c r="Q67" s="355">
        <v>144</v>
      </c>
      <c r="R67" s="359">
        <v>46228.398125</v>
      </c>
      <c r="Y67" s="286"/>
      <c r="AA67" s="338">
        <f t="shared" si="1"/>
        <v>46225</v>
      </c>
    </row>
    <row r="68" spans="1:27" ht="60" customHeight="1" x14ac:dyDescent="0.3">
      <c r="A68" s="357">
        <v>60</v>
      </c>
      <c r="B68" s="380">
        <v>2283</v>
      </c>
      <c r="C68" s="355" t="s">
        <v>636</v>
      </c>
      <c r="D68" s="357"/>
      <c r="E68" s="355" t="s">
        <v>11</v>
      </c>
      <c r="F68" s="355" t="s">
        <v>632</v>
      </c>
      <c r="G68" s="355">
        <v>3201010021</v>
      </c>
      <c r="H68" s="355" t="s">
        <v>262</v>
      </c>
      <c r="I68" s="355" t="s">
        <v>41</v>
      </c>
      <c r="J68" s="355">
        <v>10500</v>
      </c>
      <c r="K68" s="358">
        <v>233725.26</v>
      </c>
      <c r="L68" s="281"/>
      <c r="M68" s="355">
        <v>0</v>
      </c>
      <c r="N68" s="355">
        <v>10500</v>
      </c>
      <c r="O68" s="358">
        <v>233725.26</v>
      </c>
      <c r="P68" s="355" t="s">
        <v>637</v>
      </c>
      <c r="Q68" s="355">
        <v>144</v>
      </c>
      <c r="R68" s="359">
        <v>46260.690868055557</v>
      </c>
      <c r="Y68" s="286"/>
      <c r="AA68" s="338">
        <f t="shared" si="1"/>
        <v>46254</v>
      </c>
    </row>
    <row r="69" spans="1:27" ht="90" customHeight="1" x14ac:dyDescent="0.3">
      <c r="A69" s="357">
        <v>61</v>
      </c>
      <c r="B69" s="380">
        <v>2117</v>
      </c>
      <c r="C69" s="355" t="s">
        <v>634</v>
      </c>
      <c r="D69" s="360">
        <v>1.48311497714778E+54</v>
      </c>
      <c r="E69" s="355" t="s">
        <v>11</v>
      </c>
      <c r="F69" s="355" t="s">
        <v>632</v>
      </c>
      <c r="G69" s="355">
        <v>3201010022</v>
      </c>
      <c r="H69" s="355" t="s">
        <v>263</v>
      </c>
      <c r="I69" s="355" t="s">
        <v>41</v>
      </c>
      <c r="J69" s="355">
        <v>40425</v>
      </c>
      <c r="K69" s="358">
        <v>1743712.18</v>
      </c>
      <c r="L69" s="355">
        <v>6350</v>
      </c>
      <c r="M69" s="358">
        <v>273904.08</v>
      </c>
      <c r="N69" s="355">
        <v>34075</v>
      </c>
      <c r="O69" s="358">
        <v>1469808.11</v>
      </c>
      <c r="P69" s="355" t="s">
        <v>633</v>
      </c>
      <c r="Q69" s="355">
        <v>144</v>
      </c>
      <c r="R69" s="359">
        <v>46196.3596412037</v>
      </c>
      <c r="Y69" s="286"/>
      <c r="AA69" s="338">
        <f t="shared" si="1"/>
        <v>46194</v>
      </c>
    </row>
    <row r="70" spans="1:27" ht="90" customHeight="1" x14ac:dyDescent="0.3">
      <c r="A70" s="357">
        <v>62</v>
      </c>
      <c r="B70" s="380">
        <v>2206</v>
      </c>
      <c r="C70" s="355" t="s">
        <v>638</v>
      </c>
      <c r="D70" s="360">
        <v>1.5519156471533299E+174</v>
      </c>
      <c r="E70" s="355" t="s">
        <v>11</v>
      </c>
      <c r="F70" s="355" t="s">
        <v>632</v>
      </c>
      <c r="G70" s="355">
        <v>3201010022</v>
      </c>
      <c r="H70" s="355" t="s">
        <v>263</v>
      </c>
      <c r="I70" s="355" t="s">
        <v>41</v>
      </c>
      <c r="J70" s="355">
        <v>31500</v>
      </c>
      <c r="K70" s="358">
        <v>1358736.77</v>
      </c>
      <c r="L70" s="355">
        <v>23775</v>
      </c>
      <c r="M70" s="358">
        <v>1025522.75</v>
      </c>
      <c r="N70" s="355">
        <v>7725</v>
      </c>
      <c r="O70" s="358">
        <v>333214.02</v>
      </c>
      <c r="P70" s="355" t="s">
        <v>633</v>
      </c>
      <c r="Q70" s="355">
        <v>144</v>
      </c>
      <c r="R70" s="359">
        <v>46228.398125</v>
      </c>
      <c r="Y70" s="286"/>
      <c r="AA70" s="338">
        <f t="shared" si="1"/>
        <v>46225</v>
      </c>
    </row>
    <row r="71" spans="1:27" ht="90" customHeight="1" x14ac:dyDescent="0.3">
      <c r="A71" s="357">
        <v>63</v>
      </c>
      <c r="B71" s="380">
        <v>2283</v>
      </c>
      <c r="C71" s="355" t="s">
        <v>636</v>
      </c>
      <c r="D71" s="357"/>
      <c r="E71" s="355" t="s">
        <v>11</v>
      </c>
      <c r="F71" s="355" t="s">
        <v>632</v>
      </c>
      <c r="G71" s="355">
        <v>3201010022</v>
      </c>
      <c r="H71" s="355" t="s">
        <v>263</v>
      </c>
      <c r="I71" s="355" t="s">
        <v>41</v>
      </c>
      <c r="J71" s="355">
        <v>18900</v>
      </c>
      <c r="K71" s="358">
        <v>815242.06</v>
      </c>
      <c r="L71" s="281"/>
      <c r="M71" s="355">
        <v>0</v>
      </c>
      <c r="N71" s="355">
        <v>18900</v>
      </c>
      <c r="O71" s="358">
        <v>815242.06</v>
      </c>
      <c r="P71" s="355" t="s">
        <v>637</v>
      </c>
      <c r="Q71" s="355">
        <v>144</v>
      </c>
      <c r="R71" s="359">
        <v>46260.690868055557</v>
      </c>
      <c r="Y71" s="286"/>
      <c r="AA71" s="338">
        <f t="shared" si="1"/>
        <v>46254</v>
      </c>
    </row>
    <row r="72" spans="1:27" ht="75" customHeight="1" x14ac:dyDescent="0.3">
      <c r="A72" s="357">
        <v>64</v>
      </c>
      <c r="B72" s="380">
        <v>2117</v>
      </c>
      <c r="C72" s="355" t="s">
        <v>634</v>
      </c>
      <c r="D72" s="355">
        <v>15231</v>
      </c>
      <c r="E72" s="355" t="s">
        <v>11</v>
      </c>
      <c r="F72" s="355" t="s">
        <v>632</v>
      </c>
      <c r="G72" s="355">
        <v>3201010023</v>
      </c>
      <c r="H72" s="355" t="s">
        <v>264</v>
      </c>
      <c r="I72" s="355" t="s">
        <v>41</v>
      </c>
      <c r="J72" s="355">
        <v>1050</v>
      </c>
      <c r="K72" s="358">
        <v>43835.519999999997</v>
      </c>
      <c r="L72" s="355">
        <v>322</v>
      </c>
      <c r="M72" s="358">
        <v>13442.89</v>
      </c>
      <c r="N72" s="355">
        <v>728</v>
      </c>
      <c r="O72" s="358">
        <v>30392.63</v>
      </c>
      <c r="P72" s="355" t="s">
        <v>633</v>
      </c>
      <c r="Q72" s="355">
        <v>144</v>
      </c>
      <c r="R72" s="359">
        <v>46196.3596412037</v>
      </c>
      <c r="Y72" s="286"/>
      <c r="AA72" s="338">
        <f t="shared" si="1"/>
        <v>46194</v>
      </c>
    </row>
    <row r="73" spans="1:27" ht="75" customHeight="1" x14ac:dyDescent="0.3">
      <c r="A73" s="357">
        <v>65</v>
      </c>
      <c r="B73" s="380">
        <v>2283</v>
      </c>
      <c r="C73" s="355" t="s">
        <v>636</v>
      </c>
      <c r="D73" s="357"/>
      <c r="E73" s="355" t="s">
        <v>11</v>
      </c>
      <c r="F73" s="355" t="s">
        <v>632</v>
      </c>
      <c r="G73" s="355">
        <v>3201010023</v>
      </c>
      <c r="H73" s="355" t="s">
        <v>264</v>
      </c>
      <c r="I73" s="355" t="s">
        <v>41</v>
      </c>
      <c r="J73" s="355">
        <v>2500</v>
      </c>
      <c r="K73" s="358">
        <v>104370.28</v>
      </c>
      <c r="L73" s="281"/>
      <c r="M73" s="355">
        <v>0</v>
      </c>
      <c r="N73" s="355">
        <v>2500</v>
      </c>
      <c r="O73" s="358">
        <v>104370.28</v>
      </c>
      <c r="P73" s="355" t="s">
        <v>637</v>
      </c>
      <c r="Q73" s="355">
        <v>144</v>
      </c>
      <c r="R73" s="359">
        <v>46260.690868055557</v>
      </c>
      <c r="Y73" s="286"/>
      <c r="AA73" s="338">
        <f t="shared" si="1"/>
        <v>46254</v>
      </c>
    </row>
    <row r="74" spans="1:27" ht="75" customHeight="1" x14ac:dyDescent="0.3">
      <c r="A74" s="357">
        <v>66</v>
      </c>
      <c r="B74" s="380">
        <v>2283</v>
      </c>
      <c r="C74" s="355" t="s">
        <v>636</v>
      </c>
      <c r="D74" s="357"/>
      <c r="E74" s="355" t="s">
        <v>11</v>
      </c>
      <c r="F74" s="355" t="s">
        <v>632</v>
      </c>
      <c r="G74" s="355">
        <v>3201010024</v>
      </c>
      <c r="H74" s="355" t="s">
        <v>265</v>
      </c>
      <c r="I74" s="355" t="s">
        <v>41</v>
      </c>
      <c r="J74" s="355">
        <v>300</v>
      </c>
      <c r="K74" s="358">
        <v>35411.81</v>
      </c>
      <c r="L74" s="281"/>
      <c r="M74" s="355">
        <v>0</v>
      </c>
      <c r="N74" s="355">
        <v>300</v>
      </c>
      <c r="O74" s="358">
        <v>35411.81</v>
      </c>
      <c r="P74" s="355" t="s">
        <v>637</v>
      </c>
      <c r="Q74" s="355">
        <v>144</v>
      </c>
      <c r="R74" s="359">
        <v>46260.690868055557</v>
      </c>
      <c r="Y74" s="286"/>
      <c r="AA74" s="338">
        <f t="shared" si="1"/>
        <v>46254</v>
      </c>
    </row>
    <row r="75" spans="1:27" ht="105" customHeight="1" x14ac:dyDescent="0.3">
      <c r="A75" s="357">
        <v>67</v>
      </c>
      <c r="B75" s="380">
        <v>2283</v>
      </c>
      <c r="C75" s="355" t="s">
        <v>636</v>
      </c>
      <c r="D75" s="357"/>
      <c r="E75" s="355" t="s">
        <v>11</v>
      </c>
      <c r="F75" s="355" t="s">
        <v>632</v>
      </c>
      <c r="G75" s="355">
        <v>3201010026</v>
      </c>
      <c r="H75" s="355" t="s">
        <v>266</v>
      </c>
      <c r="I75" s="355" t="s">
        <v>41</v>
      </c>
      <c r="J75" s="355">
        <v>10500</v>
      </c>
      <c r="K75" s="358">
        <v>394509.83</v>
      </c>
      <c r="L75" s="281"/>
      <c r="M75" s="355">
        <v>0</v>
      </c>
      <c r="N75" s="355">
        <v>10500</v>
      </c>
      <c r="O75" s="358">
        <v>394509.83</v>
      </c>
      <c r="P75" s="355" t="s">
        <v>637</v>
      </c>
      <c r="Q75" s="355">
        <v>144</v>
      </c>
      <c r="R75" s="359">
        <v>46260.690868055557</v>
      </c>
      <c r="Y75" s="286"/>
      <c r="AA75" s="338">
        <f t="shared" si="1"/>
        <v>46254</v>
      </c>
    </row>
    <row r="76" spans="1:27" ht="90" customHeight="1" x14ac:dyDescent="0.3">
      <c r="A76" s="357">
        <v>68</v>
      </c>
      <c r="B76" s="380">
        <v>2206</v>
      </c>
      <c r="C76" s="355" t="s">
        <v>638</v>
      </c>
      <c r="D76" s="355">
        <v>15906</v>
      </c>
      <c r="E76" s="355" t="s">
        <v>11</v>
      </c>
      <c r="F76" s="355" t="s">
        <v>632</v>
      </c>
      <c r="G76" s="355">
        <v>3201010027</v>
      </c>
      <c r="H76" s="355" t="s">
        <v>267</v>
      </c>
      <c r="I76" s="355" t="s">
        <v>41</v>
      </c>
      <c r="J76" s="355">
        <v>5250</v>
      </c>
      <c r="K76" s="358">
        <v>219364.04</v>
      </c>
      <c r="L76" s="355">
        <v>375</v>
      </c>
      <c r="M76" s="358">
        <v>15668.86</v>
      </c>
      <c r="N76" s="355">
        <v>4875</v>
      </c>
      <c r="O76" s="358">
        <v>203695.18</v>
      </c>
      <c r="P76" s="355" t="s">
        <v>633</v>
      </c>
      <c r="Q76" s="355">
        <v>144</v>
      </c>
      <c r="R76" s="359">
        <v>46228.398125</v>
      </c>
      <c r="Y76" s="286"/>
      <c r="AA76" s="338">
        <f t="shared" si="1"/>
        <v>46225</v>
      </c>
    </row>
    <row r="77" spans="1:27" ht="90" customHeight="1" x14ac:dyDescent="0.3">
      <c r="A77" s="357">
        <v>69</v>
      </c>
      <c r="B77" s="380">
        <v>2206</v>
      </c>
      <c r="C77" s="355" t="s">
        <v>638</v>
      </c>
      <c r="D77" s="360">
        <v>1.5432157251557199E+49</v>
      </c>
      <c r="E77" s="355" t="s">
        <v>11</v>
      </c>
      <c r="F77" s="355" t="s">
        <v>632</v>
      </c>
      <c r="G77" s="355">
        <v>3201010028</v>
      </c>
      <c r="H77" s="355" t="s">
        <v>268</v>
      </c>
      <c r="I77" s="355" t="s">
        <v>41</v>
      </c>
      <c r="J77" s="355">
        <v>5250</v>
      </c>
      <c r="K77" s="358">
        <v>187671.23</v>
      </c>
      <c r="L77" s="355">
        <v>5195</v>
      </c>
      <c r="M77" s="358">
        <v>185705.15</v>
      </c>
      <c r="N77" s="355">
        <v>55</v>
      </c>
      <c r="O77" s="358">
        <v>1966.08</v>
      </c>
      <c r="P77" s="355" t="s">
        <v>633</v>
      </c>
      <c r="Q77" s="355">
        <v>144</v>
      </c>
      <c r="R77" s="359">
        <v>46228.398125</v>
      </c>
      <c r="Y77" s="286"/>
      <c r="AA77" s="338">
        <f t="shared" si="1"/>
        <v>46225</v>
      </c>
    </row>
    <row r="78" spans="1:27" ht="90" customHeight="1" x14ac:dyDescent="0.3">
      <c r="A78" s="357">
        <v>70</v>
      </c>
      <c r="B78" s="380">
        <v>2283</v>
      </c>
      <c r="C78" s="355" t="s">
        <v>636</v>
      </c>
      <c r="D78" s="357"/>
      <c r="E78" s="355" t="s">
        <v>11</v>
      </c>
      <c r="F78" s="355" t="s">
        <v>632</v>
      </c>
      <c r="G78" s="355">
        <v>3201010028</v>
      </c>
      <c r="H78" s="355" t="s">
        <v>268</v>
      </c>
      <c r="I78" s="355" t="s">
        <v>41</v>
      </c>
      <c r="J78" s="355">
        <v>10500</v>
      </c>
      <c r="K78" s="358">
        <v>375342.46</v>
      </c>
      <c r="L78" s="281"/>
      <c r="M78" s="355">
        <v>0</v>
      </c>
      <c r="N78" s="355">
        <v>10500</v>
      </c>
      <c r="O78" s="358">
        <v>375342.46</v>
      </c>
      <c r="P78" s="355" t="s">
        <v>637</v>
      </c>
      <c r="Q78" s="355">
        <v>144</v>
      </c>
      <c r="R78" s="359">
        <v>46260.690868055557</v>
      </c>
      <c r="Y78" s="286"/>
      <c r="AA78" s="338">
        <f t="shared" si="1"/>
        <v>46254</v>
      </c>
    </row>
    <row r="79" spans="1:27" ht="90" customHeight="1" x14ac:dyDescent="0.3">
      <c r="A79" s="357">
        <v>71</v>
      </c>
      <c r="B79" s="380">
        <v>2117</v>
      </c>
      <c r="C79" s="355" t="s">
        <v>634</v>
      </c>
      <c r="D79" s="360">
        <v>1458514574</v>
      </c>
      <c r="E79" s="355" t="s">
        <v>11</v>
      </c>
      <c r="F79" s="355" t="s">
        <v>632</v>
      </c>
      <c r="G79" s="355">
        <v>3201010029</v>
      </c>
      <c r="H79" s="355" t="s">
        <v>269</v>
      </c>
      <c r="I79" s="355" t="s">
        <v>41</v>
      </c>
      <c r="J79" s="355">
        <v>5250</v>
      </c>
      <c r="K79" s="358">
        <v>199376.48</v>
      </c>
      <c r="L79" s="355">
        <v>1225</v>
      </c>
      <c r="M79" s="358">
        <v>46521.18</v>
      </c>
      <c r="N79" s="355">
        <v>4025</v>
      </c>
      <c r="O79" s="358">
        <v>152855.29999999999</v>
      </c>
      <c r="P79" s="355" t="s">
        <v>633</v>
      </c>
      <c r="Q79" s="355">
        <v>144</v>
      </c>
      <c r="R79" s="359">
        <v>46196.3596412037</v>
      </c>
      <c r="Y79" s="286"/>
      <c r="AA79" s="338">
        <f t="shared" si="1"/>
        <v>46194</v>
      </c>
    </row>
    <row r="80" spans="1:27" ht="90" customHeight="1" x14ac:dyDescent="0.3">
      <c r="A80" s="357">
        <v>72</v>
      </c>
      <c r="B80" s="380">
        <v>2206</v>
      </c>
      <c r="C80" s="355" t="s">
        <v>638</v>
      </c>
      <c r="D80" s="360">
        <v>1.5867158581590401E+39</v>
      </c>
      <c r="E80" s="355" t="s">
        <v>11</v>
      </c>
      <c r="F80" s="355" t="s">
        <v>632</v>
      </c>
      <c r="G80" s="355">
        <v>3201010029</v>
      </c>
      <c r="H80" s="355" t="s">
        <v>269</v>
      </c>
      <c r="I80" s="355" t="s">
        <v>41</v>
      </c>
      <c r="J80" s="355">
        <v>5250</v>
      </c>
      <c r="K80" s="358">
        <v>199376.48</v>
      </c>
      <c r="L80" s="355">
        <v>4875</v>
      </c>
      <c r="M80" s="358">
        <v>185135.31</v>
      </c>
      <c r="N80" s="355">
        <v>375</v>
      </c>
      <c r="O80" s="358">
        <v>14241.18</v>
      </c>
      <c r="P80" s="355" t="s">
        <v>633</v>
      </c>
      <c r="Q80" s="355">
        <v>144</v>
      </c>
      <c r="R80" s="359">
        <v>46228.398125</v>
      </c>
      <c r="Y80" s="286"/>
      <c r="AA80" s="338">
        <f t="shared" si="1"/>
        <v>46225</v>
      </c>
    </row>
    <row r="81" spans="1:27" ht="90" customHeight="1" x14ac:dyDescent="0.3">
      <c r="A81" s="357">
        <v>73</v>
      </c>
      <c r="B81" s="380">
        <v>2117</v>
      </c>
      <c r="C81" s="355" t="s">
        <v>634</v>
      </c>
      <c r="D81" s="360">
        <v>1.5095151241508201E+39</v>
      </c>
      <c r="E81" s="355" t="s">
        <v>11</v>
      </c>
      <c r="F81" s="355" t="s">
        <v>632</v>
      </c>
      <c r="G81" s="355">
        <v>3201010030</v>
      </c>
      <c r="H81" s="355" t="s">
        <v>270</v>
      </c>
      <c r="I81" s="355" t="s">
        <v>41</v>
      </c>
      <c r="J81" s="355">
        <v>40425</v>
      </c>
      <c r="K81" s="358">
        <v>879077.6</v>
      </c>
      <c r="L81" s="355">
        <v>7300</v>
      </c>
      <c r="M81" s="358">
        <v>158745</v>
      </c>
      <c r="N81" s="355">
        <v>33125</v>
      </c>
      <c r="O81" s="358">
        <v>720332.61</v>
      </c>
      <c r="P81" s="355" t="s">
        <v>633</v>
      </c>
      <c r="Q81" s="355">
        <v>144</v>
      </c>
      <c r="R81" s="359">
        <v>46196.3596412037</v>
      </c>
      <c r="Y81" s="286"/>
      <c r="AA81" s="338">
        <f t="shared" si="1"/>
        <v>46194</v>
      </c>
    </row>
    <row r="82" spans="1:27" ht="90" customHeight="1" x14ac:dyDescent="0.3">
      <c r="A82" s="357">
        <v>74</v>
      </c>
      <c r="B82" s="380">
        <v>2206</v>
      </c>
      <c r="C82" s="355" t="s">
        <v>638</v>
      </c>
      <c r="D82" s="360">
        <v>1.53841547915354E+134</v>
      </c>
      <c r="E82" s="355" t="s">
        <v>11</v>
      </c>
      <c r="F82" s="355" t="s">
        <v>632</v>
      </c>
      <c r="G82" s="355">
        <v>3201010030</v>
      </c>
      <c r="H82" s="355" t="s">
        <v>270</v>
      </c>
      <c r="I82" s="355" t="s">
        <v>41</v>
      </c>
      <c r="J82" s="355">
        <v>31500</v>
      </c>
      <c r="K82" s="358">
        <v>684995.53</v>
      </c>
      <c r="L82" s="355">
        <v>23723</v>
      </c>
      <c r="M82" s="358">
        <v>515877.75</v>
      </c>
      <c r="N82" s="355">
        <v>7777</v>
      </c>
      <c r="O82" s="358">
        <v>169117.79</v>
      </c>
      <c r="P82" s="355" t="s">
        <v>633</v>
      </c>
      <c r="Q82" s="355">
        <v>144</v>
      </c>
      <c r="R82" s="359">
        <v>46228.398125</v>
      </c>
      <c r="Y82" s="286"/>
      <c r="AA82" s="338">
        <f t="shared" si="1"/>
        <v>46225</v>
      </c>
    </row>
    <row r="83" spans="1:27" ht="90" customHeight="1" x14ac:dyDescent="0.3">
      <c r="A83" s="357">
        <v>75</v>
      </c>
      <c r="B83" s="380">
        <v>2283</v>
      </c>
      <c r="C83" s="355" t="s">
        <v>636</v>
      </c>
      <c r="D83" s="357"/>
      <c r="E83" s="355" t="s">
        <v>11</v>
      </c>
      <c r="F83" s="355" t="s">
        <v>632</v>
      </c>
      <c r="G83" s="355">
        <v>3201010030</v>
      </c>
      <c r="H83" s="355" t="s">
        <v>270</v>
      </c>
      <c r="I83" s="355" t="s">
        <v>41</v>
      </c>
      <c r="J83" s="355">
        <v>18900</v>
      </c>
      <c r="K83" s="358">
        <v>410997.32</v>
      </c>
      <c r="L83" s="281"/>
      <c r="M83" s="355">
        <v>0</v>
      </c>
      <c r="N83" s="355">
        <v>18900</v>
      </c>
      <c r="O83" s="358">
        <v>410997.32</v>
      </c>
      <c r="P83" s="355" t="s">
        <v>637</v>
      </c>
      <c r="Q83" s="355">
        <v>144</v>
      </c>
      <c r="R83" s="359">
        <v>46260.690868055557</v>
      </c>
      <c r="Y83" s="286"/>
      <c r="AA83" s="338">
        <f t="shared" si="1"/>
        <v>46254</v>
      </c>
    </row>
    <row r="84" spans="1:27" ht="75" customHeight="1" x14ac:dyDescent="0.3">
      <c r="A84" s="357">
        <v>76</v>
      </c>
      <c r="B84" s="380">
        <v>2117</v>
      </c>
      <c r="C84" s="355" t="s">
        <v>634</v>
      </c>
      <c r="D84" s="357"/>
      <c r="E84" s="355" t="s">
        <v>11</v>
      </c>
      <c r="F84" s="355" t="s">
        <v>632</v>
      </c>
      <c r="G84" s="355">
        <v>3201010031</v>
      </c>
      <c r="H84" s="355" t="s">
        <v>271</v>
      </c>
      <c r="I84" s="355" t="s">
        <v>41</v>
      </c>
      <c r="J84" s="355">
        <v>1050</v>
      </c>
      <c r="K84" s="358">
        <v>74106.259999999995</v>
      </c>
      <c r="L84" s="281"/>
      <c r="M84" s="355">
        <v>0</v>
      </c>
      <c r="N84" s="355">
        <v>1050</v>
      </c>
      <c r="O84" s="358">
        <v>74106.259999999995</v>
      </c>
      <c r="P84" s="355" t="s">
        <v>633</v>
      </c>
      <c r="Q84" s="355">
        <v>144</v>
      </c>
      <c r="R84" s="359">
        <v>46196.3596412037</v>
      </c>
      <c r="Y84" s="286"/>
      <c r="AA84" s="338">
        <f t="shared" si="1"/>
        <v>46194</v>
      </c>
    </row>
    <row r="85" spans="1:27" ht="75" customHeight="1" x14ac:dyDescent="0.3">
      <c r="A85" s="357">
        <v>77</v>
      </c>
      <c r="B85" s="380">
        <v>2283</v>
      </c>
      <c r="C85" s="355" t="s">
        <v>636</v>
      </c>
      <c r="D85" s="357"/>
      <c r="E85" s="355" t="s">
        <v>11</v>
      </c>
      <c r="F85" s="355" t="s">
        <v>632</v>
      </c>
      <c r="G85" s="355">
        <v>3201010031</v>
      </c>
      <c r="H85" s="355" t="s">
        <v>271</v>
      </c>
      <c r="I85" s="355" t="s">
        <v>41</v>
      </c>
      <c r="J85" s="355">
        <v>2100</v>
      </c>
      <c r="K85" s="358">
        <v>148212.51999999999</v>
      </c>
      <c r="L85" s="281"/>
      <c r="M85" s="355">
        <v>0</v>
      </c>
      <c r="N85" s="355">
        <v>2100</v>
      </c>
      <c r="O85" s="358">
        <v>148212.51999999999</v>
      </c>
      <c r="P85" s="355" t="s">
        <v>637</v>
      </c>
      <c r="Q85" s="355">
        <v>144</v>
      </c>
      <c r="R85" s="359">
        <v>46260.690868055557</v>
      </c>
      <c r="Y85" s="286"/>
      <c r="AA85" s="338">
        <f t="shared" si="1"/>
        <v>46254</v>
      </c>
    </row>
    <row r="86" spans="1:27" ht="75" customHeight="1" x14ac:dyDescent="0.3">
      <c r="A86" s="357">
        <v>78</v>
      </c>
      <c r="B86" s="380">
        <v>2283</v>
      </c>
      <c r="C86" s="355" t="s">
        <v>636</v>
      </c>
      <c r="D86" s="357"/>
      <c r="E86" s="355" t="s">
        <v>11</v>
      </c>
      <c r="F86" s="355" t="s">
        <v>632</v>
      </c>
      <c r="G86" s="355">
        <v>3201010032</v>
      </c>
      <c r="H86" s="355" t="s">
        <v>272</v>
      </c>
      <c r="I86" s="355" t="s">
        <v>41</v>
      </c>
      <c r="J86" s="355">
        <v>210</v>
      </c>
      <c r="K86" s="358">
        <v>32074.66</v>
      </c>
      <c r="L86" s="281"/>
      <c r="M86" s="355">
        <v>0</v>
      </c>
      <c r="N86" s="355">
        <v>210</v>
      </c>
      <c r="O86" s="358">
        <v>32074.66</v>
      </c>
      <c r="P86" s="355" t="s">
        <v>637</v>
      </c>
      <c r="Q86" s="355">
        <v>144</v>
      </c>
      <c r="R86" s="359">
        <v>46260.690868055557</v>
      </c>
      <c r="Y86" s="286"/>
      <c r="AA86" s="338">
        <f t="shared" si="1"/>
        <v>46254</v>
      </c>
    </row>
    <row r="87" spans="1:27" ht="105" customHeight="1" x14ac:dyDescent="0.3">
      <c r="A87" s="357">
        <v>79</v>
      </c>
      <c r="B87" s="380">
        <v>2283</v>
      </c>
      <c r="C87" s="355" t="s">
        <v>636</v>
      </c>
      <c r="D87" s="357"/>
      <c r="E87" s="355" t="s">
        <v>11</v>
      </c>
      <c r="F87" s="355" t="s">
        <v>632</v>
      </c>
      <c r="G87" s="355">
        <v>3201010034</v>
      </c>
      <c r="H87" s="355" t="s">
        <v>273</v>
      </c>
      <c r="I87" s="355" t="s">
        <v>41</v>
      </c>
      <c r="J87" s="355">
        <v>10500</v>
      </c>
      <c r="K87" s="358">
        <v>115622.08</v>
      </c>
      <c r="L87" s="281"/>
      <c r="M87" s="355">
        <v>0</v>
      </c>
      <c r="N87" s="355">
        <v>10500</v>
      </c>
      <c r="O87" s="358">
        <v>115622.08</v>
      </c>
      <c r="P87" s="355" t="s">
        <v>637</v>
      </c>
      <c r="Q87" s="355">
        <v>144</v>
      </c>
      <c r="R87" s="359">
        <v>46260.690868055557</v>
      </c>
      <c r="Y87" s="286"/>
      <c r="AA87" s="338">
        <f t="shared" si="1"/>
        <v>46254</v>
      </c>
    </row>
    <row r="88" spans="1:27" ht="90" customHeight="1" x14ac:dyDescent="0.3">
      <c r="A88" s="357">
        <v>80</v>
      </c>
      <c r="B88" s="380">
        <v>2206</v>
      </c>
      <c r="C88" s="355" t="s">
        <v>638</v>
      </c>
      <c r="D88" s="357"/>
      <c r="E88" s="355" t="s">
        <v>11</v>
      </c>
      <c r="F88" s="355" t="s">
        <v>632</v>
      </c>
      <c r="G88" s="355">
        <v>3201010035</v>
      </c>
      <c r="H88" s="355" t="s">
        <v>274</v>
      </c>
      <c r="I88" s="355" t="s">
        <v>41</v>
      </c>
      <c r="J88" s="355">
        <v>5250</v>
      </c>
      <c r="K88" s="358">
        <v>94667.97</v>
      </c>
      <c r="L88" s="281"/>
      <c r="M88" s="355">
        <v>0</v>
      </c>
      <c r="N88" s="355">
        <v>5250</v>
      </c>
      <c r="O88" s="358">
        <v>94667.97</v>
      </c>
      <c r="P88" s="355" t="s">
        <v>633</v>
      </c>
      <c r="Q88" s="355">
        <v>144</v>
      </c>
      <c r="R88" s="359">
        <v>46228.398125</v>
      </c>
      <c r="Y88" s="286"/>
      <c r="AA88" s="338">
        <f t="shared" si="1"/>
        <v>46225</v>
      </c>
    </row>
    <row r="89" spans="1:27" ht="90" customHeight="1" x14ac:dyDescent="0.3">
      <c r="A89" s="357">
        <v>81</v>
      </c>
      <c r="B89" s="380">
        <v>2206</v>
      </c>
      <c r="C89" s="355" t="s">
        <v>638</v>
      </c>
      <c r="D89" s="360">
        <v>1.5867158581535399E+34</v>
      </c>
      <c r="E89" s="355" t="s">
        <v>11</v>
      </c>
      <c r="F89" s="355" t="s">
        <v>632</v>
      </c>
      <c r="G89" s="355">
        <v>3201010036</v>
      </c>
      <c r="H89" s="355" t="s">
        <v>275</v>
      </c>
      <c r="I89" s="355" t="s">
        <v>41</v>
      </c>
      <c r="J89" s="355">
        <v>5250</v>
      </c>
      <c r="K89" s="358">
        <v>67565.22</v>
      </c>
      <c r="L89" s="355">
        <v>5250</v>
      </c>
      <c r="M89" s="358">
        <v>67565.22</v>
      </c>
      <c r="N89" s="355">
        <v>0</v>
      </c>
      <c r="O89" s="355">
        <v>0</v>
      </c>
      <c r="P89" s="355" t="s">
        <v>633</v>
      </c>
      <c r="Q89" s="355">
        <v>144</v>
      </c>
      <c r="R89" s="359">
        <v>46228.398125</v>
      </c>
      <c r="Y89" s="286"/>
      <c r="AA89" s="338">
        <f t="shared" si="1"/>
        <v>46225</v>
      </c>
    </row>
    <row r="90" spans="1:27" ht="90" customHeight="1" x14ac:dyDescent="0.3">
      <c r="A90" s="357">
        <v>82</v>
      </c>
      <c r="B90" s="380">
        <v>2283</v>
      </c>
      <c r="C90" s="355" t="s">
        <v>636</v>
      </c>
      <c r="D90" s="357"/>
      <c r="E90" s="355" t="s">
        <v>11</v>
      </c>
      <c r="F90" s="355" t="s">
        <v>632</v>
      </c>
      <c r="G90" s="355">
        <v>3201010036</v>
      </c>
      <c r="H90" s="355" t="s">
        <v>275</v>
      </c>
      <c r="I90" s="355" t="s">
        <v>41</v>
      </c>
      <c r="J90" s="355">
        <v>10500</v>
      </c>
      <c r="K90" s="358">
        <v>135130.43</v>
      </c>
      <c r="L90" s="281"/>
      <c r="M90" s="355">
        <v>0</v>
      </c>
      <c r="N90" s="355">
        <v>10500</v>
      </c>
      <c r="O90" s="358">
        <v>135130.43</v>
      </c>
      <c r="P90" s="355" t="s">
        <v>637</v>
      </c>
      <c r="Q90" s="355">
        <v>144</v>
      </c>
      <c r="R90" s="359">
        <v>46260.690868055557</v>
      </c>
      <c r="Y90" s="286"/>
      <c r="AA90" s="338">
        <f t="shared" si="1"/>
        <v>46254</v>
      </c>
    </row>
    <row r="91" spans="1:27" ht="90" customHeight="1" x14ac:dyDescent="0.3">
      <c r="A91" s="357">
        <v>83</v>
      </c>
      <c r="B91" s="380">
        <v>2117</v>
      </c>
      <c r="C91" s="355" t="s">
        <v>634</v>
      </c>
      <c r="D91" s="360">
        <v>1512115848</v>
      </c>
      <c r="E91" s="355" t="s">
        <v>11</v>
      </c>
      <c r="F91" s="355" t="s">
        <v>632</v>
      </c>
      <c r="G91" s="355">
        <v>3201010037</v>
      </c>
      <c r="H91" s="355" t="s">
        <v>276</v>
      </c>
      <c r="I91" s="355" t="s">
        <v>14</v>
      </c>
      <c r="J91" s="355">
        <v>425</v>
      </c>
      <c r="K91" s="358">
        <v>118642.92</v>
      </c>
      <c r="L91" s="355">
        <v>214</v>
      </c>
      <c r="M91" s="358">
        <v>59740.2</v>
      </c>
      <c r="N91" s="355">
        <v>211</v>
      </c>
      <c r="O91" s="358">
        <v>58902.720000000001</v>
      </c>
      <c r="P91" s="355" t="s">
        <v>633</v>
      </c>
      <c r="Q91" s="355">
        <v>144</v>
      </c>
      <c r="R91" s="359">
        <v>46196.3596412037</v>
      </c>
      <c r="Y91" s="286"/>
      <c r="AA91" s="338">
        <f t="shared" si="1"/>
        <v>46194</v>
      </c>
    </row>
    <row r="92" spans="1:27" ht="90" customHeight="1" x14ac:dyDescent="0.3">
      <c r="A92" s="357">
        <v>84</v>
      </c>
      <c r="B92" s="380">
        <v>2206</v>
      </c>
      <c r="C92" s="355" t="s">
        <v>638</v>
      </c>
      <c r="D92" s="360">
        <v>1584615819</v>
      </c>
      <c r="E92" s="355" t="s">
        <v>11</v>
      </c>
      <c r="F92" s="355" t="s">
        <v>632</v>
      </c>
      <c r="G92" s="355">
        <v>3201010037</v>
      </c>
      <c r="H92" s="355" t="s">
        <v>276</v>
      </c>
      <c r="I92" s="355" t="s">
        <v>14</v>
      </c>
      <c r="J92" s="355">
        <v>375</v>
      </c>
      <c r="K92" s="358">
        <v>104684.93</v>
      </c>
      <c r="L92" s="355">
        <v>375</v>
      </c>
      <c r="M92" s="358">
        <v>104684.93</v>
      </c>
      <c r="N92" s="355">
        <v>0</v>
      </c>
      <c r="O92" s="355">
        <v>0</v>
      </c>
      <c r="P92" s="355" t="s">
        <v>633</v>
      </c>
      <c r="Q92" s="355">
        <v>144</v>
      </c>
      <c r="R92" s="359">
        <v>46228.398125</v>
      </c>
      <c r="Y92" s="286"/>
      <c r="AA92" s="338">
        <f t="shared" si="1"/>
        <v>46225</v>
      </c>
    </row>
    <row r="93" spans="1:27" ht="90" customHeight="1" x14ac:dyDescent="0.3">
      <c r="A93" s="357">
        <v>85</v>
      </c>
      <c r="B93" s="380">
        <v>2283</v>
      </c>
      <c r="C93" s="355" t="s">
        <v>636</v>
      </c>
      <c r="D93" s="357"/>
      <c r="E93" s="355" t="s">
        <v>11</v>
      </c>
      <c r="F93" s="355" t="s">
        <v>632</v>
      </c>
      <c r="G93" s="355">
        <v>3201010037</v>
      </c>
      <c r="H93" s="355" t="s">
        <v>276</v>
      </c>
      <c r="I93" s="355" t="s">
        <v>14</v>
      </c>
      <c r="J93" s="355">
        <v>0</v>
      </c>
      <c r="K93" s="355">
        <v>0</v>
      </c>
      <c r="L93" s="281"/>
      <c r="M93" s="355">
        <v>0</v>
      </c>
      <c r="N93" s="355">
        <v>0</v>
      </c>
      <c r="O93" s="355">
        <v>0</v>
      </c>
      <c r="P93" s="355" t="s">
        <v>637</v>
      </c>
      <c r="Q93" s="355">
        <v>144</v>
      </c>
      <c r="R93" s="359">
        <v>46260.690868055557</v>
      </c>
      <c r="Y93" s="286"/>
      <c r="AA93" s="338">
        <f t="shared" si="1"/>
        <v>46254</v>
      </c>
    </row>
    <row r="94" spans="1:27" ht="90" customHeight="1" x14ac:dyDescent="0.3">
      <c r="A94" s="357">
        <v>86</v>
      </c>
      <c r="B94" s="380">
        <v>2117</v>
      </c>
      <c r="C94" s="355" t="s">
        <v>634</v>
      </c>
      <c r="D94" s="360">
        <v>1456414542</v>
      </c>
      <c r="E94" s="355" t="s">
        <v>11</v>
      </c>
      <c r="F94" s="355" t="s">
        <v>632</v>
      </c>
      <c r="G94" s="355">
        <v>3201010038</v>
      </c>
      <c r="H94" s="355" t="s">
        <v>277</v>
      </c>
      <c r="I94" s="355" t="s">
        <v>14</v>
      </c>
      <c r="J94" s="355">
        <v>50</v>
      </c>
      <c r="K94" s="358">
        <v>14435.48</v>
      </c>
      <c r="L94" s="355">
        <v>31.7</v>
      </c>
      <c r="M94" s="358">
        <v>9152.09</v>
      </c>
      <c r="N94" s="355">
        <v>18.3</v>
      </c>
      <c r="O94" s="358">
        <v>5283.38</v>
      </c>
      <c r="P94" s="355" t="s">
        <v>633</v>
      </c>
      <c r="Q94" s="355">
        <v>144</v>
      </c>
      <c r="R94" s="359">
        <v>46196.3596412037</v>
      </c>
      <c r="Y94" s="286"/>
      <c r="AA94" s="338">
        <f t="shared" si="1"/>
        <v>46194</v>
      </c>
    </row>
    <row r="95" spans="1:27" ht="90" customHeight="1" x14ac:dyDescent="0.3">
      <c r="A95" s="357">
        <v>87</v>
      </c>
      <c r="B95" s="380">
        <v>2206</v>
      </c>
      <c r="C95" s="355" t="s">
        <v>638</v>
      </c>
      <c r="D95" s="357"/>
      <c r="E95" s="355" t="s">
        <v>11</v>
      </c>
      <c r="F95" s="355" t="s">
        <v>632</v>
      </c>
      <c r="G95" s="355">
        <v>3201010038</v>
      </c>
      <c r="H95" s="355" t="s">
        <v>277</v>
      </c>
      <c r="I95" s="355" t="s">
        <v>14</v>
      </c>
      <c r="J95" s="355">
        <v>105</v>
      </c>
      <c r="K95" s="358">
        <v>30314.5</v>
      </c>
      <c r="L95" s="281"/>
      <c r="M95" s="355">
        <v>0</v>
      </c>
      <c r="N95" s="355">
        <v>105</v>
      </c>
      <c r="O95" s="358">
        <v>30314.5</v>
      </c>
      <c r="P95" s="355" t="s">
        <v>633</v>
      </c>
      <c r="Q95" s="355">
        <v>144</v>
      </c>
      <c r="R95" s="359">
        <v>46228.398125</v>
      </c>
      <c r="Y95" s="286"/>
      <c r="AA95" s="338">
        <f t="shared" si="1"/>
        <v>46225</v>
      </c>
    </row>
    <row r="96" spans="1:27" ht="90" customHeight="1" x14ac:dyDescent="0.3">
      <c r="A96" s="357">
        <v>88</v>
      </c>
      <c r="B96" s="380">
        <v>2283</v>
      </c>
      <c r="C96" s="355" t="s">
        <v>636</v>
      </c>
      <c r="D96" s="357"/>
      <c r="E96" s="355" t="s">
        <v>11</v>
      </c>
      <c r="F96" s="355" t="s">
        <v>632</v>
      </c>
      <c r="G96" s="355">
        <v>3201010038</v>
      </c>
      <c r="H96" s="355" t="s">
        <v>277</v>
      </c>
      <c r="I96" s="355" t="s">
        <v>14</v>
      </c>
      <c r="J96" s="355">
        <v>0</v>
      </c>
      <c r="K96" s="355">
        <v>0</v>
      </c>
      <c r="L96" s="281"/>
      <c r="M96" s="355">
        <v>0</v>
      </c>
      <c r="N96" s="355">
        <v>0</v>
      </c>
      <c r="O96" s="355">
        <v>0</v>
      </c>
      <c r="P96" s="355" t="s">
        <v>637</v>
      </c>
      <c r="Q96" s="355">
        <v>144</v>
      </c>
      <c r="R96" s="359">
        <v>46260.690868055557</v>
      </c>
      <c r="Y96" s="286"/>
      <c r="AA96" s="338">
        <f t="shared" si="1"/>
        <v>46254</v>
      </c>
    </row>
    <row r="97" spans="1:27" ht="90" customHeight="1" x14ac:dyDescent="0.3">
      <c r="A97" s="357">
        <v>89</v>
      </c>
      <c r="B97" s="380">
        <v>2117</v>
      </c>
      <c r="C97" s="355" t="s">
        <v>634</v>
      </c>
      <c r="D97" s="357"/>
      <c r="E97" s="355" t="s">
        <v>11</v>
      </c>
      <c r="F97" s="355" t="s">
        <v>632</v>
      </c>
      <c r="G97" s="355">
        <v>3201010039</v>
      </c>
      <c r="H97" s="355" t="s">
        <v>278</v>
      </c>
      <c r="I97" s="355" t="s">
        <v>14</v>
      </c>
      <c r="J97" s="355">
        <v>400</v>
      </c>
      <c r="K97" s="358">
        <v>118605.14</v>
      </c>
      <c r="L97" s="281"/>
      <c r="M97" s="355">
        <v>0</v>
      </c>
      <c r="N97" s="355">
        <v>400</v>
      </c>
      <c r="O97" s="358">
        <v>118605.14</v>
      </c>
      <c r="P97" s="355" t="s">
        <v>633</v>
      </c>
      <c r="Q97" s="355">
        <v>144</v>
      </c>
      <c r="R97" s="359">
        <v>46196.3596412037</v>
      </c>
      <c r="Y97" s="286"/>
      <c r="AA97" s="338">
        <f t="shared" si="1"/>
        <v>46194</v>
      </c>
    </row>
    <row r="98" spans="1:27" ht="90" customHeight="1" x14ac:dyDescent="0.3">
      <c r="A98" s="357">
        <v>90</v>
      </c>
      <c r="B98" s="380">
        <v>2206</v>
      </c>
      <c r="C98" s="355" t="s">
        <v>638</v>
      </c>
      <c r="D98" s="360">
        <v>158191572615867</v>
      </c>
      <c r="E98" s="355" t="s">
        <v>11</v>
      </c>
      <c r="F98" s="355" t="s">
        <v>632</v>
      </c>
      <c r="G98" s="355">
        <v>3201010039</v>
      </c>
      <c r="H98" s="355" t="s">
        <v>278</v>
      </c>
      <c r="I98" s="355" t="s">
        <v>14</v>
      </c>
      <c r="J98" s="355">
        <v>325</v>
      </c>
      <c r="K98" s="358">
        <v>96366.68</v>
      </c>
      <c r="L98" s="355">
        <v>126</v>
      </c>
      <c r="M98" s="358">
        <v>37360.620000000003</v>
      </c>
      <c r="N98" s="355">
        <v>199</v>
      </c>
      <c r="O98" s="358">
        <v>59006.06</v>
      </c>
      <c r="P98" s="355" t="s">
        <v>633</v>
      </c>
      <c r="Q98" s="355">
        <v>144</v>
      </c>
      <c r="R98" s="359">
        <v>46228.398125</v>
      </c>
      <c r="Y98" s="286"/>
      <c r="AA98" s="338">
        <f t="shared" si="1"/>
        <v>46225</v>
      </c>
    </row>
    <row r="99" spans="1:27" ht="90" customHeight="1" x14ac:dyDescent="0.3">
      <c r="A99" s="357">
        <v>91</v>
      </c>
      <c r="B99" s="380">
        <v>2283</v>
      </c>
      <c r="C99" s="355" t="s">
        <v>636</v>
      </c>
      <c r="D99" s="357"/>
      <c r="E99" s="355" t="s">
        <v>11</v>
      </c>
      <c r="F99" s="355" t="s">
        <v>632</v>
      </c>
      <c r="G99" s="355">
        <v>3201010039</v>
      </c>
      <c r="H99" s="355" t="s">
        <v>278</v>
      </c>
      <c r="I99" s="355" t="s">
        <v>14</v>
      </c>
      <c r="J99" s="355">
        <v>0</v>
      </c>
      <c r="K99" s="355">
        <v>0</v>
      </c>
      <c r="L99" s="281"/>
      <c r="M99" s="355">
        <v>0</v>
      </c>
      <c r="N99" s="355">
        <v>0</v>
      </c>
      <c r="O99" s="355">
        <v>0</v>
      </c>
      <c r="P99" s="355" t="s">
        <v>637</v>
      </c>
      <c r="Q99" s="355">
        <v>144</v>
      </c>
      <c r="R99" s="359">
        <v>46260.690868055557</v>
      </c>
      <c r="Y99" s="286"/>
      <c r="AA99" s="338">
        <f t="shared" si="1"/>
        <v>46254</v>
      </c>
    </row>
    <row r="100" spans="1:27" ht="90" customHeight="1" x14ac:dyDescent="0.3">
      <c r="A100" s="357">
        <v>92</v>
      </c>
      <c r="B100" s="380">
        <v>2117</v>
      </c>
      <c r="C100" s="355" t="s">
        <v>634</v>
      </c>
      <c r="D100" s="355">
        <v>15119</v>
      </c>
      <c r="E100" s="355" t="s">
        <v>11</v>
      </c>
      <c r="F100" s="355" t="s">
        <v>632</v>
      </c>
      <c r="G100" s="355">
        <v>3201010040</v>
      </c>
      <c r="H100" s="355" t="s">
        <v>279</v>
      </c>
      <c r="I100" s="355" t="s">
        <v>14</v>
      </c>
      <c r="J100" s="355">
        <v>50</v>
      </c>
      <c r="K100" s="358">
        <v>14540.43</v>
      </c>
      <c r="L100" s="355">
        <v>50</v>
      </c>
      <c r="M100" s="358">
        <v>14540.43</v>
      </c>
      <c r="N100" s="355">
        <v>0</v>
      </c>
      <c r="O100" s="355">
        <v>0</v>
      </c>
      <c r="P100" s="355" t="s">
        <v>633</v>
      </c>
      <c r="Q100" s="355">
        <v>144</v>
      </c>
      <c r="R100" s="359">
        <v>46196.3596412037</v>
      </c>
      <c r="Y100" s="286"/>
      <c r="AA100" s="338">
        <f t="shared" si="1"/>
        <v>46194</v>
      </c>
    </row>
    <row r="101" spans="1:27" ht="90" customHeight="1" x14ac:dyDescent="0.3">
      <c r="A101" s="357">
        <v>93</v>
      </c>
      <c r="B101" s="380">
        <v>2206</v>
      </c>
      <c r="C101" s="355" t="s">
        <v>638</v>
      </c>
      <c r="D101" s="357"/>
      <c r="E101" s="355" t="s">
        <v>11</v>
      </c>
      <c r="F101" s="355" t="s">
        <v>632</v>
      </c>
      <c r="G101" s="355">
        <v>3201010040</v>
      </c>
      <c r="H101" s="355" t="s">
        <v>279</v>
      </c>
      <c r="I101" s="355" t="s">
        <v>14</v>
      </c>
      <c r="J101" s="355">
        <v>84</v>
      </c>
      <c r="K101" s="358">
        <v>24427.93</v>
      </c>
      <c r="L101" s="281"/>
      <c r="M101" s="355">
        <v>0</v>
      </c>
      <c r="N101" s="355">
        <v>84</v>
      </c>
      <c r="O101" s="358">
        <v>24427.93</v>
      </c>
      <c r="P101" s="355" t="s">
        <v>633</v>
      </c>
      <c r="Q101" s="355">
        <v>144</v>
      </c>
      <c r="R101" s="359">
        <v>46228.398125</v>
      </c>
      <c r="Y101" s="286"/>
      <c r="AA101" s="338">
        <f t="shared" si="1"/>
        <v>46225</v>
      </c>
    </row>
    <row r="102" spans="1:27" ht="90" customHeight="1" x14ac:dyDescent="0.3">
      <c r="A102" s="357">
        <v>94</v>
      </c>
      <c r="B102" s="380">
        <v>2283</v>
      </c>
      <c r="C102" s="355" t="s">
        <v>636</v>
      </c>
      <c r="D102" s="357"/>
      <c r="E102" s="355" t="s">
        <v>11</v>
      </c>
      <c r="F102" s="355" t="s">
        <v>632</v>
      </c>
      <c r="G102" s="355">
        <v>3201010040</v>
      </c>
      <c r="H102" s="355" t="s">
        <v>279</v>
      </c>
      <c r="I102" s="355" t="s">
        <v>14</v>
      </c>
      <c r="J102" s="355">
        <v>0</v>
      </c>
      <c r="K102" s="355">
        <v>0</v>
      </c>
      <c r="L102" s="281"/>
      <c r="M102" s="355">
        <v>0</v>
      </c>
      <c r="N102" s="355">
        <v>0</v>
      </c>
      <c r="O102" s="355">
        <v>0</v>
      </c>
      <c r="P102" s="355" t="s">
        <v>637</v>
      </c>
      <c r="Q102" s="355">
        <v>144</v>
      </c>
      <c r="R102" s="359">
        <v>46260.690868055557</v>
      </c>
      <c r="Y102" s="286"/>
      <c r="AA102" s="338">
        <f t="shared" si="1"/>
        <v>46254</v>
      </c>
    </row>
    <row r="103" spans="1:27" ht="90" customHeight="1" x14ac:dyDescent="0.3">
      <c r="A103" s="357">
        <v>95</v>
      </c>
      <c r="B103" s="380">
        <v>2117</v>
      </c>
      <c r="C103" s="355" t="s">
        <v>634</v>
      </c>
      <c r="D103" s="355">
        <v>14542</v>
      </c>
      <c r="E103" s="355" t="s">
        <v>11</v>
      </c>
      <c r="F103" s="355" t="s">
        <v>632</v>
      </c>
      <c r="G103" s="355">
        <v>3201010041</v>
      </c>
      <c r="H103" s="355" t="s">
        <v>280</v>
      </c>
      <c r="I103" s="355" t="s">
        <v>14</v>
      </c>
      <c r="J103" s="355">
        <v>150</v>
      </c>
      <c r="K103" s="358">
        <v>44207.13</v>
      </c>
      <c r="L103" s="355">
        <v>75</v>
      </c>
      <c r="M103" s="358">
        <v>22103.56</v>
      </c>
      <c r="N103" s="355">
        <v>75</v>
      </c>
      <c r="O103" s="358">
        <v>22103.56</v>
      </c>
      <c r="P103" s="355" t="s">
        <v>633</v>
      </c>
      <c r="Q103" s="355">
        <v>144</v>
      </c>
      <c r="R103" s="359">
        <v>46196.3596412037</v>
      </c>
      <c r="Y103" s="286"/>
      <c r="AA103" s="338">
        <f t="shared" si="1"/>
        <v>46194</v>
      </c>
    </row>
    <row r="104" spans="1:27" ht="90" customHeight="1" x14ac:dyDescent="0.3">
      <c r="A104" s="357">
        <v>96</v>
      </c>
      <c r="B104" s="380">
        <v>2206</v>
      </c>
      <c r="C104" s="355" t="s">
        <v>638</v>
      </c>
      <c r="D104" s="360">
        <v>1581615726</v>
      </c>
      <c r="E104" s="355" t="s">
        <v>11</v>
      </c>
      <c r="F104" s="355" t="s">
        <v>632</v>
      </c>
      <c r="G104" s="355">
        <v>3201010041</v>
      </c>
      <c r="H104" s="355" t="s">
        <v>280</v>
      </c>
      <c r="I104" s="355" t="s">
        <v>14</v>
      </c>
      <c r="J104" s="355">
        <v>150</v>
      </c>
      <c r="K104" s="358">
        <v>44207.13</v>
      </c>
      <c r="L104" s="355">
        <v>50</v>
      </c>
      <c r="M104" s="358">
        <v>14735.71</v>
      </c>
      <c r="N104" s="355">
        <v>100</v>
      </c>
      <c r="O104" s="358">
        <v>29471.42</v>
      </c>
      <c r="P104" s="355" t="s">
        <v>633</v>
      </c>
      <c r="Q104" s="355">
        <v>144</v>
      </c>
      <c r="R104" s="359">
        <v>46228.398125</v>
      </c>
      <c r="Y104" s="286"/>
      <c r="AA104" s="338">
        <f t="shared" si="1"/>
        <v>46225</v>
      </c>
    </row>
    <row r="105" spans="1:27" ht="90" customHeight="1" x14ac:dyDescent="0.3">
      <c r="A105" s="357">
        <v>97</v>
      </c>
      <c r="B105" s="380">
        <v>2283</v>
      </c>
      <c r="C105" s="355" t="s">
        <v>636</v>
      </c>
      <c r="D105" s="357"/>
      <c r="E105" s="355" t="s">
        <v>11</v>
      </c>
      <c r="F105" s="355" t="s">
        <v>632</v>
      </c>
      <c r="G105" s="355">
        <v>3201010041</v>
      </c>
      <c r="H105" s="355" t="s">
        <v>280</v>
      </c>
      <c r="I105" s="355" t="s">
        <v>14</v>
      </c>
      <c r="J105" s="355">
        <v>0</v>
      </c>
      <c r="K105" s="355">
        <v>0</v>
      </c>
      <c r="L105" s="281"/>
      <c r="M105" s="355">
        <v>0</v>
      </c>
      <c r="N105" s="355">
        <v>0</v>
      </c>
      <c r="O105" s="355">
        <v>0</v>
      </c>
      <c r="P105" s="355" t="s">
        <v>637</v>
      </c>
      <c r="Q105" s="355">
        <v>144</v>
      </c>
      <c r="R105" s="359">
        <v>46260.690868055557</v>
      </c>
      <c r="Y105" s="286"/>
      <c r="AA105" s="338">
        <f t="shared" si="1"/>
        <v>46254</v>
      </c>
    </row>
    <row r="106" spans="1:27" ht="90" customHeight="1" x14ac:dyDescent="0.3">
      <c r="A106" s="357">
        <v>98</v>
      </c>
      <c r="B106" s="380">
        <v>2117</v>
      </c>
      <c r="C106" s="355" t="s">
        <v>634</v>
      </c>
      <c r="D106" s="357"/>
      <c r="E106" s="355" t="s">
        <v>11</v>
      </c>
      <c r="F106" s="355" t="s">
        <v>632</v>
      </c>
      <c r="G106" s="355">
        <v>3201010042</v>
      </c>
      <c r="H106" s="355" t="s">
        <v>281</v>
      </c>
      <c r="I106" s="355" t="s">
        <v>14</v>
      </c>
      <c r="J106" s="355">
        <v>150</v>
      </c>
      <c r="K106" s="358">
        <v>44461.37</v>
      </c>
      <c r="L106" s="281"/>
      <c r="M106" s="355">
        <v>0</v>
      </c>
      <c r="N106" s="355">
        <v>150</v>
      </c>
      <c r="O106" s="358">
        <v>44461.37</v>
      </c>
      <c r="P106" s="355" t="s">
        <v>633</v>
      </c>
      <c r="Q106" s="355">
        <v>144</v>
      </c>
      <c r="R106" s="359">
        <v>46196.3596412037</v>
      </c>
      <c r="Y106" s="286"/>
      <c r="AA106" s="338">
        <f t="shared" si="1"/>
        <v>46194</v>
      </c>
    </row>
    <row r="107" spans="1:27" ht="90" customHeight="1" x14ac:dyDescent="0.3">
      <c r="A107" s="357">
        <v>99</v>
      </c>
      <c r="B107" s="380">
        <v>2206</v>
      </c>
      <c r="C107" s="355" t="s">
        <v>638</v>
      </c>
      <c r="D107" s="355">
        <v>15816</v>
      </c>
      <c r="E107" s="355" t="s">
        <v>11</v>
      </c>
      <c r="F107" s="355" t="s">
        <v>632</v>
      </c>
      <c r="G107" s="355">
        <v>3201010042</v>
      </c>
      <c r="H107" s="355" t="s">
        <v>281</v>
      </c>
      <c r="I107" s="355" t="s">
        <v>14</v>
      </c>
      <c r="J107" s="355">
        <v>150</v>
      </c>
      <c r="K107" s="358">
        <v>44461.37</v>
      </c>
      <c r="L107" s="355">
        <v>60</v>
      </c>
      <c r="M107" s="358">
        <v>17784.55</v>
      </c>
      <c r="N107" s="355">
        <v>90</v>
      </c>
      <c r="O107" s="358">
        <v>26676.82</v>
      </c>
      <c r="P107" s="355" t="s">
        <v>633</v>
      </c>
      <c r="Q107" s="355">
        <v>144</v>
      </c>
      <c r="R107" s="359">
        <v>46228.398125</v>
      </c>
      <c r="Y107" s="286"/>
      <c r="AA107" s="338">
        <f t="shared" si="1"/>
        <v>46225</v>
      </c>
    </row>
    <row r="108" spans="1:27" ht="90" customHeight="1" x14ac:dyDescent="0.3">
      <c r="A108" s="357">
        <v>100</v>
      </c>
      <c r="B108" s="380">
        <v>2283</v>
      </c>
      <c r="C108" s="355" t="s">
        <v>636</v>
      </c>
      <c r="D108" s="357"/>
      <c r="E108" s="355" t="s">
        <v>11</v>
      </c>
      <c r="F108" s="355" t="s">
        <v>632</v>
      </c>
      <c r="G108" s="355">
        <v>3201010042</v>
      </c>
      <c r="H108" s="355" t="s">
        <v>281</v>
      </c>
      <c r="I108" s="355" t="s">
        <v>14</v>
      </c>
      <c r="J108" s="355">
        <v>0</v>
      </c>
      <c r="K108" s="355">
        <v>0</v>
      </c>
      <c r="L108" s="281"/>
      <c r="M108" s="355">
        <v>0</v>
      </c>
      <c r="N108" s="355">
        <v>0</v>
      </c>
      <c r="O108" s="355">
        <v>0</v>
      </c>
      <c r="P108" s="355" t="s">
        <v>637</v>
      </c>
      <c r="Q108" s="355">
        <v>144</v>
      </c>
      <c r="R108" s="359">
        <v>46260.690868055557</v>
      </c>
      <c r="Y108" s="286"/>
      <c r="AA108" s="338">
        <f t="shared" si="1"/>
        <v>46254</v>
      </c>
    </row>
    <row r="109" spans="1:27" ht="30.75" customHeight="1" x14ac:dyDescent="0.3">
      <c r="A109" s="357">
        <v>101</v>
      </c>
      <c r="B109" s="380">
        <v>2117</v>
      </c>
      <c r="C109" s="355" t="s">
        <v>634</v>
      </c>
      <c r="D109" s="357"/>
      <c r="E109" s="355" t="s">
        <v>11</v>
      </c>
      <c r="F109" s="355" t="s">
        <v>632</v>
      </c>
      <c r="G109" s="355">
        <v>3201010043</v>
      </c>
      <c r="H109" s="355" t="s">
        <v>282</v>
      </c>
      <c r="I109" s="355" t="s">
        <v>14</v>
      </c>
      <c r="J109" s="355">
        <v>50</v>
      </c>
      <c r="K109" s="358">
        <v>16018.69</v>
      </c>
      <c r="L109" s="281"/>
      <c r="M109" s="355">
        <v>0</v>
      </c>
      <c r="N109" s="355">
        <v>50</v>
      </c>
      <c r="O109" s="358">
        <v>16018.69</v>
      </c>
      <c r="P109" s="355" t="s">
        <v>633</v>
      </c>
      <c r="Q109" s="355">
        <v>144</v>
      </c>
      <c r="R109" s="359">
        <v>46196.3596412037</v>
      </c>
      <c r="Y109" s="286"/>
      <c r="AA109" s="338">
        <f t="shared" si="1"/>
        <v>46194</v>
      </c>
    </row>
    <row r="110" spans="1:27" ht="120" customHeight="1" x14ac:dyDescent="0.3">
      <c r="A110" s="357">
        <v>102</v>
      </c>
      <c r="B110" s="380">
        <v>2206</v>
      </c>
      <c r="C110" s="355" t="s">
        <v>638</v>
      </c>
      <c r="D110" s="357"/>
      <c r="E110" s="355" t="s">
        <v>11</v>
      </c>
      <c r="F110" s="355" t="s">
        <v>632</v>
      </c>
      <c r="G110" s="355">
        <v>3201010043</v>
      </c>
      <c r="H110" s="355" t="s">
        <v>282</v>
      </c>
      <c r="I110" s="355" t="s">
        <v>14</v>
      </c>
      <c r="J110" s="355">
        <v>50</v>
      </c>
      <c r="K110" s="358">
        <v>16018.69</v>
      </c>
      <c r="L110" s="281"/>
      <c r="M110" s="355">
        <v>0</v>
      </c>
      <c r="N110" s="355">
        <v>50</v>
      </c>
      <c r="O110" s="358">
        <v>16018.69</v>
      </c>
      <c r="P110" s="355" t="s">
        <v>633</v>
      </c>
      <c r="Q110" s="355">
        <v>144</v>
      </c>
      <c r="R110" s="359">
        <v>46228.398125</v>
      </c>
      <c r="Y110" s="286"/>
      <c r="AA110" s="338">
        <f t="shared" si="1"/>
        <v>46225</v>
      </c>
    </row>
    <row r="111" spans="1:27" ht="23.25" customHeight="1" x14ac:dyDescent="0.3">
      <c r="A111" s="357">
        <v>103</v>
      </c>
      <c r="B111" s="380">
        <v>2283</v>
      </c>
      <c r="C111" s="355" t="s">
        <v>636</v>
      </c>
      <c r="D111" s="357"/>
      <c r="E111" s="355" t="s">
        <v>11</v>
      </c>
      <c r="F111" s="355" t="s">
        <v>632</v>
      </c>
      <c r="G111" s="355">
        <v>3201010043</v>
      </c>
      <c r="H111" s="355" t="s">
        <v>282</v>
      </c>
      <c r="I111" s="355" t="s">
        <v>14</v>
      </c>
      <c r="J111" s="355">
        <v>0</v>
      </c>
      <c r="K111" s="355">
        <v>0</v>
      </c>
      <c r="L111" s="281"/>
      <c r="M111" s="355">
        <v>0</v>
      </c>
      <c r="N111" s="355">
        <v>0</v>
      </c>
      <c r="O111" s="355">
        <v>0</v>
      </c>
      <c r="P111" s="355" t="s">
        <v>637</v>
      </c>
      <c r="Q111" s="355">
        <v>144</v>
      </c>
      <c r="R111" s="359">
        <v>46260.690868055557</v>
      </c>
      <c r="Y111" s="286"/>
      <c r="AA111" s="338">
        <f t="shared" si="1"/>
        <v>46254</v>
      </c>
    </row>
    <row r="112" spans="1:27" ht="60" customHeight="1" x14ac:dyDescent="0.3">
      <c r="A112" s="357">
        <v>104</v>
      </c>
      <c r="B112" s="380">
        <v>2117</v>
      </c>
      <c r="C112" s="355" t="s">
        <v>634</v>
      </c>
      <c r="D112" s="357"/>
      <c r="E112" s="355" t="s">
        <v>11</v>
      </c>
      <c r="F112" s="355" t="s">
        <v>632</v>
      </c>
      <c r="G112" s="355">
        <v>3201010051</v>
      </c>
      <c r="H112" s="355" t="s">
        <v>284</v>
      </c>
      <c r="I112" s="355" t="s">
        <v>41</v>
      </c>
      <c r="J112" s="355">
        <v>1050</v>
      </c>
      <c r="K112" s="355">
        <v>333.91</v>
      </c>
      <c r="L112" s="281"/>
      <c r="M112" s="355">
        <v>0</v>
      </c>
      <c r="N112" s="355">
        <v>1050</v>
      </c>
      <c r="O112" s="355">
        <v>333.91</v>
      </c>
      <c r="P112" s="355" t="s">
        <v>633</v>
      </c>
      <c r="Q112" s="355">
        <v>144</v>
      </c>
      <c r="R112" s="359">
        <v>46196.3596412037</v>
      </c>
      <c r="Y112" s="286"/>
      <c r="AA112" s="338">
        <f t="shared" si="1"/>
        <v>46194</v>
      </c>
    </row>
    <row r="113" spans="1:27" ht="23.25" customHeight="1" x14ac:dyDescent="0.3">
      <c r="A113" s="357">
        <v>105</v>
      </c>
      <c r="B113" s="380">
        <v>2174</v>
      </c>
      <c r="C113" s="361">
        <v>46241</v>
      </c>
      <c r="D113" s="357"/>
      <c r="E113" s="355" t="s">
        <v>11</v>
      </c>
      <c r="F113" s="355" t="s">
        <v>632</v>
      </c>
      <c r="G113" s="355">
        <v>3201010051</v>
      </c>
      <c r="H113" s="355" t="s">
        <v>284</v>
      </c>
      <c r="I113" s="355" t="s">
        <v>41</v>
      </c>
      <c r="J113" s="355">
        <v>2000</v>
      </c>
      <c r="K113" s="355">
        <v>636.02</v>
      </c>
      <c r="L113" s="281"/>
      <c r="M113" s="355">
        <v>0</v>
      </c>
      <c r="N113" s="355">
        <v>2000</v>
      </c>
      <c r="O113" s="355">
        <v>636.02</v>
      </c>
      <c r="P113" s="355" t="s">
        <v>637</v>
      </c>
      <c r="Q113" s="355">
        <v>144</v>
      </c>
      <c r="R113" s="359">
        <v>46211.671712962961</v>
      </c>
      <c r="Y113" s="286"/>
      <c r="AA113" s="338">
        <f t="shared" si="1"/>
        <v>46241</v>
      </c>
    </row>
    <row r="114" spans="1:27" ht="60" customHeight="1" x14ac:dyDescent="0.3">
      <c r="A114" s="357">
        <v>106</v>
      </c>
      <c r="B114" s="380">
        <v>2283</v>
      </c>
      <c r="C114" s="355" t="s">
        <v>636</v>
      </c>
      <c r="D114" s="357"/>
      <c r="E114" s="355" t="s">
        <v>11</v>
      </c>
      <c r="F114" s="355" t="s">
        <v>632</v>
      </c>
      <c r="G114" s="355">
        <v>3201010051</v>
      </c>
      <c r="H114" s="355" t="s">
        <v>284</v>
      </c>
      <c r="I114" s="355" t="s">
        <v>41</v>
      </c>
      <c r="J114" s="355">
        <v>2500</v>
      </c>
      <c r="K114" s="355">
        <v>795.02</v>
      </c>
      <c r="L114" s="281"/>
      <c r="M114" s="355">
        <v>0</v>
      </c>
      <c r="N114" s="355">
        <v>2500</v>
      </c>
      <c r="O114" s="355">
        <v>795.02</v>
      </c>
      <c r="P114" s="355" t="s">
        <v>637</v>
      </c>
      <c r="Q114" s="355">
        <v>144</v>
      </c>
      <c r="R114" s="359">
        <v>46260.690868055557</v>
      </c>
      <c r="Y114" s="286"/>
      <c r="AA114" s="338">
        <f t="shared" si="1"/>
        <v>46254</v>
      </c>
    </row>
    <row r="115" spans="1:27" ht="60" customHeight="1" x14ac:dyDescent="0.3">
      <c r="A115" s="357">
        <v>107</v>
      </c>
      <c r="B115" s="380">
        <v>2117</v>
      </c>
      <c r="C115" s="355" t="s">
        <v>634</v>
      </c>
      <c r="D115" s="357"/>
      <c r="E115" s="355" t="s">
        <v>11</v>
      </c>
      <c r="F115" s="355" t="s">
        <v>632</v>
      </c>
      <c r="G115" s="355">
        <v>3201010057</v>
      </c>
      <c r="H115" s="355" t="s">
        <v>289</v>
      </c>
      <c r="I115" s="355" t="s">
        <v>41</v>
      </c>
      <c r="J115" s="355">
        <v>525</v>
      </c>
      <c r="K115" s="358">
        <v>34647.47</v>
      </c>
      <c r="L115" s="281"/>
      <c r="M115" s="355">
        <v>0</v>
      </c>
      <c r="N115" s="355">
        <v>525</v>
      </c>
      <c r="O115" s="358">
        <v>34647.47</v>
      </c>
      <c r="P115" s="355" t="s">
        <v>633</v>
      </c>
      <c r="Q115" s="355">
        <v>144</v>
      </c>
      <c r="R115" s="359">
        <v>46196.3596412037</v>
      </c>
      <c r="Y115" s="286"/>
      <c r="AA115" s="338">
        <f t="shared" si="1"/>
        <v>46194</v>
      </c>
    </row>
    <row r="116" spans="1:27" ht="60" customHeight="1" x14ac:dyDescent="0.3">
      <c r="A116" s="357">
        <v>108</v>
      </c>
      <c r="B116" s="380">
        <v>2283</v>
      </c>
      <c r="C116" s="355" t="s">
        <v>636</v>
      </c>
      <c r="D116" s="357"/>
      <c r="E116" s="355" t="s">
        <v>11</v>
      </c>
      <c r="F116" s="355" t="s">
        <v>632</v>
      </c>
      <c r="G116" s="355">
        <v>3201010057</v>
      </c>
      <c r="H116" s="355" t="s">
        <v>289</v>
      </c>
      <c r="I116" s="355" t="s">
        <v>41</v>
      </c>
      <c r="J116" s="355">
        <v>1050</v>
      </c>
      <c r="K116" s="358">
        <v>69294.94</v>
      </c>
      <c r="L116" s="281"/>
      <c r="M116" s="355">
        <v>0</v>
      </c>
      <c r="N116" s="355">
        <v>1050</v>
      </c>
      <c r="O116" s="358">
        <v>69294.94</v>
      </c>
      <c r="P116" s="355" t="s">
        <v>637</v>
      </c>
      <c r="Q116" s="355">
        <v>144</v>
      </c>
      <c r="R116" s="359">
        <v>46260.690868055557</v>
      </c>
      <c r="Y116" s="286"/>
      <c r="AA116" s="338">
        <f t="shared" si="1"/>
        <v>46254</v>
      </c>
    </row>
    <row r="117" spans="1:27" ht="60" customHeight="1" x14ac:dyDescent="0.3">
      <c r="A117" s="357">
        <v>109</v>
      </c>
      <c r="B117" s="380">
        <v>2117</v>
      </c>
      <c r="C117" s="355" t="s">
        <v>634</v>
      </c>
      <c r="D117" s="357"/>
      <c r="E117" s="355" t="s">
        <v>11</v>
      </c>
      <c r="F117" s="355" t="s">
        <v>632</v>
      </c>
      <c r="G117" s="355">
        <v>3201010058</v>
      </c>
      <c r="H117" s="355" t="s">
        <v>290</v>
      </c>
      <c r="I117" s="355" t="s">
        <v>41</v>
      </c>
      <c r="J117" s="355">
        <v>525</v>
      </c>
      <c r="K117" s="358">
        <v>23948.48</v>
      </c>
      <c r="L117" s="281"/>
      <c r="M117" s="355">
        <v>0</v>
      </c>
      <c r="N117" s="355">
        <v>525</v>
      </c>
      <c r="O117" s="358">
        <v>23948.48</v>
      </c>
      <c r="P117" s="355" t="s">
        <v>633</v>
      </c>
      <c r="Q117" s="355">
        <v>144</v>
      </c>
      <c r="R117" s="359">
        <v>46196.3596412037</v>
      </c>
      <c r="Y117" s="286"/>
      <c r="AA117" s="338">
        <f t="shared" si="1"/>
        <v>46194</v>
      </c>
    </row>
    <row r="118" spans="1:27" ht="60" customHeight="1" x14ac:dyDescent="0.3">
      <c r="A118" s="357">
        <v>110</v>
      </c>
      <c r="B118" s="380">
        <v>2283</v>
      </c>
      <c r="C118" s="355" t="s">
        <v>636</v>
      </c>
      <c r="D118" s="357"/>
      <c r="E118" s="355" t="s">
        <v>11</v>
      </c>
      <c r="F118" s="355" t="s">
        <v>632</v>
      </c>
      <c r="G118" s="355">
        <v>3201010058</v>
      </c>
      <c r="H118" s="355" t="s">
        <v>290</v>
      </c>
      <c r="I118" s="355" t="s">
        <v>41</v>
      </c>
      <c r="J118" s="355">
        <v>1050</v>
      </c>
      <c r="K118" s="358">
        <v>47896.959999999999</v>
      </c>
      <c r="L118" s="281"/>
      <c r="M118" s="355">
        <v>0</v>
      </c>
      <c r="N118" s="355">
        <v>1050</v>
      </c>
      <c r="O118" s="358">
        <v>47896.959999999999</v>
      </c>
      <c r="P118" s="355" t="s">
        <v>637</v>
      </c>
      <c r="Q118" s="355">
        <v>144</v>
      </c>
      <c r="R118" s="359">
        <v>46260.690868055557</v>
      </c>
      <c r="Y118" s="286"/>
      <c r="AA118" s="338">
        <f t="shared" si="1"/>
        <v>46254</v>
      </c>
    </row>
    <row r="119" spans="1:27" ht="60" customHeight="1" x14ac:dyDescent="0.3">
      <c r="A119" s="357">
        <v>111</v>
      </c>
      <c r="B119" s="380">
        <v>2117</v>
      </c>
      <c r="C119" s="355" t="s">
        <v>634</v>
      </c>
      <c r="D119" s="357"/>
      <c r="E119" s="355" t="s">
        <v>11</v>
      </c>
      <c r="F119" s="355" t="s">
        <v>632</v>
      </c>
      <c r="G119" s="355">
        <v>3201010059</v>
      </c>
      <c r="H119" s="355" t="s">
        <v>291</v>
      </c>
      <c r="I119" s="355" t="s">
        <v>41</v>
      </c>
      <c r="J119" s="355">
        <v>525</v>
      </c>
      <c r="K119" s="355">
        <v>182.61</v>
      </c>
      <c r="L119" s="281"/>
      <c r="M119" s="355">
        <v>0</v>
      </c>
      <c r="N119" s="355">
        <v>525</v>
      </c>
      <c r="O119" s="355">
        <v>182.61</v>
      </c>
      <c r="P119" s="355" t="s">
        <v>633</v>
      </c>
      <c r="Q119" s="355">
        <v>144</v>
      </c>
      <c r="R119" s="359">
        <v>46196.3596412037</v>
      </c>
      <c r="Y119" s="286"/>
      <c r="AA119" s="338">
        <f t="shared" si="1"/>
        <v>46194</v>
      </c>
    </row>
    <row r="120" spans="1:27" ht="60" customHeight="1" x14ac:dyDescent="0.3">
      <c r="A120" s="357">
        <v>112</v>
      </c>
      <c r="B120" s="380">
        <v>2283</v>
      </c>
      <c r="C120" s="355" t="s">
        <v>636</v>
      </c>
      <c r="D120" s="357"/>
      <c r="E120" s="355" t="s">
        <v>11</v>
      </c>
      <c r="F120" s="355" t="s">
        <v>632</v>
      </c>
      <c r="G120" s="355">
        <v>3201010059</v>
      </c>
      <c r="H120" s="355" t="s">
        <v>291</v>
      </c>
      <c r="I120" s="355" t="s">
        <v>41</v>
      </c>
      <c r="J120" s="355">
        <v>2000</v>
      </c>
      <c r="K120" s="355">
        <v>695.65</v>
      </c>
      <c r="L120" s="281"/>
      <c r="M120" s="355">
        <v>0</v>
      </c>
      <c r="N120" s="355">
        <v>2000</v>
      </c>
      <c r="O120" s="355">
        <v>695.65</v>
      </c>
      <c r="P120" s="355" t="s">
        <v>637</v>
      </c>
      <c r="Q120" s="355">
        <v>144</v>
      </c>
      <c r="R120" s="359">
        <v>46260.690868055557</v>
      </c>
      <c r="Y120" s="286"/>
      <c r="AA120" s="338">
        <f t="shared" si="1"/>
        <v>46254</v>
      </c>
    </row>
    <row r="121" spans="1:27" ht="60" customHeight="1" x14ac:dyDescent="0.3">
      <c r="A121" s="357">
        <v>113</v>
      </c>
      <c r="B121" s="380">
        <v>2117</v>
      </c>
      <c r="C121" s="355" t="s">
        <v>634</v>
      </c>
      <c r="D121" s="357"/>
      <c r="E121" s="355" t="s">
        <v>11</v>
      </c>
      <c r="F121" s="355" t="s">
        <v>632</v>
      </c>
      <c r="G121" s="355">
        <v>3201010060</v>
      </c>
      <c r="H121" s="355" t="s">
        <v>292</v>
      </c>
      <c r="I121" s="355" t="s">
        <v>41</v>
      </c>
      <c r="J121" s="355">
        <v>525</v>
      </c>
      <c r="K121" s="358">
        <v>1202.56</v>
      </c>
      <c r="L121" s="281"/>
      <c r="M121" s="355">
        <v>0</v>
      </c>
      <c r="N121" s="355">
        <v>525</v>
      </c>
      <c r="O121" s="358">
        <v>1202.56</v>
      </c>
      <c r="P121" s="355" t="s">
        <v>633</v>
      </c>
      <c r="Q121" s="355">
        <v>144</v>
      </c>
      <c r="R121" s="359">
        <v>46196.3596412037</v>
      </c>
      <c r="Y121" s="286"/>
      <c r="AA121" s="338">
        <f t="shared" si="1"/>
        <v>46194</v>
      </c>
    </row>
    <row r="122" spans="1:27" ht="60" customHeight="1" x14ac:dyDescent="0.3">
      <c r="A122" s="357">
        <v>114</v>
      </c>
      <c r="B122" s="380">
        <v>2283</v>
      </c>
      <c r="C122" s="355" t="s">
        <v>636</v>
      </c>
      <c r="D122" s="357"/>
      <c r="E122" s="355" t="s">
        <v>11</v>
      </c>
      <c r="F122" s="355" t="s">
        <v>632</v>
      </c>
      <c r="G122" s="355">
        <v>3201010060</v>
      </c>
      <c r="H122" s="355" t="s">
        <v>292</v>
      </c>
      <c r="I122" s="355" t="s">
        <v>41</v>
      </c>
      <c r="J122" s="355">
        <v>1050</v>
      </c>
      <c r="K122" s="358">
        <v>2405.12</v>
      </c>
      <c r="L122" s="281"/>
      <c r="M122" s="355">
        <v>0</v>
      </c>
      <c r="N122" s="355">
        <v>1050</v>
      </c>
      <c r="O122" s="358">
        <v>2405.12</v>
      </c>
      <c r="P122" s="355" t="s">
        <v>637</v>
      </c>
      <c r="Q122" s="355">
        <v>144</v>
      </c>
      <c r="R122" s="359">
        <v>46260.690868055557</v>
      </c>
      <c r="Y122" s="286"/>
      <c r="AA122" s="338">
        <f t="shared" si="1"/>
        <v>46254</v>
      </c>
    </row>
    <row r="123" spans="1:27" ht="60" customHeight="1" x14ac:dyDescent="0.3">
      <c r="A123" s="357">
        <v>115</v>
      </c>
      <c r="B123" s="380">
        <v>2111</v>
      </c>
      <c r="C123" s="355" t="s">
        <v>634</v>
      </c>
      <c r="D123" s="360">
        <v>1.47731503914676E+99</v>
      </c>
      <c r="E123" s="355" t="s">
        <v>11</v>
      </c>
      <c r="F123" s="355" t="s">
        <v>632</v>
      </c>
      <c r="G123" s="355">
        <v>3201010063</v>
      </c>
      <c r="H123" s="355" t="s">
        <v>295</v>
      </c>
      <c r="I123" s="355" t="s">
        <v>41</v>
      </c>
      <c r="J123" s="355">
        <v>7100</v>
      </c>
      <c r="K123" s="358">
        <v>569605.22</v>
      </c>
      <c r="L123" s="355">
        <v>7100</v>
      </c>
      <c r="M123" s="358">
        <v>569605.22</v>
      </c>
      <c r="N123" s="355">
        <v>0</v>
      </c>
      <c r="O123" s="355">
        <v>0</v>
      </c>
      <c r="P123" s="355" t="s">
        <v>633</v>
      </c>
      <c r="Q123" s="355">
        <v>144</v>
      </c>
      <c r="R123" s="359">
        <v>46196.358159722222</v>
      </c>
      <c r="Y123" s="286"/>
      <c r="AA123" s="338">
        <f t="shared" si="1"/>
        <v>46194</v>
      </c>
    </row>
    <row r="124" spans="1:27" ht="60" customHeight="1" x14ac:dyDescent="0.3">
      <c r="A124" s="357">
        <v>116</v>
      </c>
      <c r="B124" s="380">
        <v>2155</v>
      </c>
      <c r="C124" s="361">
        <v>46119</v>
      </c>
      <c r="D124" s="360">
        <v>1.5032151641508299E+64</v>
      </c>
      <c r="E124" s="355" t="s">
        <v>11</v>
      </c>
      <c r="F124" s="355" t="s">
        <v>632</v>
      </c>
      <c r="G124" s="355">
        <v>3201010063</v>
      </c>
      <c r="H124" s="355" t="s">
        <v>295</v>
      </c>
      <c r="I124" s="355" t="s">
        <v>41</v>
      </c>
      <c r="J124" s="355">
        <v>3800</v>
      </c>
      <c r="K124" s="358">
        <v>304859.13</v>
      </c>
      <c r="L124" s="355">
        <v>3800</v>
      </c>
      <c r="M124" s="358">
        <v>304859.13</v>
      </c>
      <c r="N124" s="355">
        <v>0</v>
      </c>
      <c r="O124" s="355">
        <v>0</v>
      </c>
      <c r="P124" s="355" t="s">
        <v>633</v>
      </c>
      <c r="Q124" s="355">
        <v>144</v>
      </c>
      <c r="R124" s="359">
        <v>46209.824155092596</v>
      </c>
      <c r="Y124" s="286"/>
      <c r="AA124" s="338">
        <f t="shared" si="1"/>
        <v>46119</v>
      </c>
    </row>
    <row r="125" spans="1:27" ht="60" customHeight="1" x14ac:dyDescent="0.3">
      <c r="A125" s="357">
        <v>117</v>
      </c>
      <c r="B125" s="380">
        <v>2174</v>
      </c>
      <c r="C125" s="361">
        <v>46241</v>
      </c>
      <c r="D125" s="355">
        <v>14786</v>
      </c>
      <c r="E125" s="355" t="s">
        <v>11</v>
      </c>
      <c r="F125" s="355" t="s">
        <v>632</v>
      </c>
      <c r="G125" s="355">
        <v>3201010064</v>
      </c>
      <c r="H125" s="355" t="s">
        <v>296</v>
      </c>
      <c r="I125" s="355" t="s">
        <v>41</v>
      </c>
      <c r="J125" s="355">
        <v>3000</v>
      </c>
      <c r="K125" s="358">
        <v>9026.09</v>
      </c>
      <c r="L125" s="355">
        <v>3000</v>
      </c>
      <c r="M125" s="358">
        <v>9026.09</v>
      </c>
      <c r="N125" s="355">
        <v>0</v>
      </c>
      <c r="O125" s="355">
        <v>0</v>
      </c>
      <c r="P125" s="355" t="s">
        <v>637</v>
      </c>
      <c r="Q125" s="355">
        <v>144</v>
      </c>
      <c r="R125" s="359">
        <v>46211.671712962961</v>
      </c>
      <c r="Y125" s="286"/>
      <c r="AA125" s="338">
        <f t="shared" si="1"/>
        <v>46241</v>
      </c>
    </row>
    <row r="126" spans="1:27" ht="75" customHeight="1" x14ac:dyDescent="0.3">
      <c r="A126" s="357">
        <v>118</v>
      </c>
      <c r="B126" s="380">
        <v>2111</v>
      </c>
      <c r="C126" s="355" t="s">
        <v>634</v>
      </c>
      <c r="D126" s="360">
        <v>1466414793</v>
      </c>
      <c r="E126" s="355" t="s">
        <v>11</v>
      </c>
      <c r="F126" s="355" t="s">
        <v>632</v>
      </c>
      <c r="G126" s="355">
        <v>3201010066</v>
      </c>
      <c r="H126" s="355" t="s">
        <v>298</v>
      </c>
      <c r="I126" s="355" t="s">
        <v>41</v>
      </c>
      <c r="J126" s="355">
        <v>7100</v>
      </c>
      <c r="K126" s="358">
        <v>10372.42</v>
      </c>
      <c r="L126" s="355">
        <v>7100</v>
      </c>
      <c r="M126" s="358">
        <v>10372.42</v>
      </c>
      <c r="N126" s="355">
        <v>0</v>
      </c>
      <c r="O126" s="355">
        <v>0</v>
      </c>
      <c r="P126" s="355" t="s">
        <v>633</v>
      </c>
      <c r="Q126" s="355">
        <v>144</v>
      </c>
      <c r="R126" s="359">
        <v>46196.358159722222</v>
      </c>
      <c r="Y126" s="286"/>
      <c r="AA126" s="338">
        <f t="shared" si="1"/>
        <v>46194</v>
      </c>
    </row>
    <row r="127" spans="1:27" ht="75" customHeight="1" x14ac:dyDescent="0.3">
      <c r="A127" s="357">
        <v>119</v>
      </c>
      <c r="B127" s="380">
        <v>2155</v>
      </c>
      <c r="C127" s="361">
        <v>46119</v>
      </c>
      <c r="D127" s="355">
        <v>15164</v>
      </c>
      <c r="E127" s="355" t="s">
        <v>11</v>
      </c>
      <c r="F127" s="355" t="s">
        <v>632</v>
      </c>
      <c r="G127" s="355">
        <v>3201010066</v>
      </c>
      <c r="H127" s="355" t="s">
        <v>298</v>
      </c>
      <c r="I127" s="355" t="s">
        <v>41</v>
      </c>
      <c r="J127" s="355">
        <v>4000</v>
      </c>
      <c r="K127" s="358">
        <v>5843.62</v>
      </c>
      <c r="L127" s="355">
        <v>4000</v>
      </c>
      <c r="M127" s="358">
        <v>5843.62</v>
      </c>
      <c r="N127" s="355">
        <v>0</v>
      </c>
      <c r="O127" s="355">
        <v>0</v>
      </c>
      <c r="P127" s="355" t="s">
        <v>633</v>
      </c>
      <c r="Q127" s="355">
        <v>144</v>
      </c>
      <c r="R127" s="359">
        <v>46209.824155092596</v>
      </c>
      <c r="Y127" s="286"/>
      <c r="AA127" s="338">
        <f t="shared" si="1"/>
        <v>46119</v>
      </c>
    </row>
    <row r="128" spans="1:27" ht="90" customHeight="1" x14ac:dyDescent="0.3">
      <c r="A128" s="357">
        <v>120</v>
      </c>
      <c r="B128" s="380">
        <v>2111</v>
      </c>
      <c r="C128" s="355" t="s">
        <v>634</v>
      </c>
      <c r="D128" s="360">
        <v>1.47921476814727E+29</v>
      </c>
      <c r="E128" s="355" t="s">
        <v>11</v>
      </c>
      <c r="F128" s="355" t="s">
        <v>632</v>
      </c>
      <c r="G128" s="355">
        <v>3201010067</v>
      </c>
      <c r="H128" s="355" t="s">
        <v>299</v>
      </c>
      <c r="I128" s="355" t="s">
        <v>14</v>
      </c>
      <c r="J128" s="355">
        <v>256</v>
      </c>
      <c r="K128" s="358">
        <v>73202.64</v>
      </c>
      <c r="L128" s="355">
        <v>255</v>
      </c>
      <c r="M128" s="358">
        <v>72916.7</v>
      </c>
      <c r="N128" s="355">
        <v>1</v>
      </c>
      <c r="O128" s="355">
        <v>285.95</v>
      </c>
      <c r="P128" s="355" t="s">
        <v>633</v>
      </c>
      <c r="Q128" s="355">
        <v>144</v>
      </c>
      <c r="R128" s="359">
        <v>46196.358159722222</v>
      </c>
      <c r="Y128" s="286"/>
      <c r="AA128" s="338">
        <f t="shared" si="1"/>
        <v>46194</v>
      </c>
    </row>
    <row r="129" spans="1:27" ht="90" customHeight="1" x14ac:dyDescent="0.3">
      <c r="A129" s="357">
        <v>121</v>
      </c>
      <c r="B129" s="380">
        <v>2155</v>
      </c>
      <c r="C129" s="361">
        <v>46119</v>
      </c>
      <c r="D129" s="360">
        <v>1.5189150271505399E+39</v>
      </c>
      <c r="E129" s="355" t="s">
        <v>11</v>
      </c>
      <c r="F129" s="355" t="s">
        <v>632</v>
      </c>
      <c r="G129" s="355">
        <v>3201010067</v>
      </c>
      <c r="H129" s="355" t="s">
        <v>299</v>
      </c>
      <c r="I129" s="355" t="s">
        <v>14</v>
      </c>
      <c r="J129" s="355">
        <v>200</v>
      </c>
      <c r="K129" s="358">
        <v>57189.57</v>
      </c>
      <c r="L129" s="355">
        <v>200</v>
      </c>
      <c r="M129" s="358">
        <v>57189.57</v>
      </c>
      <c r="N129" s="355">
        <v>0</v>
      </c>
      <c r="O129" s="355">
        <v>0</v>
      </c>
      <c r="P129" s="355" t="s">
        <v>633</v>
      </c>
      <c r="Q129" s="355">
        <v>144</v>
      </c>
      <c r="R129" s="359">
        <v>46209.824155092596</v>
      </c>
      <c r="Y129" s="286"/>
      <c r="AA129" s="338">
        <f t="shared" ref="AA129:AA192" si="2">IFERROR(
IF(ISNUMBER(C129),C129,DATE(VALUE(RIGHT(C129,4)),VALUE(MID(SUBSTITUTE(C129,"/","-"),FIND("-",SUBSTITUTE(C129,"/","-"))+1,FIND("-",SUBSTITUTE(C129,"/","-"),FIND("-",SUBSTITUTE(C129,"/","-"))+1)-FIND("-",SUBSTITUTE(C129,"/","-"))-1)),VALUE(LEFT(SUBSTITUTE(C129,"/","-"),FIND("-",SUBSTITUTE(C129,"/","-"))-1)))),
DATE(1995,1,1)
)</f>
        <v>46119</v>
      </c>
    </row>
    <row r="130" spans="1:27" ht="90" customHeight="1" x14ac:dyDescent="0.3">
      <c r="A130" s="357">
        <v>122</v>
      </c>
      <c r="B130" s="380">
        <v>2111</v>
      </c>
      <c r="C130" s="355" t="s">
        <v>634</v>
      </c>
      <c r="D130" s="360">
        <v>1468214720</v>
      </c>
      <c r="E130" s="355" t="s">
        <v>11</v>
      </c>
      <c r="F130" s="355" t="s">
        <v>632</v>
      </c>
      <c r="G130" s="355">
        <v>3201010068</v>
      </c>
      <c r="H130" s="355" t="s">
        <v>300</v>
      </c>
      <c r="I130" s="355" t="s">
        <v>14</v>
      </c>
      <c r="J130" s="355">
        <v>100</v>
      </c>
      <c r="K130" s="358">
        <v>28597.39</v>
      </c>
      <c r="L130" s="355">
        <v>95.8</v>
      </c>
      <c r="M130" s="358">
        <v>27396.3</v>
      </c>
      <c r="N130" s="355">
        <v>4.2</v>
      </c>
      <c r="O130" s="358">
        <v>1201.0899999999999</v>
      </c>
      <c r="P130" s="355" t="s">
        <v>633</v>
      </c>
      <c r="Q130" s="355">
        <v>144</v>
      </c>
      <c r="R130" s="359">
        <v>46196.358159722222</v>
      </c>
      <c r="Y130" s="286"/>
      <c r="AA130" s="338">
        <f t="shared" si="2"/>
        <v>46194</v>
      </c>
    </row>
    <row r="131" spans="1:27" ht="75" customHeight="1" x14ac:dyDescent="0.3">
      <c r="A131" s="357">
        <v>123</v>
      </c>
      <c r="B131" s="380">
        <v>2111</v>
      </c>
      <c r="C131" s="355" t="s">
        <v>634</v>
      </c>
      <c r="D131" s="355">
        <v>14846</v>
      </c>
      <c r="E131" s="355" t="s">
        <v>11</v>
      </c>
      <c r="F131" s="355" t="s">
        <v>632</v>
      </c>
      <c r="G131" s="355">
        <v>3201010071</v>
      </c>
      <c r="H131" s="355" t="s">
        <v>302</v>
      </c>
      <c r="I131" s="355" t="s">
        <v>41</v>
      </c>
      <c r="J131" s="355">
        <v>7100</v>
      </c>
      <c r="K131" s="358">
        <v>9142.2999999999993</v>
      </c>
      <c r="L131" s="355">
        <v>7100</v>
      </c>
      <c r="M131" s="358">
        <v>9142.2999999999993</v>
      </c>
      <c r="N131" s="355">
        <v>0</v>
      </c>
      <c r="O131" s="355">
        <v>0</v>
      </c>
      <c r="P131" s="355" t="s">
        <v>633</v>
      </c>
      <c r="Q131" s="355">
        <v>144</v>
      </c>
      <c r="R131" s="359">
        <v>46196.358159722222</v>
      </c>
      <c r="Y131" s="286"/>
      <c r="AA131" s="338">
        <f t="shared" si="2"/>
        <v>46194</v>
      </c>
    </row>
    <row r="132" spans="1:27" ht="75" customHeight="1" x14ac:dyDescent="0.3">
      <c r="A132" s="357">
        <v>124</v>
      </c>
      <c r="B132" s="380">
        <v>2155</v>
      </c>
      <c r="C132" s="361">
        <v>46119</v>
      </c>
      <c r="D132" s="355">
        <v>14847</v>
      </c>
      <c r="E132" s="355" t="s">
        <v>11</v>
      </c>
      <c r="F132" s="355" t="s">
        <v>632</v>
      </c>
      <c r="G132" s="355">
        <v>3201010071</v>
      </c>
      <c r="H132" s="355" t="s">
        <v>302</v>
      </c>
      <c r="I132" s="355" t="s">
        <v>41</v>
      </c>
      <c r="J132" s="355">
        <v>2000</v>
      </c>
      <c r="K132" s="358">
        <v>2575.3000000000002</v>
      </c>
      <c r="L132" s="355">
        <v>2000</v>
      </c>
      <c r="M132" s="358">
        <v>2575.3000000000002</v>
      </c>
      <c r="N132" s="355">
        <v>0</v>
      </c>
      <c r="O132" s="355">
        <v>0</v>
      </c>
      <c r="P132" s="355" t="s">
        <v>633</v>
      </c>
      <c r="Q132" s="355">
        <v>144</v>
      </c>
      <c r="R132" s="359">
        <v>46209.824155092596</v>
      </c>
      <c r="Y132" s="286"/>
      <c r="AA132" s="338">
        <f t="shared" si="2"/>
        <v>46119</v>
      </c>
    </row>
    <row r="133" spans="1:27" ht="60" customHeight="1" x14ac:dyDescent="0.3">
      <c r="A133" s="357">
        <v>125</v>
      </c>
      <c r="B133" s="380">
        <v>2111</v>
      </c>
      <c r="C133" s="355" t="s">
        <v>634</v>
      </c>
      <c r="D133" s="355">
        <v>14662</v>
      </c>
      <c r="E133" s="355" t="s">
        <v>11</v>
      </c>
      <c r="F133" s="355" t="s">
        <v>632</v>
      </c>
      <c r="G133" s="355">
        <v>3201010072</v>
      </c>
      <c r="H133" s="355" t="s">
        <v>303</v>
      </c>
      <c r="I133" s="355" t="s">
        <v>41</v>
      </c>
      <c r="J133" s="355">
        <v>15000</v>
      </c>
      <c r="K133" s="358">
        <v>14739.13</v>
      </c>
      <c r="L133" s="355">
        <v>15000</v>
      </c>
      <c r="M133" s="358">
        <v>14739.13</v>
      </c>
      <c r="N133" s="355">
        <v>0</v>
      </c>
      <c r="O133" s="355">
        <v>0</v>
      </c>
      <c r="P133" s="355" t="s">
        <v>633</v>
      </c>
      <c r="Q133" s="355">
        <v>144</v>
      </c>
      <c r="R133" s="359">
        <v>46196.358159722222</v>
      </c>
      <c r="Y133" s="286"/>
      <c r="AA133" s="338">
        <f t="shared" si="2"/>
        <v>46194</v>
      </c>
    </row>
    <row r="134" spans="1:27" ht="60" customHeight="1" x14ac:dyDescent="0.3">
      <c r="A134" s="357">
        <v>126</v>
      </c>
      <c r="B134" s="380">
        <v>2155</v>
      </c>
      <c r="C134" s="361">
        <v>46119</v>
      </c>
      <c r="D134" s="355">
        <v>14903</v>
      </c>
      <c r="E134" s="355" t="s">
        <v>11</v>
      </c>
      <c r="F134" s="355" t="s">
        <v>632</v>
      </c>
      <c r="G134" s="355">
        <v>3201010072</v>
      </c>
      <c r="H134" s="355" t="s">
        <v>303</v>
      </c>
      <c r="I134" s="355" t="s">
        <v>41</v>
      </c>
      <c r="J134" s="355">
        <v>5000</v>
      </c>
      <c r="K134" s="358">
        <v>4913.04</v>
      </c>
      <c r="L134" s="355">
        <v>5000</v>
      </c>
      <c r="M134" s="358">
        <v>4913.04</v>
      </c>
      <c r="N134" s="355">
        <v>0</v>
      </c>
      <c r="O134" s="355">
        <v>0</v>
      </c>
      <c r="P134" s="355" t="s">
        <v>633</v>
      </c>
      <c r="Q134" s="355">
        <v>144</v>
      </c>
      <c r="R134" s="359">
        <v>46209.824155092596</v>
      </c>
      <c r="Y134" s="286"/>
      <c r="AA134" s="338">
        <f t="shared" si="2"/>
        <v>46119</v>
      </c>
    </row>
    <row r="135" spans="1:27" ht="60" customHeight="1" x14ac:dyDescent="0.3">
      <c r="A135" s="357">
        <v>127</v>
      </c>
      <c r="B135" s="380">
        <v>2184</v>
      </c>
      <c r="C135" s="361">
        <v>46333</v>
      </c>
      <c r="D135" s="360">
        <v>1541615168</v>
      </c>
      <c r="E135" s="355" t="s">
        <v>11</v>
      </c>
      <c r="F135" s="355" t="s">
        <v>632</v>
      </c>
      <c r="G135" s="355">
        <v>3201010073</v>
      </c>
      <c r="H135" s="355" t="s">
        <v>304</v>
      </c>
      <c r="I135" s="355" t="s">
        <v>41</v>
      </c>
      <c r="J135" s="355">
        <v>1000</v>
      </c>
      <c r="K135" s="358">
        <v>17573.91</v>
      </c>
      <c r="L135" s="355">
        <v>80</v>
      </c>
      <c r="M135" s="358">
        <v>1405.91</v>
      </c>
      <c r="N135" s="355">
        <v>920</v>
      </c>
      <c r="O135" s="358">
        <v>16168</v>
      </c>
      <c r="P135" s="355" t="s">
        <v>633</v>
      </c>
      <c r="Q135" s="355">
        <v>144</v>
      </c>
      <c r="R135" s="359">
        <v>46222.731504629628</v>
      </c>
      <c r="Y135" s="286"/>
      <c r="AA135" s="338">
        <f t="shared" si="2"/>
        <v>46333</v>
      </c>
    </row>
    <row r="136" spans="1:27" ht="60" customHeight="1" x14ac:dyDescent="0.3">
      <c r="A136" s="357">
        <v>128</v>
      </c>
      <c r="B136" s="380">
        <v>2219</v>
      </c>
      <c r="C136" s="355" t="s">
        <v>635</v>
      </c>
      <c r="D136" s="360">
        <v>1.53581534915414E+19</v>
      </c>
      <c r="E136" s="355" t="s">
        <v>11</v>
      </c>
      <c r="F136" s="355" t="s">
        <v>632</v>
      </c>
      <c r="G136" s="355">
        <v>3201010073</v>
      </c>
      <c r="H136" s="355" t="s">
        <v>304</v>
      </c>
      <c r="I136" s="355" t="s">
        <v>41</v>
      </c>
      <c r="J136" s="355">
        <v>3400</v>
      </c>
      <c r="K136" s="358">
        <v>59751.3</v>
      </c>
      <c r="L136" s="355">
        <v>3400</v>
      </c>
      <c r="M136" s="358">
        <v>59751.3</v>
      </c>
      <c r="N136" s="355">
        <v>0</v>
      </c>
      <c r="O136" s="355">
        <v>0</v>
      </c>
      <c r="P136" s="355" t="s">
        <v>633</v>
      </c>
      <c r="Q136" s="355">
        <v>144</v>
      </c>
      <c r="R136" s="359">
        <v>46229.684525462966</v>
      </c>
      <c r="Y136" s="286"/>
      <c r="AA136" s="338">
        <f t="shared" si="2"/>
        <v>46229</v>
      </c>
    </row>
    <row r="137" spans="1:27" ht="60" customHeight="1" x14ac:dyDescent="0.3">
      <c r="A137" s="357">
        <v>129</v>
      </c>
      <c r="B137" s="380">
        <v>2282</v>
      </c>
      <c r="C137" s="355" t="s">
        <v>636</v>
      </c>
      <c r="D137" s="357"/>
      <c r="E137" s="355" t="s">
        <v>11</v>
      </c>
      <c r="F137" s="355" t="s">
        <v>632</v>
      </c>
      <c r="G137" s="355">
        <v>3201010073</v>
      </c>
      <c r="H137" s="355" t="s">
        <v>304</v>
      </c>
      <c r="I137" s="355" t="s">
        <v>41</v>
      </c>
      <c r="J137" s="355">
        <v>3300</v>
      </c>
      <c r="K137" s="358">
        <v>57993.91</v>
      </c>
      <c r="L137" s="281"/>
      <c r="M137" s="355">
        <v>0</v>
      </c>
      <c r="N137" s="355">
        <v>3300</v>
      </c>
      <c r="O137" s="358">
        <v>57993.91</v>
      </c>
      <c r="P137" s="355" t="s">
        <v>637</v>
      </c>
      <c r="Q137" s="355">
        <v>144</v>
      </c>
      <c r="R137" s="359">
        <v>46260.681643518517</v>
      </c>
      <c r="Y137" s="286"/>
      <c r="AA137" s="338">
        <f t="shared" si="2"/>
        <v>46254</v>
      </c>
    </row>
    <row r="138" spans="1:27" ht="60" customHeight="1" x14ac:dyDescent="0.3">
      <c r="A138" s="357">
        <v>130</v>
      </c>
      <c r="B138" s="380">
        <v>2184</v>
      </c>
      <c r="C138" s="361">
        <v>46333</v>
      </c>
      <c r="D138" s="355">
        <v>15037</v>
      </c>
      <c r="E138" s="355" t="s">
        <v>11</v>
      </c>
      <c r="F138" s="355" t="s">
        <v>632</v>
      </c>
      <c r="G138" s="355">
        <v>3201010074</v>
      </c>
      <c r="H138" s="355" t="s">
        <v>305</v>
      </c>
      <c r="I138" s="355" t="s">
        <v>41</v>
      </c>
      <c r="J138" s="355">
        <v>3400</v>
      </c>
      <c r="K138" s="358">
        <v>26608.7</v>
      </c>
      <c r="L138" s="355">
        <v>2252</v>
      </c>
      <c r="M138" s="358">
        <v>17624.349999999999</v>
      </c>
      <c r="N138" s="355">
        <v>1148</v>
      </c>
      <c r="O138" s="358">
        <v>8984.35</v>
      </c>
      <c r="P138" s="355" t="s">
        <v>633</v>
      </c>
      <c r="Q138" s="355">
        <v>144</v>
      </c>
      <c r="R138" s="359">
        <v>46222.731504629628</v>
      </c>
      <c r="Y138" s="286"/>
      <c r="AA138" s="338">
        <f t="shared" si="2"/>
        <v>46333</v>
      </c>
    </row>
    <row r="139" spans="1:27" ht="60" customHeight="1" x14ac:dyDescent="0.3">
      <c r="A139" s="357">
        <v>131</v>
      </c>
      <c r="B139" s="380">
        <v>2219</v>
      </c>
      <c r="C139" s="355" t="s">
        <v>635</v>
      </c>
      <c r="D139" s="355">
        <v>15361</v>
      </c>
      <c r="E139" s="355" t="s">
        <v>11</v>
      </c>
      <c r="F139" s="355" t="s">
        <v>632</v>
      </c>
      <c r="G139" s="355">
        <v>3201010074</v>
      </c>
      <c r="H139" s="355" t="s">
        <v>305</v>
      </c>
      <c r="I139" s="355" t="s">
        <v>41</v>
      </c>
      <c r="J139" s="355">
        <v>6000</v>
      </c>
      <c r="K139" s="358">
        <v>46956.52</v>
      </c>
      <c r="L139" s="355">
        <v>6000</v>
      </c>
      <c r="M139" s="358">
        <v>46956.52</v>
      </c>
      <c r="N139" s="355">
        <v>0</v>
      </c>
      <c r="O139" s="355">
        <v>0</v>
      </c>
      <c r="P139" s="355" t="s">
        <v>633</v>
      </c>
      <c r="Q139" s="355">
        <v>144</v>
      </c>
      <c r="R139" s="359">
        <v>46229.684525462966</v>
      </c>
      <c r="Y139" s="286"/>
      <c r="AA139" s="338">
        <f t="shared" si="2"/>
        <v>46229</v>
      </c>
    </row>
    <row r="140" spans="1:27" ht="60" customHeight="1" x14ac:dyDescent="0.3">
      <c r="A140" s="357">
        <v>132</v>
      </c>
      <c r="B140" s="380">
        <v>2282</v>
      </c>
      <c r="C140" s="355" t="s">
        <v>636</v>
      </c>
      <c r="D140" s="357"/>
      <c r="E140" s="355" t="s">
        <v>11</v>
      </c>
      <c r="F140" s="355" t="s">
        <v>632</v>
      </c>
      <c r="G140" s="355">
        <v>3201010074</v>
      </c>
      <c r="H140" s="355" t="s">
        <v>305</v>
      </c>
      <c r="I140" s="355" t="s">
        <v>41</v>
      </c>
      <c r="J140" s="355">
        <v>6130</v>
      </c>
      <c r="K140" s="358">
        <v>47973.91</v>
      </c>
      <c r="L140" s="281"/>
      <c r="M140" s="355">
        <v>0</v>
      </c>
      <c r="N140" s="355">
        <v>6130</v>
      </c>
      <c r="O140" s="358">
        <v>47973.91</v>
      </c>
      <c r="P140" s="355" t="s">
        <v>637</v>
      </c>
      <c r="Q140" s="355">
        <v>144</v>
      </c>
      <c r="R140" s="359">
        <v>46260.681643518517</v>
      </c>
      <c r="Y140" s="286"/>
      <c r="AA140" s="338">
        <f t="shared" si="2"/>
        <v>46254</v>
      </c>
    </row>
    <row r="141" spans="1:27" ht="60" customHeight="1" x14ac:dyDescent="0.3">
      <c r="A141" s="357">
        <v>133</v>
      </c>
      <c r="B141" s="380">
        <v>2184</v>
      </c>
      <c r="C141" s="361">
        <v>46333</v>
      </c>
      <c r="D141" s="355">
        <v>15037</v>
      </c>
      <c r="E141" s="355" t="s">
        <v>11</v>
      </c>
      <c r="F141" s="355" t="s">
        <v>632</v>
      </c>
      <c r="G141" s="355">
        <v>3201010075</v>
      </c>
      <c r="H141" s="355" t="s">
        <v>306</v>
      </c>
      <c r="I141" s="355" t="s">
        <v>41</v>
      </c>
      <c r="J141" s="355">
        <v>2000</v>
      </c>
      <c r="K141" s="358">
        <v>15652.17</v>
      </c>
      <c r="L141" s="355">
        <v>2000</v>
      </c>
      <c r="M141" s="358">
        <v>15652.17</v>
      </c>
      <c r="N141" s="355">
        <v>0</v>
      </c>
      <c r="O141" s="355">
        <v>0</v>
      </c>
      <c r="P141" s="355" t="s">
        <v>633</v>
      </c>
      <c r="Q141" s="355">
        <v>144</v>
      </c>
      <c r="R141" s="359">
        <v>46222.731504629628</v>
      </c>
      <c r="Y141" s="286"/>
      <c r="AA141" s="338">
        <f t="shared" si="2"/>
        <v>46333</v>
      </c>
    </row>
    <row r="142" spans="1:27" ht="60" customHeight="1" x14ac:dyDescent="0.3">
      <c r="A142" s="357">
        <v>134</v>
      </c>
      <c r="B142" s="380">
        <v>2219</v>
      </c>
      <c r="C142" s="355" t="s">
        <v>635</v>
      </c>
      <c r="D142" s="360">
        <v>153341536115349</v>
      </c>
      <c r="E142" s="355" t="s">
        <v>11</v>
      </c>
      <c r="F142" s="355" t="s">
        <v>632</v>
      </c>
      <c r="G142" s="355">
        <v>3201010075</v>
      </c>
      <c r="H142" s="355" t="s">
        <v>306</v>
      </c>
      <c r="I142" s="355" t="s">
        <v>41</v>
      </c>
      <c r="J142" s="355">
        <v>7100</v>
      </c>
      <c r="K142" s="358">
        <v>55565.22</v>
      </c>
      <c r="L142" s="355">
        <v>6272</v>
      </c>
      <c r="M142" s="358">
        <v>49085.22</v>
      </c>
      <c r="N142" s="355">
        <v>828</v>
      </c>
      <c r="O142" s="358">
        <v>6480</v>
      </c>
      <c r="P142" s="355" t="s">
        <v>633</v>
      </c>
      <c r="Q142" s="355">
        <v>144</v>
      </c>
      <c r="R142" s="359">
        <v>46229.684525462966</v>
      </c>
      <c r="Y142" s="286"/>
      <c r="AA142" s="338">
        <f t="shared" si="2"/>
        <v>46229</v>
      </c>
    </row>
    <row r="143" spans="1:27" ht="60" customHeight="1" x14ac:dyDescent="0.3">
      <c r="A143" s="357">
        <v>135</v>
      </c>
      <c r="B143" s="380">
        <v>2282</v>
      </c>
      <c r="C143" s="355" t="s">
        <v>636</v>
      </c>
      <c r="D143" s="357"/>
      <c r="E143" s="355" t="s">
        <v>11</v>
      </c>
      <c r="F143" s="355" t="s">
        <v>632</v>
      </c>
      <c r="G143" s="355">
        <v>3201010075</v>
      </c>
      <c r="H143" s="355" t="s">
        <v>306</v>
      </c>
      <c r="I143" s="355" t="s">
        <v>41</v>
      </c>
      <c r="J143" s="355">
        <v>7010</v>
      </c>
      <c r="K143" s="358">
        <v>54860.87</v>
      </c>
      <c r="L143" s="281"/>
      <c r="M143" s="355">
        <v>0</v>
      </c>
      <c r="N143" s="355">
        <v>7010</v>
      </c>
      <c r="O143" s="358">
        <v>54860.87</v>
      </c>
      <c r="P143" s="355" t="s">
        <v>637</v>
      </c>
      <c r="Q143" s="355">
        <v>144</v>
      </c>
      <c r="R143" s="359">
        <v>46260.681643518517</v>
      </c>
      <c r="Y143" s="286"/>
      <c r="AA143" s="338">
        <f t="shared" si="2"/>
        <v>46254</v>
      </c>
    </row>
    <row r="144" spans="1:27" ht="75" customHeight="1" x14ac:dyDescent="0.3">
      <c r="A144" s="357">
        <v>136</v>
      </c>
      <c r="B144" s="380">
        <v>2219</v>
      </c>
      <c r="C144" s="355" t="s">
        <v>635</v>
      </c>
      <c r="D144" s="355">
        <v>15334</v>
      </c>
      <c r="E144" s="355" t="s">
        <v>11</v>
      </c>
      <c r="F144" s="355" t="s">
        <v>632</v>
      </c>
      <c r="G144" s="355">
        <v>3201010076</v>
      </c>
      <c r="H144" s="355" t="s">
        <v>307</v>
      </c>
      <c r="I144" s="355" t="s">
        <v>41</v>
      </c>
      <c r="J144" s="355">
        <v>71900</v>
      </c>
      <c r="K144" s="358">
        <v>12504.35</v>
      </c>
      <c r="L144" s="355">
        <v>71900</v>
      </c>
      <c r="M144" s="358">
        <v>12504.35</v>
      </c>
      <c r="N144" s="355">
        <v>0</v>
      </c>
      <c r="O144" s="355">
        <v>0</v>
      </c>
      <c r="P144" s="355" t="s">
        <v>633</v>
      </c>
      <c r="Q144" s="355">
        <v>144</v>
      </c>
      <c r="R144" s="359">
        <v>46229.684525462966</v>
      </c>
      <c r="Y144" s="286"/>
      <c r="AA144" s="338">
        <f t="shared" si="2"/>
        <v>46229</v>
      </c>
    </row>
    <row r="145" spans="1:27" ht="75" customHeight="1" x14ac:dyDescent="0.3">
      <c r="A145" s="357">
        <v>137</v>
      </c>
      <c r="B145" s="380">
        <v>2282</v>
      </c>
      <c r="C145" s="355" t="s">
        <v>636</v>
      </c>
      <c r="D145" s="357"/>
      <c r="E145" s="355" t="s">
        <v>11</v>
      </c>
      <c r="F145" s="355" t="s">
        <v>632</v>
      </c>
      <c r="G145" s="355">
        <v>3201010076</v>
      </c>
      <c r="H145" s="355" t="s">
        <v>307</v>
      </c>
      <c r="I145" s="355" t="s">
        <v>41</v>
      </c>
      <c r="J145" s="355">
        <v>73500</v>
      </c>
      <c r="K145" s="358">
        <v>12782.61</v>
      </c>
      <c r="L145" s="281"/>
      <c r="M145" s="355">
        <v>0</v>
      </c>
      <c r="N145" s="355">
        <v>73500</v>
      </c>
      <c r="O145" s="358">
        <v>12782.61</v>
      </c>
      <c r="P145" s="355" t="s">
        <v>637</v>
      </c>
      <c r="Q145" s="355">
        <v>144</v>
      </c>
      <c r="R145" s="359">
        <v>46260.681643518517</v>
      </c>
      <c r="Y145" s="286"/>
      <c r="AA145" s="338">
        <f t="shared" si="2"/>
        <v>46254</v>
      </c>
    </row>
    <row r="146" spans="1:27" ht="75" customHeight="1" x14ac:dyDescent="0.3">
      <c r="A146" s="357">
        <v>138</v>
      </c>
      <c r="B146" s="380">
        <v>2219</v>
      </c>
      <c r="C146" s="355" t="s">
        <v>635</v>
      </c>
      <c r="D146" s="355">
        <v>15334</v>
      </c>
      <c r="E146" s="355" t="s">
        <v>11</v>
      </c>
      <c r="F146" s="355" t="s">
        <v>632</v>
      </c>
      <c r="G146" s="355">
        <v>3201010077</v>
      </c>
      <c r="H146" s="355" t="s">
        <v>308</v>
      </c>
      <c r="I146" s="355" t="s">
        <v>41</v>
      </c>
      <c r="J146" s="355">
        <v>85600</v>
      </c>
      <c r="K146" s="358">
        <v>14886.96</v>
      </c>
      <c r="L146" s="355">
        <v>85600</v>
      </c>
      <c r="M146" s="358">
        <v>14886.96</v>
      </c>
      <c r="N146" s="355">
        <v>0</v>
      </c>
      <c r="O146" s="355">
        <v>0</v>
      </c>
      <c r="P146" s="355" t="s">
        <v>633</v>
      </c>
      <c r="Q146" s="355">
        <v>144</v>
      </c>
      <c r="R146" s="359">
        <v>46229.684525462966</v>
      </c>
      <c r="Y146" s="286"/>
      <c r="AA146" s="338">
        <f t="shared" si="2"/>
        <v>46229</v>
      </c>
    </row>
    <row r="147" spans="1:27" ht="75" customHeight="1" x14ac:dyDescent="0.3">
      <c r="A147" s="357">
        <v>139</v>
      </c>
      <c r="B147" s="380">
        <v>2282</v>
      </c>
      <c r="C147" s="355" t="s">
        <v>636</v>
      </c>
      <c r="D147" s="357"/>
      <c r="E147" s="355" t="s">
        <v>11</v>
      </c>
      <c r="F147" s="355" t="s">
        <v>632</v>
      </c>
      <c r="G147" s="355">
        <v>3201010077</v>
      </c>
      <c r="H147" s="355" t="s">
        <v>308</v>
      </c>
      <c r="I147" s="355" t="s">
        <v>41</v>
      </c>
      <c r="J147" s="355">
        <v>50000</v>
      </c>
      <c r="K147" s="358">
        <v>8695.65</v>
      </c>
      <c r="L147" s="281"/>
      <c r="M147" s="355">
        <v>0</v>
      </c>
      <c r="N147" s="355">
        <v>50000</v>
      </c>
      <c r="O147" s="358">
        <v>8695.65</v>
      </c>
      <c r="P147" s="355" t="s">
        <v>637</v>
      </c>
      <c r="Q147" s="355">
        <v>144</v>
      </c>
      <c r="R147" s="359">
        <v>46260.681643518517</v>
      </c>
      <c r="Y147" s="286"/>
      <c r="AA147" s="338">
        <f t="shared" si="2"/>
        <v>46254</v>
      </c>
    </row>
    <row r="148" spans="1:27" ht="75" customHeight="1" x14ac:dyDescent="0.3">
      <c r="A148" s="357">
        <v>140</v>
      </c>
      <c r="B148" s="380">
        <v>2170</v>
      </c>
      <c r="C148" s="361">
        <v>46180</v>
      </c>
      <c r="D148" s="360">
        <v>1.52841501415038E+34</v>
      </c>
      <c r="E148" s="355" t="s">
        <v>11</v>
      </c>
      <c r="F148" s="355" t="s">
        <v>632</v>
      </c>
      <c r="G148" s="355">
        <v>3201010079</v>
      </c>
      <c r="H148" s="355" t="s">
        <v>310</v>
      </c>
      <c r="I148" s="355" t="s">
        <v>41</v>
      </c>
      <c r="J148" s="355">
        <v>5250</v>
      </c>
      <c r="K148" s="358">
        <v>223695.65</v>
      </c>
      <c r="L148" s="355">
        <v>5250</v>
      </c>
      <c r="M148" s="358">
        <v>223695.65</v>
      </c>
      <c r="N148" s="355">
        <v>0</v>
      </c>
      <c r="O148" s="355">
        <v>0</v>
      </c>
      <c r="P148" s="355" t="s">
        <v>633</v>
      </c>
      <c r="Q148" s="355">
        <v>144</v>
      </c>
      <c r="R148" s="359">
        <v>46209.824363425927</v>
      </c>
      <c r="Y148" s="286"/>
      <c r="AA148" s="338">
        <f t="shared" si="2"/>
        <v>46180</v>
      </c>
    </row>
    <row r="149" spans="1:27" ht="75" customHeight="1" x14ac:dyDescent="0.3">
      <c r="A149" s="357">
        <v>141</v>
      </c>
      <c r="B149" s="380">
        <v>2219</v>
      </c>
      <c r="C149" s="355" t="s">
        <v>635</v>
      </c>
      <c r="D149" s="360">
        <v>1.5453156831539601E+44</v>
      </c>
      <c r="E149" s="355" t="s">
        <v>11</v>
      </c>
      <c r="F149" s="355" t="s">
        <v>632</v>
      </c>
      <c r="G149" s="355">
        <v>3201010079</v>
      </c>
      <c r="H149" s="355" t="s">
        <v>310</v>
      </c>
      <c r="I149" s="355" t="s">
        <v>41</v>
      </c>
      <c r="J149" s="355">
        <v>5565</v>
      </c>
      <c r="K149" s="358">
        <v>237117.39</v>
      </c>
      <c r="L149" s="355">
        <v>5561</v>
      </c>
      <c r="M149" s="358">
        <v>236946.96</v>
      </c>
      <c r="N149" s="355">
        <v>4</v>
      </c>
      <c r="O149" s="355">
        <v>170.43</v>
      </c>
      <c r="P149" s="355" t="s">
        <v>633</v>
      </c>
      <c r="Q149" s="355">
        <v>144</v>
      </c>
      <c r="R149" s="359">
        <v>46229.684525462966</v>
      </c>
      <c r="Y149" s="286"/>
      <c r="AA149" s="338">
        <f t="shared" si="2"/>
        <v>46229</v>
      </c>
    </row>
    <row r="150" spans="1:27" ht="75" customHeight="1" x14ac:dyDescent="0.3">
      <c r="A150" s="357">
        <v>142</v>
      </c>
      <c r="B150" s="380">
        <v>2282</v>
      </c>
      <c r="C150" s="355" t="s">
        <v>636</v>
      </c>
      <c r="D150" s="357"/>
      <c r="E150" s="355" t="s">
        <v>11</v>
      </c>
      <c r="F150" s="355" t="s">
        <v>632</v>
      </c>
      <c r="G150" s="355">
        <v>3201010079</v>
      </c>
      <c r="H150" s="355" t="s">
        <v>310</v>
      </c>
      <c r="I150" s="355" t="s">
        <v>41</v>
      </c>
      <c r="J150" s="355">
        <v>7350</v>
      </c>
      <c r="K150" s="358">
        <v>313173.90999999997</v>
      </c>
      <c r="L150" s="281"/>
      <c r="M150" s="355">
        <v>0</v>
      </c>
      <c r="N150" s="355">
        <v>7350</v>
      </c>
      <c r="O150" s="358">
        <v>313173.90999999997</v>
      </c>
      <c r="P150" s="355" t="s">
        <v>637</v>
      </c>
      <c r="Q150" s="355">
        <v>144</v>
      </c>
      <c r="R150" s="359">
        <v>46260.681643518517</v>
      </c>
      <c r="Y150" s="286"/>
      <c r="AA150" s="338">
        <f t="shared" si="2"/>
        <v>46254</v>
      </c>
    </row>
    <row r="151" spans="1:27" ht="75" customHeight="1" x14ac:dyDescent="0.3">
      <c r="A151" s="357">
        <v>143</v>
      </c>
      <c r="B151" s="380">
        <v>2170</v>
      </c>
      <c r="C151" s="361">
        <v>46180</v>
      </c>
      <c r="D151" s="360">
        <v>1.48731506114858E+79</v>
      </c>
      <c r="E151" s="355" t="s">
        <v>11</v>
      </c>
      <c r="F151" s="355" t="s">
        <v>632</v>
      </c>
      <c r="G151" s="355">
        <v>3201010080</v>
      </c>
      <c r="H151" s="355" t="s">
        <v>311</v>
      </c>
      <c r="I151" s="355" t="s">
        <v>41</v>
      </c>
      <c r="J151" s="355">
        <v>10500</v>
      </c>
      <c r="K151" s="358">
        <v>586173.91</v>
      </c>
      <c r="L151" s="355">
        <v>7725</v>
      </c>
      <c r="M151" s="358">
        <v>431256.52</v>
      </c>
      <c r="N151" s="355">
        <v>2775</v>
      </c>
      <c r="O151" s="358">
        <v>154917.39000000001</v>
      </c>
      <c r="P151" s="355" t="s">
        <v>633</v>
      </c>
      <c r="Q151" s="355">
        <v>144</v>
      </c>
      <c r="R151" s="359">
        <v>46209.824363425927</v>
      </c>
      <c r="Y151" s="286"/>
      <c r="AA151" s="338">
        <f t="shared" si="2"/>
        <v>46180</v>
      </c>
    </row>
    <row r="152" spans="1:27" ht="75" customHeight="1" x14ac:dyDescent="0.3">
      <c r="A152" s="357">
        <v>144</v>
      </c>
      <c r="B152" s="380">
        <v>2219</v>
      </c>
      <c r="C152" s="355" t="s">
        <v>635</v>
      </c>
      <c r="D152" s="360">
        <v>1.56311543115449E+34</v>
      </c>
      <c r="E152" s="355" t="s">
        <v>11</v>
      </c>
      <c r="F152" s="355" t="s">
        <v>632</v>
      </c>
      <c r="G152" s="355">
        <v>3201010080</v>
      </c>
      <c r="H152" s="355" t="s">
        <v>311</v>
      </c>
      <c r="I152" s="355" t="s">
        <v>41</v>
      </c>
      <c r="J152" s="355">
        <v>11025</v>
      </c>
      <c r="K152" s="358">
        <v>615482.61</v>
      </c>
      <c r="L152" s="355">
        <v>2316</v>
      </c>
      <c r="M152" s="358">
        <v>129293.22</v>
      </c>
      <c r="N152" s="355">
        <v>8709</v>
      </c>
      <c r="O152" s="358">
        <v>486189.39</v>
      </c>
      <c r="P152" s="355" t="s">
        <v>633</v>
      </c>
      <c r="Q152" s="355">
        <v>144</v>
      </c>
      <c r="R152" s="359">
        <v>46229.684525462966</v>
      </c>
      <c r="Y152" s="286"/>
      <c r="AA152" s="338">
        <f t="shared" si="2"/>
        <v>46229</v>
      </c>
    </row>
    <row r="153" spans="1:27" ht="75" customHeight="1" x14ac:dyDescent="0.3">
      <c r="A153" s="357">
        <v>145</v>
      </c>
      <c r="B153" s="380">
        <v>2282</v>
      </c>
      <c r="C153" s="355" t="s">
        <v>636</v>
      </c>
      <c r="D153" s="357"/>
      <c r="E153" s="355" t="s">
        <v>11</v>
      </c>
      <c r="F153" s="355" t="s">
        <v>632</v>
      </c>
      <c r="G153" s="355">
        <v>3201010080</v>
      </c>
      <c r="H153" s="355" t="s">
        <v>311</v>
      </c>
      <c r="I153" s="355" t="s">
        <v>41</v>
      </c>
      <c r="J153" s="355">
        <v>8400</v>
      </c>
      <c r="K153" s="358">
        <v>468939.13</v>
      </c>
      <c r="L153" s="281"/>
      <c r="M153" s="355">
        <v>0</v>
      </c>
      <c r="N153" s="355">
        <v>8400</v>
      </c>
      <c r="O153" s="358">
        <v>468939.13</v>
      </c>
      <c r="P153" s="355" t="s">
        <v>637</v>
      </c>
      <c r="Q153" s="355">
        <v>144</v>
      </c>
      <c r="R153" s="359">
        <v>46260.681643518517</v>
      </c>
      <c r="Y153" s="286"/>
      <c r="AA153" s="338">
        <f t="shared" si="2"/>
        <v>46254</v>
      </c>
    </row>
    <row r="154" spans="1:27" ht="60" customHeight="1" x14ac:dyDescent="0.3">
      <c r="A154" s="357">
        <v>146</v>
      </c>
      <c r="B154" s="380">
        <v>2170</v>
      </c>
      <c r="C154" s="361">
        <v>46180</v>
      </c>
      <c r="D154" s="360">
        <v>1480115077</v>
      </c>
      <c r="E154" s="355" t="s">
        <v>11</v>
      </c>
      <c r="F154" s="355" t="s">
        <v>632</v>
      </c>
      <c r="G154" s="355">
        <v>3201010081</v>
      </c>
      <c r="H154" s="355" t="s">
        <v>312</v>
      </c>
      <c r="I154" s="355" t="s">
        <v>41</v>
      </c>
      <c r="J154" s="355">
        <v>15750</v>
      </c>
      <c r="K154" s="358">
        <v>3251.44</v>
      </c>
      <c r="L154" s="355">
        <v>15750</v>
      </c>
      <c r="M154" s="358">
        <v>3251.44</v>
      </c>
      <c r="N154" s="355">
        <v>0</v>
      </c>
      <c r="O154" s="355">
        <v>0</v>
      </c>
      <c r="P154" s="355" t="s">
        <v>633</v>
      </c>
      <c r="Q154" s="355">
        <v>144</v>
      </c>
      <c r="R154" s="359">
        <v>46209.824363425927</v>
      </c>
      <c r="Y154" s="286"/>
      <c r="AA154" s="338">
        <f t="shared" si="2"/>
        <v>46180</v>
      </c>
    </row>
    <row r="155" spans="1:27" ht="60" customHeight="1" x14ac:dyDescent="0.3">
      <c r="A155" s="357">
        <v>147</v>
      </c>
      <c r="B155" s="380">
        <v>2219</v>
      </c>
      <c r="C155" s="355" t="s">
        <v>635</v>
      </c>
      <c r="D155" s="360">
        <v>1551415334</v>
      </c>
      <c r="E155" s="355" t="s">
        <v>11</v>
      </c>
      <c r="F155" s="355" t="s">
        <v>632</v>
      </c>
      <c r="G155" s="355">
        <v>3201010081</v>
      </c>
      <c r="H155" s="355" t="s">
        <v>312</v>
      </c>
      <c r="I155" s="355" t="s">
        <v>41</v>
      </c>
      <c r="J155" s="355">
        <v>20000</v>
      </c>
      <c r="K155" s="358">
        <v>4128.8100000000004</v>
      </c>
      <c r="L155" s="355">
        <v>20000</v>
      </c>
      <c r="M155" s="358">
        <v>4128.8100000000004</v>
      </c>
      <c r="N155" s="355">
        <v>0</v>
      </c>
      <c r="O155" s="355">
        <v>0</v>
      </c>
      <c r="P155" s="355" t="s">
        <v>633</v>
      </c>
      <c r="Q155" s="355">
        <v>144</v>
      </c>
      <c r="R155" s="359">
        <v>46229.684525462966</v>
      </c>
      <c r="Y155" s="286"/>
      <c r="AA155" s="338">
        <f t="shared" si="2"/>
        <v>46229</v>
      </c>
    </row>
    <row r="156" spans="1:27" ht="60" customHeight="1" x14ac:dyDescent="0.3">
      <c r="A156" s="357">
        <v>148</v>
      </c>
      <c r="B156" s="380">
        <v>2282</v>
      </c>
      <c r="C156" s="355" t="s">
        <v>636</v>
      </c>
      <c r="D156" s="357"/>
      <c r="E156" s="355" t="s">
        <v>11</v>
      </c>
      <c r="F156" s="355" t="s">
        <v>632</v>
      </c>
      <c r="G156" s="355">
        <v>3201010081</v>
      </c>
      <c r="H156" s="355" t="s">
        <v>312</v>
      </c>
      <c r="I156" s="355" t="s">
        <v>41</v>
      </c>
      <c r="J156" s="355">
        <v>8000</v>
      </c>
      <c r="K156" s="358">
        <v>1651.53</v>
      </c>
      <c r="L156" s="281"/>
      <c r="M156" s="355">
        <v>0</v>
      </c>
      <c r="N156" s="355">
        <v>8000</v>
      </c>
      <c r="O156" s="358">
        <v>1651.53</v>
      </c>
      <c r="P156" s="355" t="s">
        <v>637</v>
      </c>
      <c r="Q156" s="355">
        <v>144</v>
      </c>
      <c r="R156" s="359">
        <v>46260.681643518517</v>
      </c>
      <c r="Y156" s="286"/>
      <c r="AA156" s="338">
        <f t="shared" si="2"/>
        <v>46254</v>
      </c>
    </row>
    <row r="157" spans="1:27" ht="60" customHeight="1" x14ac:dyDescent="0.3">
      <c r="A157" s="357">
        <v>149</v>
      </c>
      <c r="B157" s="380">
        <v>2219</v>
      </c>
      <c r="C157" s="355" t="s">
        <v>635</v>
      </c>
      <c r="D157" s="355">
        <v>15353</v>
      </c>
      <c r="E157" s="355" t="s">
        <v>11</v>
      </c>
      <c r="F157" s="355" t="s">
        <v>632</v>
      </c>
      <c r="G157" s="355">
        <v>3201010083</v>
      </c>
      <c r="H157" s="355" t="s">
        <v>313</v>
      </c>
      <c r="I157" s="355" t="s">
        <v>41</v>
      </c>
      <c r="J157" s="355">
        <v>17000</v>
      </c>
      <c r="K157" s="358">
        <v>4655.4799999999996</v>
      </c>
      <c r="L157" s="355">
        <v>12000</v>
      </c>
      <c r="M157" s="358">
        <v>3286.22</v>
      </c>
      <c r="N157" s="355">
        <v>5000</v>
      </c>
      <c r="O157" s="358">
        <v>1369.26</v>
      </c>
      <c r="P157" s="355" t="s">
        <v>633</v>
      </c>
      <c r="Q157" s="355">
        <v>144</v>
      </c>
      <c r="R157" s="359">
        <v>46229.684525462966</v>
      </c>
      <c r="Y157" s="286"/>
      <c r="AA157" s="338">
        <f t="shared" si="2"/>
        <v>46229</v>
      </c>
    </row>
    <row r="158" spans="1:27" ht="60" customHeight="1" x14ac:dyDescent="0.3">
      <c r="A158" s="357">
        <v>150</v>
      </c>
      <c r="B158" s="380">
        <v>2282</v>
      </c>
      <c r="C158" s="355" t="s">
        <v>636</v>
      </c>
      <c r="D158" s="357"/>
      <c r="E158" s="355" t="s">
        <v>11</v>
      </c>
      <c r="F158" s="355" t="s">
        <v>632</v>
      </c>
      <c r="G158" s="355">
        <v>3201010083</v>
      </c>
      <c r="H158" s="355" t="s">
        <v>313</v>
      </c>
      <c r="I158" s="355" t="s">
        <v>41</v>
      </c>
      <c r="J158" s="355">
        <v>16000</v>
      </c>
      <c r="K158" s="358">
        <v>4381.63</v>
      </c>
      <c r="L158" s="281"/>
      <c r="M158" s="355">
        <v>0</v>
      </c>
      <c r="N158" s="355">
        <v>16000</v>
      </c>
      <c r="O158" s="358">
        <v>4381.63</v>
      </c>
      <c r="P158" s="355" t="s">
        <v>637</v>
      </c>
      <c r="Q158" s="355">
        <v>144</v>
      </c>
      <c r="R158" s="359">
        <v>46260.681643518517</v>
      </c>
      <c r="Y158" s="286"/>
      <c r="AA158" s="338">
        <f t="shared" si="2"/>
        <v>46254</v>
      </c>
    </row>
    <row r="159" spans="1:27" ht="75" customHeight="1" x14ac:dyDescent="0.3">
      <c r="A159" s="357">
        <v>151</v>
      </c>
      <c r="B159" s="380">
        <v>2111</v>
      </c>
      <c r="C159" s="355" t="s">
        <v>634</v>
      </c>
      <c r="D159" s="355">
        <v>14900</v>
      </c>
      <c r="E159" s="355" t="s">
        <v>11</v>
      </c>
      <c r="F159" s="355" t="s">
        <v>632</v>
      </c>
      <c r="G159" s="355">
        <v>700100033</v>
      </c>
      <c r="H159" s="355" t="s">
        <v>359</v>
      </c>
      <c r="I159" s="355" t="s">
        <v>14</v>
      </c>
      <c r="J159" s="355">
        <v>15</v>
      </c>
      <c r="K159" s="358">
        <v>4290.78</v>
      </c>
      <c r="L159" s="355">
        <v>9</v>
      </c>
      <c r="M159" s="358">
        <v>2574.4699999999998</v>
      </c>
      <c r="N159" s="355">
        <v>6</v>
      </c>
      <c r="O159" s="358">
        <v>1716.31</v>
      </c>
      <c r="P159" s="355" t="s">
        <v>633</v>
      </c>
      <c r="Q159" s="355">
        <v>144</v>
      </c>
      <c r="R159" s="359">
        <v>46196.358159722222</v>
      </c>
      <c r="Y159" s="286"/>
      <c r="AA159" s="338">
        <f t="shared" si="2"/>
        <v>46194</v>
      </c>
    </row>
    <row r="160" spans="1:27" ht="75" customHeight="1" x14ac:dyDescent="0.3">
      <c r="A160" s="357">
        <v>152</v>
      </c>
      <c r="B160" s="380">
        <v>2111</v>
      </c>
      <c r="C160" s="355" t="s">
        <v>634</v>
      </c>
      <c r="D160" s="355">
        <v>14908</v>
      </c>
      <c r="E160" s="355" t="s">
        <v>11</v>
      </c>
      <c r="F160" s="355" t="s">
        <v>632</v>
      </c>
      <c r="G160" s="355">
        <v>700100035</v>
      </c>
      <c r="H160" s="355" t="s">
        <v>361</v>
      </c>
      <c r="I160" s="355" t="s">
        <v>41</v>
      </c>
      <c r="J160" s="355">
        <v>15000</v>
      </c>
      <c r="K160" s="358">
        <v>3782.61</v>
      </c>
      <c r="L160" s="355">
        <v>15000</v>
      </c>
      <c r="M160" s="358">
        <v>3782.61</v>
      </c>
      <c r="N160" s="355">
        <v>0</v>
      </c>
      <c r="O160" s="355">
        <v>0</v>
      </c>
      <c r="P160" s="355" t="s">
        <v>633</v>
      </c>
      <c r="Q160" s="355">
        <v>144</v>
      </c>
      <c r="R160" s="359">
        <v>46196.358159722222</v>
      </c>
      <c r="Y160" s="286"/>
      <c r="AA160" s="338">
        <f t="shared" si="2"/>
        <v>46194</v>
      </c>
    </row>
    <row r="161" spans="1:27" ht="75" customHeight="1" x14ac:dyDescent="0.3">
      <c r="A161" s="357">
        <v>153</v>
      </c>
      <c r="B161" s="380">
        <v>2184</v>
      </c>
      <c r="C161" s="361">
        <v>46333</v>
      </c>
      <c r="D161" s="355">
        <v>15037</v>
      </c>
      <c r="E161" s="355" t="s">
        <v>11</v>
      </c>
      <c r="F161" s="355" t="s">
        <v>632</v>
      </c>
      <c r="G161" s="355">
        <v>700100035</v>
      </c>
      <c r="H161" s="355" t="s">
        <v>361</v>
      </c>
      <c r="I161" s="355" t="s">
        <v>41</v>
      </c>
      <c r="J161" s="355">
        <v>10000</v>
      </c>
      <c r="K161" s="358">
        <v>2521.7399999999998</v>
      </c>
      <c r="L161" s="355">
        <v>10000</v>
      </c>
      <c r="M161" s="358">
        <v>2521.7399999999998</v>
      </c>
      <c r="N161" s="355">
        <v>0</v>
      </c>
      <c r="O161" s="355">
        <v>0</v>
      </c>
      <c r="P161" s="355" t="s">
        <v>633</v>
      </c>
      <c r="Q161" s="355">
        <v>144</v>
      </c>
      <c r="R161" s="359">
        <v>46222.731504629628</v>
      </c>
      <c r="Y161" s="286"/>
      <c r="AA161" s="338">
        <f t="shared" si="2"/>
        <v>46333</v>
      </c>
    </row>
    <row r="162" spans="1:27" ht="75" customHeight="1" x14ac:dyDescent="0.3">
      <c r="A162" s="357">
        <v>154</v>
      </c>
      <c r="B162" s="380">
        <v>2219</v>
      </c>
      <c r="C162" s="355" t="s">
        <v>635</v>
      </c>
      <c r="D162" s="355">
        <v>15334</v>
      </c>
      <c r="E162" s="355" t="s">
        <v>11</v>
      </c>
      <c r="F162" s="355" t="s">
        <v>632</v>
      </c>
      <c r="G162" s="355">
        <v>700100035</v>
      </c>
      <c r="H162" s="355" t="s">
        <v>361</v>
      </c>
      <c r="I162" s="355" t="s">
        <v>41</v>
      </c>
      <c r="J162" s="355">
        <v>20000</v>
      </c>
      <c r="K162" s="358">
        <v>5043.4799999999996</v>
      </c>
      <c r="L162" s="355">
        <v>20000</v>
      </c>
      <c r="M162" s="358">
        <v>5043.4799999999996</v>
      </c>
      <c r="N162" s="355">
        <v>0</v>
      </c>
      <c r="O162" s="355">
        <v>0</v>
      </c>
      <c r="P162" s="355" t="s">
        <v>633</v>
      </c>
      <c r="Q162" s="355">
        <v>144</v>
      </c>
      <c r="R162" s="359">
        <v>46229.684525462966</v>
      </c>
      <c r="Y162" s="286"/>
      <c r="AA162" s="338">
        <f t="shared" si="2"/>
        <v>46229</v>
      </c>
    </row>
    <row r="163" spans="1:27" ht="75" customHeight="1" x14ac:dyDescent="0.3">
      <c r="A163" s="357">
        <v>155</v>
      </c>
      <c r="B163" s="380">
        <v>2282</v>
      </c>
      <c r="C163" s="355" t="s">
        <v>636</v>
      </c>
      <c r="D163" s="357"/>
      <c r="E163" s="355" t="s">
        <v>11</v>
      </c>
      <c r="F163" s="355" t="s">
        <v>632</v>
      </c>
      <c r="G163" s="355">
        <v>700100035</v>
      </c>
      <c r="H163" s="355" t="s">
        <v>361</v>
      </c>
      <c r="I163" s="355" t="s">
        <v>41</v>
      </c>
      <c r="J163" s="355">
        <v>100000</v>
      </c>
      <c r="K163" s="358">
        <v>25217.39</v>
      </c>
      <c r="L163" s="281"/>
      <c r="M163" s="355">
        <v>0</v>
      </c>
      <c r="N163" s="355">
        <v>100000</v>
      </c>
      <c r="O163" s="358">
        <v>25217.39</v>
      </c>
      <c r="P163" s="355" t="s">
        <v>637</v>
      </c>
      <c r="Q163" s="355">
        <v>144</v>
      </c>
      <c r="R163" s="359">
        <v>46260.681643518517</v>
      </c>
      <c r="Y163" s="286"/>
      <c r="AA163" s="338">
        <f t="shared" si="2"/>
        <v>46254</v>
      </c>
    </row>
    <row r="164" spans="1:27" ht="60" customHeight="1" x14ac:dyDescent="0.3">
      <c r="A164" s="357">
        <v>156</v>
      </c>
      <c r="B164" s="380">
        <v>2111</v>
      </c>
      <c r="C164" s="355" t="s">
        <v>634</v>
      </c>
      <c r="D164" s="355">
        <v>14646</v>
      </c>
      <c r="E164" s="355" t="s">
        <v>11</v>
      </c>
      <c r="F164" s="355" t="s">
        <v>632</v>
      </c>
      <c r="G164" s="355">
        <v>700100036</v>
      </c>
      <c r="H164" s="355" t="s">
        <v>362</v>
      </c>
      <c r="I164" s="355" t="s">
        <v>41</v>
      </c>
      <c r="J164" s="355">
        <v>14200</v>
      </c>
      <c r="K164" s="358">
        <v>4445.22</v>
      </c>
      <c r="L164" s="355">
        <v>14000</v>
      </c>
      <c r="M164" s="358">
        <v>4382.6099999999997</v>
      </c>
      <c r="N164" s="355">
        <v>200</v>
      </c>
      <c r="O164" s="355">
        <v>62.61</v>
      </c>
      <c r="P164" s="355" t="s">
        <v>633</v>
      </c>
      <c r="Q164" s="355">
        <v>144</v>
      </c>
      <c r="R164" s="359">
        <v>46196.358159722222</v>
      </c>
      <c r="Y164" s="286"/>
      <c r="AA164" s="338">
        <f t="shared" si="2"/>
        <v>46194</v>
      </c>
    </row>
    <row r="165" spans="1:27" ht="30" customHeight="1" x14ac:dyDescent="0.3">
      <c r="A165" s="362"/>
      <c r="B165" s="363"/>
      <c r="C165" s="363"/>
      <c r="D165" s="363"/>
      <c r="E165" s="363"/>
      <c r="F165" s="363"/>
      <c r="G165" s="363"/>
      <c r="H165" s="363"/>
      <c r="I165" s="364" t="s">
        <v>639</v>
      </c>
      <c r="J165" s="365">
        <v>2347805</v>
      </c>
      <c r="K165" s="366">
        <v>18318241.82</v>
      </c>
      <c r="L165" s="365">
        <v>1205228</v>
      </c>
      <c r="M165" s="366">
        <v>7178105.4699999997</v>
      </c>
      <c r="N165" s="365">
        <v>1142577</v>
      </c>
      <c r="O165" s="366">
        <v>11140136.35</v>
      </c>
      <c r="P165" s="363"/>
      <c r="Q165" s="363"/>
      <c r="R165" s="363"/>
      <c r="S165" s="367"/>
      <c r="T165" s="367"/>
      <c r="U165" s="367"/>
      <c r="V165" s="367"/>
      <c r="W165" s="367"/>
      <c r="X165" s="367"/>
      <c r="Y165" s="368"/>
      <c r="AA165" s="338">
        <f t="shared" si="2"/>
        <v>34700</v>
      </c>
    </row>
    <row r="166" spans="1:27" ht="15.75" customHeight="1" thickBot="1" x14ac:dyDescent="0.35">
      <c r="A166" s="339"/>
      <c r="B166" s="340"/>
      <c r="C166" s="341"/>
      <c r="D166" s="339"/>
      <c r="E166" s="341"/>
      <c r="F166" s="341"/>
      <c r="G166" s="341"/>
      <c r="H166" s="341"/>
      <c r="I166" s="341"/>
      <c r="J166" s="341"/>
      <c r="K166" s="342"/>
      <c r="L166" s="17"/>
      <c r="M166" s="341"/>
      <c r="N166" s="341"/>
      <c r="O166" s="342"/>
      <c r="P166" s="341"/>
      <c r="Q166" s="341"/>
      <c r="R166" s="343"/>
      <c r="AA166" s="338">
        <f t="shared" si="2"/>
        <v>34700</v>
      </c>
    </row>
    <row r="167" spans="1:27" ht="15.75" customHeight="1" thickBot="1" x14ac:dyDescent="0.35">
      <c r="A167" s="339"/>
      <c r="B167" s="340"/>
      <c r="C167" s="341"/>
      <c r="D167" s="344"/>
      <c r="E167" s="341"/>
      <c r="F167" s="341"/>
      <c r="G167" s="341"/>
      <c r="H167" s="341"/>
      <c r="I167" s="341"/>
      <c r="J167" s="341"/>
      <c r="K167" s="342"/>
      <c r="L167" s="341"/>
      <c r="M167" s="342"/>
      <c r="N167" s="341"/>
      <c r="O167" s="342"/>
      <c r="P167" s="341"/>
      <c r="Q167" s="341"/>
      <c r="R167" s="343"/>
      <c r="AA167" s="338">
        <f t="shared" si="2"/>
        <v>34700</v>
      </c>
    </row>
    <row r="168" spans="1:27" ht="15.75" customHeight="1" thickBot="1" x14ac:dyDescent="0.35">
      <c r="A168" s="339"/>
      <c r="B168" s="340"/>
      <c r="C168" s="341"/>
      <c r="D168" s="339"/>
      <c r="E168" s="341"/>
      <c r="F168" s="341"/>
      <c r="G168" s="341"/>
      <c r="H168" s="341"/>
      <c r="I168" s="341"/>
      <c r="J168" s="341"/>
      <c r="K168" s="342"/>
      <c r="L168" s="17"/>
      <c r="M168" s="341"/>
      <c r="N168" s="341"/>
      <c r="O168" s="342"/>
      <c r="P168" s="341"/>
      <c r="Q168" s="341"/>
      <c r="R168" s="343"/>
      <c r="AA168" s="338">
        <f t="shared" si="2"/>
        <v>34700</v>
      </c>
    </row>
    <row r="169" spans="1:27" ht="15.75" customHeight="1" thickBot="1" x14ac:dyDescent="0.35">
      <c r="A169" s="339"/>
      <c r="B169" s="340"/>
      <c r="C169" s="341"/>
      <c r="D169" s="344"/>
      <c r="E169" s="341"/>
      <c r="F169" s="341"/>
      <c r="G169" s="341"/>
      <c r="H169" s="341"/>
      <c r="I169" s="341"/>
      <c r="J169" s="341"/>
      <c r="K169" s="342"/>
      <c r="L169" s="341"/>
      <c r="M169" s="342"/>
      <c r="N169" s="341"/>
      <c r="O169" s="341"/>
      <c r="P169" s="341"/>
      <c r="Q169" s="341"/>
      <c r="R169" s="343"/>
      <c r="AA169" s="338">
        <f t="shared" si="2"/>
        <v>34700</v>
      </c>
    </row>
    <row r="170" spans="1:27" ht="15.75" customHeight="1" thickBot="1" x14ac:dyDescent="0.35">
      <c r="A170" s="339"/>
      <c r="B170" s="340"/>
      <c r="C170" s="341"/>
      <c r="D170" s="339"/>
      <c r="E170" s="341"/>
      <c r="F170" s="341"/>
      <c r="G170" s="341"/>
      <c r="H170" s="341"/>
      <c r="I170" s="341"/>
      <c r="J170" s="341"/>
      <c r="K170" s="342"/>
      <c r="L170" s="17"/>
      <c r="M170" s="341"/>
      <c r="N170" s="341"/>
      <c r="O170" s="342"/>
      <c r="P170" s="341"/>
      <c r="Q170" s="341"/>
      <c r="R170" s="343"/>
      <c r="AA170" s="338">
        <f t="shared" si="2"/>
        <v>34700</v>
      </c>
    </row>
    <row r="171" spans="1:27" ht="15.75" customHeight="1" thickBot="1" x14ac:dyDescent="0.35">
      <c r="A171" s="339"/>
      <c r="B171" s="340"/>
      <c r="C171" s="341"/>
      <c r="D171" s="344"/>
      <c r="E171" s="341"/>
      <c r="F171" s="341"/>
      <c r="G171" s="341"/>
      <c r="H171" s="341"/>
      <c r="I171" s="341"/>
      <c r="J171" s="341"/>
      <c r="K171" s="342"/>
      <c r="L171" s="341"/>
      <c r="M171" s="342"/>
      <c r="N171" s="341"/>
      <c r="O171" s="342"/>
      <c r="P171" s="341"/>
      <c r="Q171" s="341"/>
      <c r="R171" s="343"/>
      <c r="AA171" s="338">
        <f t="shared" si="2"/>
        <v>34700</v>
      </c>
    </row>
    <row r="172" spans="1:27" ht="15.75" customHeight="1" thickBot="1" x14ac:dyDescent="0.35">
      <c r="A172" s="339"/>
      <c r="B172" s="340"/>
      <c r="C172" s="341"/>
      <c r="D172" s="339"/>
      <c r="E172" s="341"/>
      <c r="F172" s="341"/>
      <c r="G172" s="341"/>
      <c r="H172" s="341"/>
      <c r="I172" s="341"/>
      <c r="J172" s="341"/>
      <c r="K172" s="342"/>
      <c r="L172" s="17"/>
      <c r="M172" s="341"/>
      <c r="N172" s="341"/>
      <c r="O172" s="342"/>
      <c r="P172" s="341"/>
      <c r="Q172" s="341"/>
      <c r="R172" s="343"/>
      <c r="AA172" s="338">
        <f t="shared" si="2"/>
        <v>34700</v>
      </c>
    </row>
    <row r="173" spans="1:27" ht="15.75" customHeight="1" thickBot="1" x14ac:dyDescent="0.35">
      <c r="A173" s="339"/>
      <c r="B173" s="340"/>
      <c r="C173" s="341"/>
      <c r="D173" s="344"/>
      <c r="E173" s="341"/>
      <c r="F173" s="341"/>
      <c r="G173" s="341"/>
      <c r="H173" s="341"/>
      <c r="I173" s="341"/>
      <c r="J173" s="341"/>
      <c r="K173" s="342"/>
      <c r="L173" s="341"/>
      <c r="M173" s="342"/>
      <c r="N173" s="341"/>
      <c r="O173" s="342"/>
      <c r="P173" s="341"/>
      <c r="Q173" s="341"/>
      <c r="R173" s="343"/>
      <c r="AA173" s="338">
        <f t="shared" si="2"/>
        <v>34700</v>
      </c>
    </row>
    <row r="174" spans="1:27" ht="15.75" customHeight="1" thickBot="1" x14ac:dyDescent="0.35">
      <c r="A174" s="339"/>
      <c r="B174" s="340"/>
      <c r="C174" s="341"/>
      <c r="D174" s="339"/>
      <c r="E174" s="341"/>
      <c r="F174" s="341"/>
      <c r="G174" s="341"/>
      <c r="H174" s="341"/>
      <c r="I174" s="341"/>
      <c r="J174" s="341"/>
      <c r="K174" s="342"/>
      <c r="L174" s="17"/>
      <c r="M174" s="341"/>
      <c r="N174" s="341"/>
      <c r="O174" s="342"/>
      <c r="P174" s="341"/>
      <c r="Q174" s="341"/>
      <c r="R174" s="343"/>
      <c r="AA174" s="338">
        <f t="shared" si="2"/>
        <v>34700</v>
      </c>
    </row>
    <row r="175" spans="1:27" ht="15.75" customHeight="1" thickBot="1" x14ac:dyDescent="0.35">
      <c r="A175" s="339"/>
      <c r="B175" s="340"/>
      <c r="C175" s="341"/>
      <c r="D175" s="344"/>
      <c r="E175" s="341"/>
      <c r="F175" s="341"/>
      <c r="G175" s="341"/>
      <c r="H175" s="341"/>
      <c r="I175" s="341"/>
      <c r="J175" s="341"/>
      <c r="K175" s="342"/>
      <c r="L175" s="341"/>
      <c r="M175" s="342"/>
      <c r="N175" s="341"/>
      <c r="O175" s="341"/>
      <c r="P175" s="341"/>
      <c r="Q175" s="341"/>
      <c r="R175" s="343"/>
      <c r="AA175" s="338">
        <f t="shared" si="2"/>
        <v>34700</v>
      </c>
    </row>
    <row r="176" spans="1:27" ht="15.75" customHeight="1" thickBot="1" x14ac:dyDescent="0.35">
      <c r="A176" s="339"/>
      <c r="B176" s="340"/>
      <c r="C176" s="341"/>
      <c r="D176" s="339"/>
      <c r="E176" s="341"/>
      <c r="F176" s="341"/>
      <c r="G176" s="341"/>
      <c r="H176" s="341"/>
      <c r="I176" s="341"/>
      <c r="J176" s="341"/>
      <c r="K176" s="342"/>
      <c r="L176" s="17"/>
      <c r="M176" s="341"/>
      <c r="N176" s="341"/>
      <c r="O176" s="342"/>
      <c r="P176" s="341"/>
      <c r="Q176" s="341"/>
      <c r="R176" s="343"/>
      <c r="AA176" s="338">
        <f t="shared" si="2"/>
        <v>34700</v>
      </c>
    </row>
    <row r="177" spans="1:27" ht="15.75" customHeight="1" thickBot="1" x14ac:dyDescent="0.35">
      <c r="A177" s="339"/>
      <c r="B177" s="340"/>
      <c r="C177" s="341"/>
      <c r="D177" s="341"/>
      <c r="E177" s="341"/>
      <c r="F177" s="341"/>
      <c r="G177" s="341"/>
      <c r="H177" s="341"/>
      <c r="I177" s="341"/>
      <c r="J177" s="341"/>
      <c r="K177" s="342"/>
      <c r="L177" s="341"/>
      <c r="M177" s="342"/>
      <c r="N177" s="341"/>
      <c r="O177" s="341"/>
      <c r="P177" s="341"/>
      <c r="Q177" s="341"/>
      <c r="R177" s="343"/>
      <c r="AA177" s="338">
        <f t="shared" si="2"/>
        <v>34700</v>
      </c>
    </row>
    <row r="178" spans="1:27" ht="15.75" customHeight="1" thickBot="1" x14ac:dyDescent="0.35">
      <c r="A178" s="339"/>
      <c r="B178" s="340"/>
      <c r="C178" s="341"/>
      <c r="D178" s="339"/>
      <c r="E178" s="341"/>
      <c r="F178" s="341"/>
      <c r="G178" s="341"/>
      <c r="H178" s="341"/>
      <c r="I178" s="341"/>
      <c r="J178" s="341"/>
      <c r="K178" s="342"/>
      <c r="L178" s="17"/>
      <c r="M178" s="341"/>
      <c r="N178" s="341"/>
      <c r="O178" s="342"/>
      <c r="P178" s="341"/>
      <c r="Q178" s="341"/>
      <c r="R178" s="343"/>
      <c r="AA178" s="338">
        <f t="shared" si="2"/>
        <v>34700</v>
      </c>
    </row>
    <row r="179" spans="1:27" ht="15.75" customHeight="1" thickBot="1" x14ac:dyDescent="0.35">
      <c r="A179" s="339"/>
      <c r="B179" s="340"/>
      <c r="C179" s="341"/>
      <c r="D179" s="339"/>
      <c r="E179" s="341"/>
      <c r="F179" s="341"/>
      <c r="G179" s="341"/>
      <c r="H179" s="341"/>
      <c r="I179" s="341"/>
      <c r="J179" s="341"/>
      <c r="K179" s="342"/>
      <c r="L179" s="17"/>
      <c r="M179" s="341"/>
      <c r="N179" s="341"/>
      <c r="O179" s="342"/>
      <c r="P179" s="341"/>
      <c r="Q179" s="341"/>
      <c r="R179" s="343"/>
      <c r="AA179" s="338">
        <f t="shared" si="2"/>
        <v>34700</v>
      </c>
    </row>
    <row r="180" spans="1:27" ht="15.75" customHeight="1" thickBot="1" x14ac:dyDescent="0.35">
      <c r="A180" s="339"/>
      <c r="B180" s="340"/>
      <c r="C180" s="341"/>
      <c r="D180" s="339"/>
      <c r="E180" s="341"/>
      <c r="F180" s="341"/>
      <c r="G180" s="341"/>
      <c r="H180" s="341"/>
      <c r="I180" s="341"/>
      <c r="J180" s="341"/>
      <c r="K180" s="341"/>
      <c r="L180" s="17"/>
      <c r="M180" s="341"/>
      <c r="N180" s="341"/>
      <c r="O180" s="341"/>
      <c r="P180" s="341"/>
      <c r="Q180" s="341"/>
      <c r="R180" s="343"/>
      <c r="AA180" s="338">
        <f t="shared" si="2"/>
        <v>34700</v>
      </c>
    </row>
    <row r="181" spans="1:27" ht="15.75" customHeight="1" thickBot="1" x14ac:dyDescent="0.35">
      <c r="A181" s="339"/>
      <c r="B181" s="340"/>
      <c r="C181" s="341"/>
      <c r="D181" s="341"/>
      <c r="E181" s="341"/>
      <c r="F181" s="341"/>
      <c r="G181" s="341"/>
      <c r="H181" s="341"/>
      <c r="I181" s="341"/>
      <c r="J181" s="341"/>
      <c r="K181" s="341"/>
      <c r="L181" s="341"/>
      <c r="M181" s="341"/>
      <c r="N181" s="341"/>
      <c r="O181" s="341"/>
      <c r="P181" s="341"/>
      <c r="Q181" s="341"/>
      <c r="R181" s="343"/>
      <c r="AA181" s="338">
        <f t="shared" si="2"/>
        <v>34700</v>
      </c>
    </row>
    <row r="182" spans="1:27" ht="15.75" customHeight="1" thickBot="1" x14ac:dyDescent="0.35">
      <c r="A182" s="339"/>
      <c r="B182" s="340"/>
      <c r="C182" s="341"/>
      <c r="D182" s="339"/>
      <c r="E182" s="341"/>
      <c r="F182" s="341"/>
      <c r="G182" s="341"/>
      <c r="H182" s="341"/>
      <c r="I182" s="341"/>
      <c r="J182" s="341"/>
      <c r="K182" s="341"/>
      <c r="L182" s="17"/>
      <c r="M182" s="341"/>
      <c r="N182" s="341"/>
      <c r="O182" s="341"/>
      <c r="P182" s="341"/>
      <c r="Q182" s="341"/>
      <c r="R182" s="343"/>
      <c r="AA182" s="338">
        <f t="shared" si="2"/>
        <v>34700</v>
      </c>
    </row>
    <row r="183" spans="1:27" ht="15.75" customHeight="1" thickBot="1" x14ac:dyDescent="0.35">
      <c r="A183" s="339"/>
      <c r="B183" s="340"/>
      <c r="C183" s="341"/>
      <c r="D183" s="339"/>
      <c r="E183" s="341"/>
      <c r="F183" s="341"/>
      <c r="G183" s="341"/>
      <c r="H183" s="341"/>
      <c r="I183" s="341"/>
      <c r="J183" s="341"/>
      <c r="K183" s="342"/>
      <c r="L183" s="17"/>
      <c r="M183" s="341"/>
      <c r="N183" s="341"/>
      <c r="O183" s="342"/>
      <c r="P183" s="341"/>
      <c r="Q183" s="341"/>
      <c r="R183" s="343"/>
      <c r="AA183" s="338">
        <f t="shared" si="2"/>
        <v>34700</v>
      </c>
    </row>
    <row r="184" spans="1:27" ht="15.75" customHeight="1" thickBot="1" x14ac:dyDescent="0.35">
      <c r="A184" s="339"/>
      <c r="B184" s="340"/>
      <c r="C184" s="341"/>
      <c r="D184" s="339"/>
      <c r="E184" s="341"/>
      <c r="F184" s="341"/>
      <c r="G184" s="341"/>
      <c r="H184" s="341"/>
      <c r="I184" s="341"/>
      <c r="J184" s="341"/>
      <c r="K184" s="342"/>
      <c r="L184" s="17"/>
      <c r="M184" s="341"/>
      <c r="N184" s="341"/>
      <c r="O184" s="342"/>
      <c r="P184" s="341"/>
      <c r="Q184" s="341"/>
      <c r="R184" s="343"/>
      <c r="AA184" s="338">
        <f t="shared" si="2"/>
        <v>34700</v>
      </c>
    </row>
    <row r="185" spans="1:27" ht="15.75" customHeight="1" thickBot="1" x14ac:dyDescent="0.35">
      <c r="A185" s="339"/>
      <c r="B185" s="340"/>
      <c r="C185" s="341"/>
      <c r="D185" s="339"/>
      <c r="E185" s="341"/>
      <c r="F185" s="341"/>
      <c r="G185" s="341"/>
      <c r="H185" s="341"/>
      <c r="I185" s="341"/>
      <c r="J185" s="341"/>
      <c r="K185" s="342"/>
      <c r="L185" s="17"/>
      <c r="M185" s="341"/>
      <c r="N185" s="341"/>
      <c r="O185" s="342"/>
      <c r="P185" s="341"/>
      <c r="Q185" s="341"/>
      <c r="R185" s="343"/>
      <c r="AA185" s="338">
        <f t="shared" si="2"/>
        <v>34700</v>
      </c>
    </row>
    <row r="186" spans="1:27" ht="15.75" customHeight="1" thickBot="1" x14ac:dyDescent="0.35">
      <c r="A186" s="339"/>
      <c r="B186" s="340"/>
      <c r="C186" s="341"/>
      <c r="D186" s="339"/>
      <c r="E186" s="341"/>
      <c r="F186" s="341"/>
      <c r="G186" s="341"/>
      <c r="H186" s="341"/>
      <c r="I186" s="341"/>
      <c r="J186" s="341"/>
      <c r="K186" s="342"/>
      <c r="L186" s="17"/>
      <c r="M186" s="341"/>
      <c r="N186" s="341"/>
      <c r="O186" s="342"/>
      <c r="P186" s="341"/>
      <c r="Q186" s="341"/>
      <c r="R186" s="343"/>
      <c r="AA186" s="338">
        <f t="shared" si="2"/>
        <v>34700</v>
      </c>
    </row>
    <row r="187" spans="1:27" ht="15.75" customHeight="1" thickBot="1" x14ac:dyDescent="0.35">
      <c r="A187" s="339"/>
      <c r="B187" s="340"/>
      <c r="C187" s="341"/>
      <c r="D187" s="344"/>
      <c r="E187" s="341"/>
      <c r="F187" s="341"/>
      <c r="G187" s="341"/>
      <c r="H187" s="341"/>
      <c r="I187" s="341"/>
      <c r="J187" s="341"/>
      <c r="K187" s="342"/>
      <c r="L187" s="341"/>
      <c r="M187" s="342"/>
      <c r="N187" s="341"/>
      <c r="O187" s="342"/>
      <c r="P187" s="341"/>
      <c r="Q187" s="341"/>
      <c r="R187" s="343"/>
      <c r="AA187" s="338">
        <f t="shared" si="2"/>
        <v>34700</v>
      </c>
    </row>
    <row r="188" spans="1:27" ht="15.75" customHeight="1" thickBot="1" x14ac:dyDescent="0.35">
      <c r="A188" s="339"/>
      <c r="B188" s="340"/>
      <c r="C188" s="341"/>
      <c r="D188" s="339"/>
      <c r="E188" s="341"/>
      <c r="F188" s="341"/>
      <c r="G188" s="341"/>
      <c r="H188" s="341"/>
      <c r="I188" s="341"/>
      <c r="J188" s="341"/>
      <c r="K188" s="342"/>
      <c r="L188" s="17"/>
      <c r="M188" s="341"/>
      <c r="N188" s="341"/>
      <c r="O188" s="342"/>
      <c r="P188" s="341"/>
      <c r="Q188" s="341"/>
      <c r="R188" s="343"/>
      <c r="AA188" s="338">
        <f t="shared" si="2"/>
        <v>34700</v>
      </c>
    </row>
    <row r="189" spans="1:27" ht="15.75" customHeight="1" thickBot="1" x14ac:dyDescent="0.35">
      <c r="A189" s="339"/>
      <c r="B189" s="340"/>
      <c r="C189" s="341"/>
      <c r="D189" s="339"/>
      <c r="E189" s="341"/>
      <c r="F189" s="341"/>
      <c r="G189" s="341"/>
      <c r="H189" s="341"/>
      <c r="I189" s="341"/>
      <c r="J189" s="341"/>
      <c r="K189" s="342"/>
      <c r="L189" s="17"/>
      <c r="M189" s="341"/>
      <c r="N189" s="341"/>
      <c r="O189" s="342"/>
      <c r="P189" s="341"/>
      <c r="Q189" s="341"/>
      <c r="R189" s="343"/>
      <c r="AA189" s="338">
        <f t="shared" si="2"/>
        <v>34700</v>
      </c>
    </row>
    <row r="190" spans="1:27" ht="15.75" customHeight="1" thickBot="1" x14ac:dyDescent="0.35">
      <c r="A190" s="339"/>
      <c r="B190" s="340"/>
      <c r="C190" s="341"/>
      <c r="D190" s="339"/>
      <c r="E190" s="341"/>
      <c r="F190" s="341"/>
      <c r="G190" s="341"/>
      <c r="H190" s="341"/>
      <c r="I190" s="341"/>
      <c r="J190" s="341"/>
      <c r="K190" s="342"/>
      <c r="L190" s="17"/>
      <c r="M190" s="341"/>
      <c r="N190" s="341"/>
      <c r="O190" s="342"/>
      <c r="P190" s="341"/>
      <c r="Q190" s="341"/>
      <c r="R190" s="343"/>
      <c r="AA190" s="338">
        <f t="shared" si="2"/>
        <v>34700</v>
      </c>
    </row>
    <row r="191" spans="1:27" ht="15.75" customHeight="1" thickBot="1" x14ac:dyDescent="0.35">
      <c r="A191" s="339"/>
      <c r="B191" s="340"/>
      <c r="C191" s="341"/>
      <c r="D191" s="344"/>
      <c r="E191" s="341"/>
      <c r="F191" s="341"/>
      <c r="G191" s="341"/>
      <c r="H191" s="341"/>
      <c r="I191" s="341"/>
      <c r="J191" s="341"/>
      <c r="K191" s="342"/>
      <c r="L191" s="341"/>
      <c r="M191" s="342"/>
      <c r="N191" s="341"/>
      <c r="O191" s="342"/>
      <c r="P191" s="341"/>
      <c r="Q191" s="341"/>
      <c r="R191" s="343"/>
      <c r="AA191" s="338">
        <f t="shared" si="2"/>
        <v>34700</v>
      </c>
    </row>
    <row r="192" spans="1:27" ht="15.75" customHeight="1" thickBot="1" x14ac:dyDescent="0.35">
      <c r="A192" s="339"/>
      <c r="B192" s="340"/>
      <c r="C192" s="341"/>
      <c r="D192" s="339"/>
      <c r="E192" s="341"/>
      <c r="F192" s="341"/>
      <c r="G192" s="341"/>
      <c r="H192" s="341"/>
      <c r="I192" s="341"/>
      <c r="J192" s="341"/>
      <c r="K192" s="342"/>
      <c r="L192" s="17"/>
      <c r="M192" s="341"/>
      <c r="N192" s="341"/>
      <c r="O192" s="342"/>
      <c r="P192" s="341"/>
      <c r="Q192" s="341"/>
      <c r="R192" s="343"/>
      <c r="AA192" s="338">
        <f t="shared" si="2"/>
        <v>34700</v>
      </c>
    </row>
    <row r="193" spans="1:27" ht="15.75" customHeight="1" thickBot="1" x14ac:dyDescent="0.35">
      <c r="A193" s="339"/>
      <c r="B193" s="340"/>
      <c r="C193" s="341"/>
      <c r="D193" s="344"/>
      <c r="E193" s="341"/>
      <c r="F193" s="341"/>
      <c r="G193" s="341"/>
      <c r="H193" s="341"/>
      <c r="I193" s="341"/>
      <c r="J193" s="341"/>
      <c r="K193" s="342"/>
      <c r="L193" s="341"/>
      <c r="M193" s="342"/>
      <c r="N193" s="341"/>
      <c r="O193" s="342"/>
      <c r="P193" s="341"/>
      <c r="Q193" s="341"/>
      <c r="R193" s="343"/>
      <c r="AA193" s="338">
        <f t="shared" ref="AA193:AA256" si="3">IFERROR(
IF(ISNUMBER(C193),C193,DATE(VALUE(RIGHT(C193,4)),VALUE(MID(SUBSTITUTE(C193,"/","-"),FIND("-",SUBSTITUTE(C193,"/","-"))+1,FIND("-",SUBSTITUTE(C193,"/","-"),FIND("-",SUBSTITUTE(C193,"/","-"))+1)-FIND("-",SUBSTITUTE(C193,"/","-"))-1)),VALUE(LEFT(SUBSTITUTE(C193,"/","-"),FIND("-",SUBSTITUTE(C193,"/","-"))-1)))),
DATE(1995,1,1)
)</f>
        <v>34700</v>
      </c>
    </row>
    <row r="194" spans="1:27" ht="15.75" customHeight="1" thickBot="1" x14ac:dyDescent="0.35">
      <c r="A194" s="339"/>
      <c r="B194" s="340"/>
      <c r="C194" s="341"/>
      <c r="D194" s="339"/>
      <c r="E194" s="341"/>
      <c r="F194" s="341"/>
      <c r="G194" s="341"/>
      <c r="H194" s="341"/>
      <c r="I194" s="341"/>
      <c r="J194" s="341"/>
      <c r="K194" s="342"/>
      <c r="L194" s="17"/>
      <c r="M194" s="341"/>
      <c r="N194" s="341"/>
      <c r="O194" s="342"/>
      <c r="P194" s="341"/>
      <c r="Q194" s="341"/>
      <c r="R194" s="343"/>
      <c r="AA194" s="338">
        <f t="shared" si="3"/>
        <v>34700</v>
      </c>
    </row>
    <row r="195" spans="1:27" ht="15.75" customHeight="1" thickBot="1" x14ac:dyDescent="0.35">
      <c r="A195" s="339"/>
      <c r="B195" s="340"/>
      <c r="C195" s="341"/>
      <c r="D195" s="344"/>
      <c r="E195" s="341"/>
      <c r="F195" s="341"/>
      <c r="G195" s="341"/>
      <c r="H195" s="341"/>
      <c r="I195" s="341"/>
      <c r="J195" s="341"/>
      <c r="K195" s="342"/>
      <c r="L195" s="341"/>
      <c r="M195" s="342"/>
      <c r="N195" s="341"/>
      <c r="O195" s="341"/>
      <c r="P195" s="341"/>
      <c r="Q195" s="341"/>
      <c r="R195" s="343"/>
      <c r="AA195" s="338">
        <f t="shared" si="3"/>
        <v>34700</v>
      </c>
    </row>
    <row r="196" spans="1:27" ht="15.75" customHeight="1" thickBot="1" x14ac:dyDescent="0.35">
      <c r="A196" s="339"/>
      <c r="B196" s="340"/>
      <c r="C196" s="341"/>
      <c r="D196" s="339"/>
      <c r="E196" s="341"/>
      <c r="F196" s="341"/>
      <c r="G196" s="341"/>
      <c r="H196" s="341"/>
      <c r="I196" s="341"/>
      <c r="J196" s="341"/>
      <c r="K196" s="342"/>
      <c r="L196" s="17"/>
      <c r="M196" s="341"/>
      <c r="N196" s="341"/>
      <c r="O196" s="342"/>
      <c r="P196" s="341"/>
      <c r="Q196" s="341"/>
      <c r="R196" s="343"/>
      <c r="AA196" s="338">
        <f t="shared" si="3"/>
        <v>34700</v>
      </c>
    </row>
    <row r="197" spans="1:27" ht="15.75" customHeight="1" thickBot="1" x14ac:dyDescent="0.35">
      <c r="A197" s="339"/>
      <c r="B197" s="340"/>
      <c r="C197" s="341"/>
      <c r="D197" s="344"/>
      <c r="E197" s="341"/>
      <c r="F197" s="341"/>
      <c r="G197" s="341"/>
      <c r="H197" s="341"/>
      <c r="I197" s="341"/>
      <c r="J197" s="341"/>
      <c r="K197" s="342"/>
      <c r="L197" s="341"/>
      <c r="M197" s="342"/>
      <c r="N197" s="341"/>
      <c r="O197" s="342"/>
      <c r="P197" s="341"/>
      <c r="Q197" s="341"/>
      <c r="R197" s="343"/>
      <c r="AA197" s="338">
        <f t="shared" si="3"/>
        <v>34700</v>
      </c>
    </row>
    <row r="198" spans="1:27" ht="15.75" customHeight="1" thickBot="1" x14ac:dyDescent="0.35">
      <c r="A198" s="339"/>
      <c r="B198" s="340"/>
      <c r="C198" s="341"/>
      <c r="D198" s="339"/>
      <c r="E198" s="341"/>
      <c r="F198" s="341"/>
      <c r="G198" s="341"/>
      <c r="H198" s="341"/>
      <c r="I198" s="341"/>
      <c r="J198" s="341"/>
      <c r="K198" s="342"/>
      <c r="L198" s="17"/>
      <c r="M198" s="341"/>
      <c r="N198" s="341"/>
      <c r="O198" s="342"/>
      <c r="P198" s="341"/>
      <c r="Q198" s="341"/>
      <c r="R198" s="343"/>
      <c r="AA198" s="338">
        <f t="shared" si="3"/>
        <v>34700</v>
      </c>
    </row>
    <row r="199" spans="1:27" ht="15.75" customHeight="1" thickBot="1" x14ac:dyDescent="0.35">
      <c r="A199" s="339"/>
      <c r="B199" s="340"/>
      <c r="C199" s="341"/>
      <c r="D199" s="344"/>
      <c r="E199" s="341"/>
      <c r="F199" s="341"/>
      <c r="G199" s="341"/>
      <c r="H199" s="341"/>
      <c r="I199" s="341"/>
      <c r="J199" s="341"/>
      <c r="K199" s="342"/>
      <c r="L199" s="341"/>
      <c r="M199" s="342"/>
      <c r="N199" s="341"/>
      <c r="O199" s="342"/>
      <c r="P199" s="341"/>
      <c r="Q199" s="341"/>
      <c r="R199" s="343"/>
      <c r="AA199" s="338">
        <f t="shared" si="3"/>
        <v>34700</v>
      </c>
    </row>
    <row r="200" spans="1:27" ht="15.75" customHeight="1" thickBot="1" x14ac:dyDescent="0.35">
      <c r="A200" s="339"/>
      <c r="B200" s="340"/>
      <c r="C200" s="341"/>
      <c r="D200" s="341"/>
      <c r="E200" s="341"/>
      <c r="F200" s="341"/>
      <c r="G200" s="341"/>
      <c r="H200" s="341"/>
      <c r="I200" s="341"/>
      <c r="J200" s="341"/>
      <c r="K200" s="342"/>
      <c r="L200" s="341"/>
      <c r="M200" s="342"/>
      <c r="N200" s="341"/>
      <c r="O200" s="341"/>
      <c r="P200" s="341"/>
      <c r="Q200" s="341"/>
      <c r="R200" s="343"/>
      <c r="AA200" s="338">
        <f t="shared" si="3"/>
        <v>34700</v>
      </c>
    </row>
    <row r="201" spans="1:27" ht="15.75" customHeight="1" thickBot="1" x14ac:dyDescent="0.35">
      <c r="A201" s="339"/>
      <c r="B201" s="340"/>
      <c r="C201" s="341"/>
      <c r="D201" s="339"/>
      <c r="E201" s="341"/>
      <c r="F201" s="341"/>
      <c r="G201" s="341"/>
      <c r="H201" s="341"/>
      <c r="I201" s="341"/>
      <c r="J201" s="341"/>
      <c r="K201" s="342"/>
      <c r="L201" s="17"/>
      <c r="M201" s="341"/>
      <c r="N201" s="341"/>
      <c r="O201" s="342"/>
      <c r="P201" s="341"/>
      <c r="Q201" s="341"/>
      <c r="R201" s="343"/>
      <c r="AA201" s="338">
        <f t="shared" si="3"/>
        <v>34700</v>
      </c>
    </row>
    <row r="202" spans="1:27" ht="15.75" customHeight="1" thickBot="1" x14ac:dyDescent="0.35">
      <c r="A202" s="339"/>
      <c r="B202" s="340"/>
      <c r="C202" s="341"/>
      <c r="D202" s="339"/>
      <c r="E202" s="341"/>
      <c r="F202" s="341"/>
      <c r="G202" s="341"/>
      <c r="H202" s="341"/>
      <c r="I202" s="341"/>
      <c r="J202" s="341"/>
      <c r="K202" s="342"/>
      <c r="L202" s="17"/>
      <c r="M202" s="341"/>
      <c r="N202" s="341"/>
      <c r="O202" s="342"/>
      <c r="P202" s="341"/>
      <c r="Q202" s="341"/>
      <c r="R202" s="343"/>
      <c r="AA202" s="338">
        <f t="shared" si="3"/>
        <v>34700</v>
      </c>
    </row>
    <row r="203" spans="1:27" x14ac:dyDescent="0.3">
      <c r="A203" s="345"/>
      <c r="B203" s="345"/>
      <c r="C203" s="345"/>
      <c r="D203" s="345"/>
      <c r="E203" s="345"/>
      <c r="F203" s="345"/>
      <c r="G203" s="345"/>
      <c r="H203" s="345"/>
      <c r="I203" s="346"/>
      <c r="J203" s="347"/>
      <c r="K203" s="348"/>
      <c r="L203" s="347"/>
      <c r="M203" s="348"/>
      <c r="N203" s="347"/>
      <c r="O203" s="348"/>
      <c r="P203" s="345"/>
      <c r="Q203" s="345"/>
      <c r="R203" s="345"/>
      <c r="AA203" s="338">
        <f t="shared" si="3"/>
        <v>34700</v>
      </c>
    </row>
    <row r="204" spans="1:27" x14ac:dyDescent="0.3">
      <c r="AA204" s="338">
        <f t="shared" si="3"/>
        <v>34700</v>
      </c>
    </row>
    <row r="205" spans="1:27" x14ac:dyDescent="0.3">
      <c r="AA205" s="338">
        <f t="shared" si="3"/>
        <v>34700</v>
      </c>
    </row>
    <row r="206" spans="1:27" x14ac:dyDescent="0.3">
      <c r="AA206" s="338">
        <f t="shared" si="3"/>
        <v>34700</v>
      </c>
    </row>
    <row r="207" spans="1:27" x14ac:dyDescent="0.3">
      <c r="AA207" s="338">
        <f t="shared" si="3"/>
        <v>34700</v>
      </c>
    </row>
    <row r="208" spans="1:27" x14ac:dyDescent="0.3">
      <c r="AA208" s="338">
        <f t="shared" si="3"/>
        <v>34700</v>
      </c>
    </row>
    <row r="209" spans="27:27" x14ac:dyDescent="0.3">
      <c r="AA209" s="338">
        <f t="shared" si="3"/>
        <v>34700</v>
      </c>
    </row>
    <row r="210" spans="27:27" x14ac:dyDescent="0.3">
      <c r="AA210" s="338">
        <f t="shared" si="3"/>
        <v>34700</v>
      </c>
    </row>
    <row r="211" spans="27:27" x14ac:dyDescent="0.3">
      <c r="AA211" s="338">
        <f t="shared" si="3"/>
        <v>34700</v>
      </c>
    </row>
    <row r="212" spans="27:27" x14ac:dyDescent="0.3">
      <c r="AA212" s="338">
        <f t="shared" si="3"/>
        <v>34700</v>
      </c>
    </row>
    <row r="213" spans="27:27" x14ac:dyDescent="0.3">
      <c r="AA213" s="338">
        <f t="shared" si="3"/>
        <v>34700</v>
      </c>
    </row>
    <row r="214" spans="27:27" x14ac:dyDescent="0.3">
      <c r="AA214" s="338">
        <f t="shared" si="3"/>
        <v>34700</v>
      </c>
    </row>
    <row r="215" spans="27:27" x14ac:dyDescent="0.3">
      <c r="AA215" s="338">
        <f t="shared" si="3"/>
        <v>34700</v>
      </c>
    </row>
    <row r="216" spans="27:27" x14ac:dyDescent="0.3">
      <c r="AA216" s="338">
        <f t="shared" si="3"/>
        <v>34700</v>
      </c>
    </row>
    <row r="217" spans="27:27" x14ac:dyDescent="0.3">
      <c r="AA217" s="338">
        <f t="shared" si="3"/>
        <v>34700</v>
      </c>
    </row>
    <row r="218" spans="27:27" x14ac:dyDescent="0.3">
      <c r="AA218" s="338">
        <f t="shared" si="3"/>
        <v>34700</v>
      </c>
    </row>
    <row r="219" spans="27:27" x14ac:dyDescent="0.3">
      <c r="AA219" s="338">
        <f t="shared" si="3"/>
        <v>34700</v>
      </c>
    </row>
    <row r="220" spans="27:27" x14ac:dyDescent="0.3">
      <c r="AA220" s="338">
        <f t="shared" si="3"/>
        <v>34700</v>
      </c>
    </row>
    <row r="221" spans="27:27" x14ac:dyDescent="0.3">
      <c r="AA221" s="338">
        <f t="shared" si="3"/>
        <v>34700</v>
      </c>
    </row>
    <row r="222" spans="27:27" x14ac:dyDescent="0.3">
      <c r="AA222" s="338">
        <f t="shared" si="3"/>
        <v>34700</v>
      </c>
    </row>
    <row r="223" spans="27:27" x14ac:dyDescent="0.3">
      <c r="AA223" s="338">
        <f t="shared" si="3"/>
        <v>34700</v>
      </c>
    </row>
    <row r="224" spans="27:27" x14ac:dyDescent="0.3">
      <c r="AA224" s="338">
        <f t="shared" si="3"/>
        <v>34700</v>
      </c>
    </row>
    <row r="225" spans="27:27" x14ac:dyDescent="0.3">
      <c r="AA225" s="338">
        <f t="shared" si="3"/>
        <v>34700</v>
      </c>
    </row>
    <row r="226" spans="27:27" x14ac:dyDescent="0.3">
      <c r="AA226" s="338">
        <f t="shared" si="3"/>
        <v>34700</v>
      </c>
    </row>
    <row r="227" spans="27:27" x14ac:dyDescent="0.3">
      <c r="AA227" s="338">
        <f t="shared" si="3"/>
        <v>34700</v>
      </c>
    </row>
    <row r="228" spans="27:27" x14ac:dyDescent="0.3">
      <c r="AA228" s="338">
        <f t="shared" si="3"/>
        <v>34700</v>
      </c>
    </row>
    <row r="229" spans="27:27" x14ac:dyDescent="0.3">
      <c r="AA229" s="338">
        <f t="shared" si="3"/>
        <v>34700</v>
      </c>
    </row>
    <row r="230" spans="27:27" x14ac:dyDescent="0.3">
      <c r="AA230" s="338">
        <f t="shared" si="3"/>
        <v>34700</v>
      </c>
    </row>
    <row r="231" spans="27:27" x14ac:dyDescent="0.3">
      <c r="AA231" s="338">
        <f t="shared" si="3"/>
        <v>34700</v>
      </c>
    </row>
    <row r="232" spans="27:27" x14ac:dyDescent="0.3">
      <c r="AA232" s="338">
        <f t="shared" si="3"/>
        <v>34700</v>
      </c>
    </row>
    <row r="233" spans="27:27" x14ac:dyDescent="0.3">
      <c r="AA233" s="338">
        <f t="shared" si="3"/>
        <v>34700</v>
      </c>
    </row>
    <row r="234" spans="27:27" x14ac:dyDescent="0.3">
      <c r="AA234" s="338">
        <f t="shared" si="3"/>
        <v>34700</v>
      </c>
    </row>
    <row r="235" spans="27:27" x14ac:dyDescent="0.3">
      <c r="AA235" s="338">
        <f t="shared" si="3"/>
        <v>34700</v>
      </c>
    </row>
    <row r="236" spans="27:27" x14ac:dyDescent="0.3">
      <c r="AA236" s="338">
        <f t="shared" si="3"/>
        <v>34700</v>
      </c>
    </row>
    <row r="237" spans="27:27" x14ac:dyDescent="0.3">
      <c r="AA237" s="338">
        <f t="shared" si="3"/>
        <v>34700</v>
      </c>
    </row>
    <row r="238" spans="27:27" x14ac:dyDescent="0.3">
      <c r="AA238" s="338">
        <f t="shared" si="3"/>
        <v>34700</v>
      </c>
    </row>
    <row r="239" spans="27:27" x14ac:dyDescent="0.3">
      <c r="AA239" s="338">
        <f t="shared" si="3"/>
        <v>34700</v>
      </c>
    </row>
    <row r="240" spans="27:27" x14ac:dyDescent="0.3">
      <c r="AA240" s="338">
        <f t="shared" si="3"/>
        <v>34700</v>
      </c>
    </row>
    <row r="241" spans="27:27" x14ac:dyDescent="0.3">
      <c r="AA241" s="338">
        <f t="shared" si="3"/>
        <v>34700</v>
      </c>
    </row>
    <row r="242" spans="27:27" x14ac:dyDescent="0.3">
      <c r="AA242" s="338">
        <f t="shared" si="3"/>
        <v>34700</v>
      </c>
    </row>
    <row r="243" spans="27:27" x14ac:dyDescent="0.3">
      <c r="AA243" s="338">
        <f t="shared" si="3"/>
        <v>34700</v>
      </c>
    </row>
    <row r="244" spans="27:27" x14ac:dyDescent="0.3">
      <c r="AA244" s="338">
        <f t="shared" si="3"/>
        <v>34700</v>
      </c>
    </row>
    <row r="245" spans="27:27" x14ac:dyDescent="0.3">
      <c r="AA245" s="338">
        <f t="shared" si="3"/>
        <v>34700</v>
      </c>
    </row>
    <row r="246" spans="27:27" x14ac:dyDescent="0.3">
      <c r="AA246" s="338">
        <f t="shared" si="3"/>
        <v>34700</v>
      </c>
    </row>
    <row r="247" spans="27:27" x14ac:dyDescent="0.3">
      <c r="AA247" s="338">
        <f t="shared" si="3"/>
        <v>34700</v>
      </c>
    </row>
    <row r="248" spans="27:27" x14ac:dyDescent="0.3">
      <c r="AA248" s="338">
        <f t="shared" si="3"/>
        <v>34700</v>
      </c>
    </row>
    <row r="249" spans="27:27" x14ac:dyDescent="0.3">
      <c r="AA249" s="338">
        <f t="shared" si="3"/>
        <v>34700</v>
      </c>
    </row>
    <row r="250" spans="27:27" x14ac:dyDescent="0.3">
      <c r="AA250" s="338">
        <f t="shared" si="3"/>
        <v>34700</v>
      </c>
    </row>
    <row r="251" spans="27:27" x14ac:dyDescent="0.3">
      <c r="AA251" s="338">
        <f t="shared" si="3"/>
        <v>34700</v>
      </c>
    </row>
    <row r="252" spans="27:27" x14ac:dyDescent="0.3">
      <c r="AA252" s="338">
        <f t="shared" si="3"/>
        <v>34700</v>
      </c>
    </row>
    <row r="253" spans="27:27" x14ac:dyDescent="0.3">
      <c r="AA253" s="338">
        <f t="shared" si="3"/>
        <v>34700</v>
      </c>
    </row>
    <row r="254" spans="27:27" x14ac:dyDescent="0.3">
      <c r="AA254" s="338">
        <f t="shared" si="3"/>
        <v>34700</v>
      </c>
    </row>
    <row r="255" spans="27:27" x14ac:dyDescent="0.3">
      <c r="AA255" s="338">
        <f t="shared" si="3"/>
        <v>34700</v>
      </c>
    </row>
    <row r="256" spans="27:27" x14ac:dyDescent="0.3">
      <c r="AA256" s="338">
        <f t="shared" si="3"/>
        <v>34700</v>
      </c>
    </row>
    <row r="257" spans="27:27" x14ac:dyDescent="0.3">
      <c r="AA257" s="338">
        <f t="shared" ref="AA257:AA320" si="4">IFERROR(
IF(ISNUMBER(C257),C257,DATE(VALUE(RIGHT(C257,4)),VALUE(MID(SUBSTITUTE(C257,"/","-"),FIND("-",SUBSTITUTE(C257,"/","-"))+1,FIND("-",SUBSTITUTE(C257,"/","-"),FIND("-",SUBSTITUTE(C257,"/","-"))+1)-FIND("-",SUBSTITUTE(C257,"/","-"))-1)),VALUE(LEFT(SUBSTITUTE(C257,"/","-"),FIND("-",SUBSTITUTE(C257,"/","-"))-1)))),
DATE(1995,1,1)
)</f>
        <v>34700</v>
      </c>
    </row>
    <row r="258" spans="27:27" x14ac:dyDescent="0.3">
      <c r="AA258" s="338">
        <f t="shared" si="4"/>
        <v>34700</v>
      </c>
    </row>
    <row r="259" spans="27:27" x14ac:dyDescent="0.3">
      <c r="AA259" s="338">
        <f t="shared" si="4"/>
        <v>34700</v>
      </c>
    </row>
    <row r="260" spans="27:27" x14ac:dyDescent="0.3">
      <c r="AA260" s="338">
        <f t="shared" si="4"/>
        <v>34700</v>
      </c>
    </row>
    <row r="261" spans="27:27" x14ac:dyDescent="0.3">
      <c r="AA261" s="338">
        <f t="shared" si="4"/>
        <v>34700</v>
      </c>
    </row>
    <row r="262" spans="27:27" x14ac:dyDescent="0.3">
      <c r="AA262" s="338">
        <f t="shared" si="4"/>
        <v>34700</v>
      </c>
    </row>
    <row r="263" spans="27:27" x14ac:dyDescent="0.3">
      <c r="AA263" s="338">
        <f t="shared" si="4"/>
        <v>34700</v>
      </c>
    </row>
    <row r="264" spans="27:27" x14ac:dyDescent="0.3">
      <c r="AA264" s="338">
        <f t="shared" si="4"/>
        <v>34700</v>
      </c>
    </row>
    <row r="265" spans="27:27" x14ac:dyDescent="0.3">
      <c r="AA265" s="338">
        <f t="shared" si="4"/>
        <v>34700</v>
      </c>
    </row>
    <row r="266" spans="27:27" x14ac:dyDescent="0.3">
      <c r="AA266" s="338">
        <f t="shared" si="4"/>
        <v>34700</v>
      </c>
    </row>
    <row r="267" spans="27:27" x14ac:dyDescent="0.3">
      <c r="AA267" s="338">
        <f t="shared" si="4"/>
        <v>34700</v>
      </c>
    </row>
    <row r="268" spans="27:27" x14ac:dyDescent="0.3">
      <c r="AA268" s="338">
        <f t="shared" si="4"/>
        <v>34700</v>
      </c>
    </row>
    <row r="269" spans="27:27" x14ac:dyDescent="0.3">
      <c r="AA269" s="338">
        <f t="shared" si="4"/>
        <v>34700</v>
      </c>
    </row>
    <row r="270" spans="27:27" x14ac:dyDescent="0.3">
      <c r="AA270" s="338">
        <f t="shared" si="4"/>
        <v>34700</v>
      </c>
    </row>
    <row r="271" spans="27:27" x14ac:dyDescent="0.3">
      <c r="AA271" s="338">
        <f t="shared" si="4"/>
        <v>34700</v>
      </c>
    </row>
    <row r="272" spans="27:27" x14ac:dyDescent="0.3">
      <c r="AA272" s="338">
        <f t="shared" si="4"/>
        <v>34700</v>
      </c>
    </row>
    <row r="273" spans="27:27" x14ac:dyDescent="0.3">
      <c r="AA273" s="338">
        <f t="shared" si="4"/>
        <v>34700</v>
      </c>
    </row>
    <row r="274" spans="27:27" x14ac:dyDescent="0.3">
      <c r="AA274" s="338">
        <f t="shared" si="4"/>
        <v>34700</v>
      </c>
    </row>
    <row r="275" spans="27:27" x14ac:dyDescent="0.3">
      <c r="AA275" s="338">
        <f t="shared" si="4"/>
        <v>34700</v>
      </c>
    </row>
    <row r="276" spans="27:27" x14ac:dyDescent="0.3">
      <c r="AA276" s="338">
        <f t="shared" si="4"/>
        <v>34700</v>
      </c>
    </row>
    <row r="277" spans="27:27" x14ac:dyDescent="0.3">
      <c r="AA277" s="338">
        <f t="shared" si="4"/>
        <v>34700</v>
      </c>
    </row>
    <row r="278" spans="27:27" x14ac:dyDescent="0.3">
      <c r="AA278" s="338">
        <f t="shared" si="4"/>
        <v>34700</v>
      </c>
    </row>
    <row r="279" spans="27:27" x14ac:dyDescent="0.3">
      <c r="AA279" s="338">
        <f t="shared" si="4"/>
        <v>34700</v>
      </c>
    </row>
    <row r="280" spans="27:27" x14ac:dyDescent="0.3">
      <c r="AA280" s="338">
        <f t="shared" si="4"/>
        <v>34700</v>
      </c>
    </row>
    <row r="281" spans="27:27" x14ac:dyDescent="0.3">
      <c r="AA281" s="338">
        <f t="shared" si="4"/>
        <v>34700</v>
      </c>
    </row>
    <row r="282" spans="27:27" x14ac:dyDescent="0.3">
      <c r="AA282" s="338">
        <f t="shared" si="4"/>
        <v>34700</v>
      </c>
    </row>
    <row r="283" spans="27:27" x14ac:dyDescent="0.3">
      <c r="AA283" s="338">
        <f t="shared" si="4"/>
        <v>34700</v>
      </c>
    </row>
    <row r="284" spans="27:27" x14ac:dyDescent="0.3">
      <c r="AA284" s="338">
        <f t="shared" si="4"/>
        <v>34700</v>
      </c>
    </row>
    <row r="285" spans="27:27" x14ac:dyDescent="0.3">
      <c r="AA285" s="338">
        <f t="shared" si="4"/>
        <v>34700</v>
      </c>
    </row>
    <row r="286" spans="27:27" x14ac:dyDescent="0.3">
      <c r="AA286" s="338">
        <f t="shared" si="4"/>
        <v>34700</v>
      </c>
    </row>
    <row r="287" spans="27:27" x14ac:dyDescent="0.3">
      <c r="AA287" s="338">
        <f t="shared" si="4"/>
        <v>34700</v>
      </c>
    </row>
    <row r="288" spans="27:27" x14ac:dyDescent="0.3">
      <c r="AA288" s="338">
        <f t="shared" si="4"/>
        <v>34700</v>
      </c>
    </row>
    <row r="289" spans="27:27" x14ac:dyDescent="0.3">
      <c r="AA289" s="338">
        <f t="shared" si="4"/>
        <v>34700</v>
      </c>
    </row>
    <row r="290" spans="27:27" x14ac:dyDescent="0.3">
      <c r="AA290" s="338">
        <f t="shared" si="4"/>
        <v>34700</v>
      </c>
    </row>
    <row r="291" spans="27:27" x14ac:dyDescent="0.3">
      <c r="AA291" s="338">
        <f t="shared" si="4"/>
        <v>34700</v>
      </c>
    </row>
    <row r="292" spans="27:27" x14ac:dyDescent="0.3">
      <c r="AA292" s="338">
        <f t="shared" si="4"/>
        <v>34700</v>
      </c>
    </row>
    <row r="293" spans="27:27" x14ac:dyDescent="0.3">
      <c r="AA293" s="338">
        <f t="shared" si="4"/>
        <v>34700</v>
      </c>
    </row>
    <row r="294" spans="27:27" x14ac:dyDescent="0.3">
      <c r="AA294" s="338">
        <f t="shared" si="4"/>
        <v>34700</v>
      </c>
    </row>
    <row r="295" spans="27:27" x14ac:dyDescent="0.3">
      <c r="AA295" s="338">
        <f t="shared" si="4"/>
        <v>34700</v>
      </c>
    </row>
    <row r="296" spans="27:27" x14ac:dyDescent="0.3">
      <c r="AA296" s="338">
        <f t="shared" si="4"/>
        <v>34700</v>
      </c>
    </row>
    <row r="297" spans="27:27" x14ac:dyDescent="0.3">
      <c r="AA297" s="338">
        <f t="shared" si="4"/>
        <v>34700</v>
      </c>
    </row>
    <row r="298" spans="27:27" x14ac:dyDescent="0.3">
      <c r="AA298" s="338">
        <f t="shared" si="4"/>
        <v>34700</v>
      </c>
    </row>
    <row r="299" spans="27:27" x14ac:dyDescent="0.3">
      <c r="AA299" s="338">
        <f t="shared" si="4"/>
        <v>34700</v>
      </c>
    </row>
    <row r="300" spans="27:27" x14ac:dyDescent="0.3">
      <c r="AA300" s="338">
        <f t="shared" si="4"/>
        <v>34700</v>
      </c>
    </row>
    <row r="301" spans="27:27" x14ac:dyDescent="0.3">
      <c r="AA301" s="338">
        <f t="shared" si="4"/>
        <v>34700</v>
      </c>
    </row>
    <row r="302" spans="27:27" x14ac:dyDescent="0.3">
      <c r="AA302" s="338">
        <f t="shared" si="4"/>
        <v>34700</v>
      </c>
    </row>
    <row r="303" spans="27:27" x14ac:dyDescent="0.3">
      <c r="AA303" s="338">
        <f t="shared" si="4"/>
        <v>34700</v>
      </c>
    </row>
    <row r="304" spans="27:27" x14ac:dyDescent="0.3">
      <c r="AA304" s="338">
        <f t="shared" si="4"/>
        <v>34700</v>
      </c>
    </row>
    <row r="305" spans="27:27" x14ac:dyDescent="0.3">
      <c r="AA305" s="338">
        <f t="shared" si="4"/>
        <v>34700</v>
      </c>
    </row>
    <row r="306" spans="27:27" x14ac:dyDescent="0.3">
      <c r="AA306" s="338">
        <f t="shared" si="4"/>
        <v>34700</v>
      </c>
    </row>
    <row r="307" spans="27:27" x14ac:dyDescent="0.3">
      <c r="AA307" s="338">
        <f t="shared" si="4"/>
        <v>34700</v>
      </c>
    </row>
    <row r="308" spans="27:27" x14ac:dyDescent="0.3">
      <c r="AA308" s="338">
        <f t="shared" si="4"/>
        <v>34700</v>
      </c>
    </row>
    <row r="309" spans="27:27" x14ac:dyDescent="0.3">
      <c r="AA309" s="338">
        <f t="shared" si="4"/>
        <v>34700</v>
      </c>
    </row>
    <row r="310" spans="27:27" x14ac:dyDescent="0.3">
      <c r="AA310" s="338">
        <f t="shared" si="4"/>
        <v>34700</v>
      </c>
    </row>
    <row r="311" spans="27:27" x14ac:dyDescent="0.3">
      <c r="AA311" s="338">
        <f t="shared" si="4"/>
        <v>34700</v>
      </c>
    </row>
    <row r="312" spans="27:27" x14ac:dyDescent="0.3">
      <c r="AA312" s="338">
        <f t="shared" si="4"/>
        <v>34700</v>
      </c>
    </row>
    <row r="313" spans="27:27" x14ac:dyDescent="0.3">
      <c r="AA313" s="338">
        <f t="shared" si="4"/>
        <v>34700</v>
      </c>
    </row>
    <row r="314" spans="27:27" x14ac:dyDescent="0.3">
      <c r="AA314" s="338">
        <f t="shared" si="4"/>
        <v>34700</v>
      </c>
    </row>
    <row r="315" spans="27:27" x14ac:dyDescent="0.3">
      <c r="AA315" s="338">
        <f t="shared" si="4"/>
        <v>34700</v>
      </c>
    </row>
    <row r="316" spans="27:27" x14ac:dyDescent="0.3">
      <c r="AA316" s="338">
        <f t="shared" si="4"/>
        <v>34700</v>
      </c>
    </row>
    <row r="317" spans="27:27" x14ac:dyDescent="0.3">
      <c r="AA317" s="338">
        <f t="shared" si="4"/>
        <v>34700</v>
      </c>
    </row>
    <row r="318" spans="27:27" x14ac:dyDescent="0.3">
      <c r="AA318" s="338">
        <f t="shared" si="4"/>
        <v>34700</v>
      </c>
    </row>
    <row r="319" spans="27:27" x14ac:dyDescent="0.3">
      <c r="AA319" s="338">
        <f t="shared" si="4"/>
        <v>34700</v>
      </c>
    </row>
    <row r="320" spans="27:27" x14ac:dyDescent="0.3">
      <c r="AA320" s="338">
        <f t="shared" si="4"/>
        <v>34700</v>
      </c>
    </row>
    <row r="321" spans="27:27" x14ac:dyDescent="0.3">
      <c r="AA321" s="338">
        <f t="shared" ref="AA321:AA384" si="5">IFERROR(
IF(ISNUMBER(C321),C321,DATE(VALUE(RIGHT(C321,4)),VALUE(MID(SUBSTITUTE(C321,"/","-"),FIND("-",SUBSTITUTE(C321,"/","-"))+1,FIND("-",SUBSTITUTE(C321,"/","-"),FIND("-",SUBSTITUTE(C321,"/","-"))+1)-FIND("-",SUBSTITUTE(C321,"/","-"))-1)),VALUE(LEFT(SUBSTITUTE(C321,"/","-"),FIND("-",SUBSTITUTE(C321,"/","-"))-1)))),
DATE(1995,1,1)
)</f>
        <v>34700</v>
      </c>
    </row>
    <row r="322" spans="27:27" x14ac:dyDescent="0.3">
      <c r="AA322" s="338">
        <f t="shared" si="5"/>
        <v>34700</v>
      </c>
    </row>
    <row r="323" spans="27:27" x14ac:dyDescent="0.3">
      <c r="AA323" s="338">
        <f t="shared" si="5"/>
        <v>34700</v>
      </c>
    </row>
    <row r="324" spans="27:27" x14ac:dyDescent="0.3">
      <c r="AA324" s="338">
        <f t="shared" si="5"/>
        <v>34700</v>
      </c>
    </row>
    <row r="325" spans="27:27" x14ac:dyDescent="0.3">
      <c r="AA325" s="338">
        <f t="shared" si="5"/>
        <v>34700</v>
      </c>
    </row>
    <row r="326" spans="27:27" x14ac:dyDescent="0.3">
      <c r="AA326" s="338">
        <f t="shared" si="5"/>
        <v>34700</v>
      </c>
    </row>
    <row r="327" spans="27:27" x14ac:dyDescent="0.3">
      <c r="AA327" s="338">
        <f t="shared" si="5"/>
        <v>34700</v>
      </c>
    </row>
    <row r="328" spans="27:27" x14ac:dyDescent="0.3">
      <c r="AA328" s="338">
        <f t="shared" si="5"/>
        <v>34700</v>
      </c>
    </row>
    <row r="329" spans="27:27" x14ac:dyDescent="0.3">
      <c r="AA329" s="338">
        <f t="shared" si="5"/>
        <v>34700</v>
      </c>
    </row>
    <row r="330" spans="27:27" x14ac:dyDescent="0.3">
      <c r="AA330" s="338">
        <f t="shared" si="5"/>
        <v>34700</v>
      </c>
    </row>
    <row r="331" spans="27:27" x14ac:dyDescent="0.3">
      <c r="AA331" s="338">
        <f t="shared" si="5"/>
        <v>34700</v>
      </c>
    </row>
    <row r="332" spans="27:27" x14ac:dyDescent="0.3">
      <c r="AA332" s="338">
        <f t="shared" si="5"/>
        <v>34700</v>
      </c>
    </row>
    <row r="333" spans="27:27" x14ac:dyDescent="0.3">
      <c r="AA333" s="338">
        <f t="shared" si="5"/>
        <v>34700</v>
      </c>
    </row>
    <row r="334" spans="27:27" x14ac:dyDescent="0.3">
      <c r="AA334" s="338">
        <f t="shared" si="5"/>
        <v>34700</v>
      </c>
    </row>
    <row r="335" spans="27:27" x14ac:dyDescent="0.3">
      <c r="AA335" s="338">
        <f t="shared" si="5"/>
        <v>34700</v>
      </c>
    </row>
    <row r="336" spans="27:27" x14ac:dyDescent="0.3">
      <c r="AA336" s="338">
        <f t="shared" si="5"/>
        <v>34700</v>
      </c>
    </row>
    <row r="337" spans="27:27" x14ac:dyDescent="0.3">
      <c r="AA337" s="338">
        <f t="shared" si="5"/>
        <v>34700</v>
      </c>
    </row>
    <row r="338" spans="27:27" x14ac:dyDescent="0.3">
      <c r="AA338" s="338">
        <f t="shared" si="5"/>
        <v>34700</v>
      </c>
    </row>
    <row r="339" spans="27:27" x14ac:dyDescent="0.3">
      <c r="AA339" s="338">
        <f t="shared" si="5"/>
        <v>34700</v>
      </c>
    </row>
    <row r="340" spans="27:27" x14ac:dyDescent="0.3">
      <c r="AA340" s="338">
        <f t="shared" si="5"/>
        <v>34700</v>
      </c>
    </row>
    <row r="341" spans="27:27" x14ac:dyDescent="0.3">
      <c r="AA341" s="338">
        <f t="shared" si="5"/>
        <v>34700</v>
      </c>
    </row>
    <row r="342" spans="27:27" x14ac:dyDescent="0.3">
      <c r="AA342" s="338">
        <f t="shared" si="5"/>
        <v>34700</v>
      </c>
    </row>
    <row r="343" spans="27:27" x14ac:dyDescent="0.3">
      <c r="AA343" s="338">
        <f t="shared" si="5"/>
        <v>34700</v>
      </c>
    </row>
    <row r="344" spans="27:27" x14ac:dyDescent="0.3">
      <c r="AA344" s="338">
        <f t="shared" si="5"/>
        <v>34700</v>
      </c>
    </row>
    <row r="345" spans="27:27" x14ac:dyDescent="0.3">
      <c r="AA345" s="338">
        <f t="shared" si="5"/>
        <v>34700</v>
      </c>
    </row>
    <row r="346" spans="27:27" x14ac:dyDescent="0.3">
      <c r="AA346" s="338">
        <f t="shared" si="5"/>
        <v>34700</v>
      </c>
    </row>
    <row r="347" spans="27:27" x14ac:dyDescent="0.3">
      <c r="AA347" s="338">
        <f t="shared" si="5"/>
        <v>34700</v>
      </c>
    </row>
    <row r="348" spans="27:27" x14ac:dyDescent="0.3">
      <c r="AA348" s="338">
        <f t="shared" si="5"/>
        <v>34700</v>
      </c>
    </row>
    <row r="349" spans="27:27" x14ac:dyDescent="0.3">
      <c r="AA349" s="338">
        <f t="shared" si="5"/>
        <v>34700</v>
      </c>
    </row>
    <row r="350" spans="27:27" x14ac:dyDescent="0.3">
      <c r="AA350" s="338">
        <f t="shared" si="5"/>
        <v>34700</v>
      </c>
    </row>
    <row r="351" spans="27:27" x14ac:dyDescent="0.3">
      <c r="AA351" s="338">
        <f t="shared" si="5"/>
        <v>34700</v>
      </c>
    </row>
    <row r="352" spans="27:27" x14ac:dyDescent="0.3">
      <c r="AA352" s="338">
        <f t="shared" si="5"/>
        <v>34700</v>
      </c>
    </row>
    <row r="353" spans="27:27" x14ac:dyDescent="0.3">
      <c r="AA353" s="338">
        <f t="shared" si="5"/>
        <v>34700</v>
      </c>
    </row>
    <row r="354" spans="27:27" x14ac:dyDescent="0.3">
      <c r="AA354" s="338">
        <f t="shared" si="5"/>
        <v>34700</v>
      </c>
    </row>
    <row r="355" spans="27:27" x14ac:dyDescent="0.3">
      <c r="AA355" s="338">
        <f t="shared" si="5"/>
        <v>34700</v>
      </c>
    </row>
    <row r="356" spans="27:27" x14ac:dyDescent="0.3">
      <c r="AA356" s="338">
        <f t="shared" si="5"/>
        <v>34700</v>
      </c>
    </row>
    <row r="357" spans="27:27" x14ac:dyDescent="0.3">
      <c r="AA357" s="338">
        <f t="shared" si="5"/>
        <v>34700</v>
      </c>
    </row>
    <row r="358" spans="27:27" x14ac:dyDescent="0.3">
      <c r="AA358" s="338">
        <f t="shared" si="5"/>
        <v>34700</v>
      </c>
    </row>
    <row r="359" spans="27:27" x14ac:dyDescent="0.3">
      <c r="AA359" s="338">
        <f t="shared" si="5"/>
        <v>34700</v>
      </c>
    </row>
    <row r="360" spans="27:27" x14ac:dyDescent="0.3">
      <c r="AA360" s="338">
        <f t="shared" si="5"/>
        <v>34700</v>
      </c>
    </row>
    <row r="361" spans="27:27" x14ac:dyDescent="0.3">
      <c r="AA361" s="338">
        <f t="shared" si="5"/>
        <v>34700</v>
      </c>
    </row>
    <row r="362" spans="27:27" x14ac:dyDescent="0.3">
      <c r="AA362" s="338">
        <f t="shared" si="5"/>
        <v>34700</v>
      </c>
    </row>
    <row r="363" spans="27:27" x14ac:dyDescent="0.3">
      <c r="AA363" s="338">
        <f t="shared" si="5"/>
        <v>34700</v>
      </c>
    </row>
    <row r="364" spans="27:27" x14ac:dyDescent="0.3">
      <c r="AA364" s="338">
        <f t="shared" si="5"/>
        <v>34700</v>
      </c>
    </row>
    <row r="365" spans="27:27" x14ac:dyDescent="0.3">
      <c r="AA365" s="338">
        <f t="shared" si="5"/>
        <v>34700</v>
      </c>
    </row>
    <row r="366" spans="27:27" x14ac:dyDescent="0.3">
      <c r="AA366" s="338">
        <f t="shared" si="5"/>
        <v>34700</v>
      </c>
    </row>
    <row r="367" spans="27:27" x14ac:dyDescent="0.3">
      <c r="AA367" s="338">
        <f t="shared" si="5"/>
        <v>34700</v>
      </c>
    </row>
    <row r="368" spans="27:27" x14ac:dyDescent="0.3">
      <c r="AA368" s="338">
        <f t="shared" si="5"/>
        <v>34700</v>
      </c>
    </row>
    <row r="369" spans="27:27" x14ac:dyDescent="0.3">
      <c r="AA369" s="338">
        <f t="shared" si="5"/>
        <v>34700</v>
      </c>
    </row>
    <row r="370" spans="27:27" x14ac:dyDescent="0.3">
      <c r="AA370" s="338">
        <f t="shared" si="5"/>
        <v>34700</v>
      </c>
    </row>
    <row r="371" spans="27:27" x14ac:dyDescent="0.3">
      <c r="AA371" s="338">
        <f t="shared" si="5"/>
        <v>34700</v>
      </c>
    </row>
    <row r="372" spans="27:27" x14ac:dyDescent="0.3">
      <c r="AA372" s="338">
        <f t="shared" si="5"/>
        <v>34700</v>
      </c>
    </row>
    <row r="373" spans="27:27" x14ac:dyDescent="0.3">
      <c r="AA373" s="338">
        <f t="shared" si="5"/>
        <v>34700</v>
      </c>
    </row>
    <row r="374" spans="27:27" x14ac:dyDescent="0.3">
      <c r="AA374" s="338">
        <f t="shared" si="5"/>
        <v>34700</v>
      </c>
    </row>
    <row r="375" spans="27:27" x14ac:dyDescent="0.3">
      <c r="AA375" s="338">
        <f t="shared" si="5"/>
        <v>34700</v>
      </c>
    </row>
    <row r="376" spans="27:27" x14ac:dyDescent="0.3">
      <c r="AA376" s="338">
        <f t="shared" si="5"/>
        <v>34700</v>
      </c>
    </row>
    <row r="377" spans="27:27" x14ac:dyDescent="0.3">
      <c r="AA377" s="338">
        <f t="shared" si="5"/>
        <v>34700</v>
      </c>
    </row>
    <row r="378" spans="27:27" x14ac:dyDescent="0.3">
      <c r="AA378" s="338">
        <f t="shared" si="5"/>
        <v>34700</v>
      </c>
    </row>
    <row r="379" spans="27:27" x14ac:dyDescent="0.3">
      <c r="AA379" s="338">
        <f t="shared" si="5"/>
        <v>34700</v>
      </c>
    </row>
    <row r="380" spans="27:27" x14ac:dyDescent="0.3">
      <c r="AA380" s="338">
        <f t="shared" si="5"/>
        <v>34700</v>
      </c>
    </row>
    <row r="381" spans="27:27" x14ac:dyDescent="0.3">
      <c r="AA381" s="338">
        <f t="shared" si="5"/>
        <v>34700</v>
      </c>
    </row>
    <row r="382" spans="27:27" x14ac:dyDescent="0.3">
      <c r="AA382" s="338">
        <f t="shared" si="5"/>
        <v>34700</v>
      </c>
    </row>
    <row r="383" spans="27:27" x14ac:dyDescent="0.3">
      <c r="AA383" s="338">
        <f t="shared" si="5"/>
        <v>34700</v>
      </c>
    </row>
    <row r="384" spans="27:27" x14ac:dyDescent="0.3">
      <c r="AA384" s="338">
        <f t="shared" si="5"/>
        <v>34700</v>
      </c>
    </row>
    <row r="385" spans="27:27" x14ac:dyDescent="0.3">
      <c r="AA385" s="338">
        <f t="shared" ref="AA385:AA448" si="6">IFERROR(
IF(ISNUMBER(C385),C385,DATE(VALUE(RIGHT(C385,4)),VALUE(MID(SUBSTITUTE(C385,"/","-"),FIND("-",SUBSTITUTE(C385,"/","-"))+1,FIND("-",SUBSTITUTE(C385,"/","-"),FIND("-",SUBSTITUTE(C385,"/","-"))+1)-FIND("-",SUBSTITUTE(C385,"/","-"))-1)),VALUE(LEFT(SUBSTITUTE(C385,"/","-"),FIND("-",SUBSTITUTE(C385,"/","-"))-1)))),
DATE(1995,1,1)
)</f>
        <v>34700</v>
      </c>
    </row>
    <row r="386" spans="27:27" x14ac:dyDescent="0.3">
      <c r="AA386" s="338">
        <f t="shared" si="6"/>
        <v>34700</v>
      </c>
    </row>
    <row r="387" spans="27:27" x14ac:dyDescent="0.3">
      <c r="AA387" s="338">
        <f t="shared" si="6"/>
        <v>34700</v>
      </c>
    </row>
    <row r="388" spans="27:27" x14ac:dyDescent="0.3">
      <c r="AA388" s="338">
        <f t="shared" si="6"/>
        <v>34700</v>
      </c>
    </row>
    <row r="389" spans="27:27" x14ac:dyDescent="0.3">
      <c r="AA389" s="338">
        <f t="shared" si="6"/>
        <v>34700</v>
      </c>
    </row>
    <row r="390" spans="27:27" x14ac:dyDescent="0.3">
      <c r="AA390" s="338">
        <f t="shared" si="6"/>
        <v>34700</v>
      </c>
    </row>
    <row r="391" spans="27:27" x14ac:dyDescent="0.3">
      <c r="AA391" s="338">
        <f t="shared" si="6"/>
        <v>34700</v>
      </c>
    </row>
    <row r="392" spans="27:27" x14ac:dyDescent="0.3">
      <c r="AA392" s="338">
        <f t="shared" si="6"/>
        <v>34700</v>
      </c>
    </row>
    <row r="393" spans="27:27" x14ac:dyDescent="0.3">
      <c r="AA393" s="338">
        <f t="shared" si="6"/>
        <v>34700</v>
      </c>
    </row>
    <row r="394" spans="27:27" x14ac:dyDescent="0.3">
      <c r="AA394" s="338">
        <f t="shared" si="6"/>
        <v>34700</v>
      </c>
    </row>
    <row r="395" spans="27:27" x14ac:dyDescent="0.3">
      <c r="AA395" s="338">
        <f t="shared" si="6"/>
        <v>34700</v>
      </c>
    </row>
    <row r="396" spans="27:27" x14ac:dyDescent="0.3">
      <c r="AA396" s="338">
        <f t="shared" si="6"/>
        <v>34700</v>
      </c>
    </row>
    <row r="397" spans="27:27" x14ac:dyDescent="0.3">
      <c r="AA397" s="338">
        <f t="shared" si="6"/>
        <v>34700</v>
      </c>
    </row>
    <row r="398" spans="27:27" x14ac:dyDescent="0.3">
      <c r="AA398" s="338">
        <f t="shared" si="6"/>
        <v>34700</v>
      </c>
    </row>
    <row r="399" spans="27:27" x14ac:dyDescent="0.3">
      <c r="AA399" s="338">
        <f t="shared" si="6"/>
        <v>34700</v>
      </c>
    </row>
    <row r="400" spans="27:27" x14ac:dyDescent="0.3">
      <c r="AA400" s="338">
        <f t="shared" si="6"/>
        <v>34700</v>
      </c>
    </row>
    <row r="401" spans="27:27" x14ac:dyDescent="0.3">
      <c r="AA401" s="338">
        <f t="shared" si="6"/>
        <v>34700</v>
      </c>
    </row>
    <row r="402" spans="27:27" x14ac:dyDescent="0.3">
      <c r="AA402" s="338">
        <f t="shared" si="6"/>
        <v>34700</v>
      </c>
    </row>
    <row r="403" spans="27:27" x14ac:dyDescent="0.3">
      <c r="AA403" s="338">
        <f t="shared" si="6"/>
        <v>34700</v>
      </c>
    </row>
    <row r="404" spans="27:27" x14ac:dyDescent="0.3">
      <c r="AA404" s="338">
        <f t="shared" si="6"/>
        <v>34700</v>
      </c>
    </row>
    <row r="405" spans="27:27" x14ac:dyDescent="0.3">
      <c r="AA405" s="338">
        <f t="shared" si="6"/>
        <v>34700</v>
      </c>
    </row>
    <row r="406" spans="27:27" x14ac:dyDescent="0.3">
      <c r="AA406" s="338">
        <f t="shared" si="6"/>
        <v>34700</v>
      </c>
    </row>
    <row r="407" spans="27:27" x14ac:dyDescent="0.3">
      <c r="AA407" s="338">
        <f t="shared" si="6"/>
        <v>34700</v>
      </c>
    </row>
    <row r="408" spans="27:27" x14ac:dyDescent="0.3">
      <c r="AA408" s="338">
        <f t="shared" si="6"/>
        <v>34700</v>
      </c>
    </row>
    <row r="409" spans="27:27" x14ac:dyDescent="0.3">
      <c r="AA409" s="338">
        <f t="shared" si="6"/>
        <v>34700</v>
      </c>
    </row>
    <row r="410" spans="27:27" x14ac:dyDescent="0.3">
      <c r="AA410" s="338">
        <f t="shared" si="6"/>
        <v>34700</v>
      </c>
    </row>
    <row r="411" spans="27:27" x14ac:dyDescent="0.3">
      <c r="AA411" s="338">
        <f t="shared" si="6"/>
        <v>34700</v>
      </c>
    </row>
    <row r="412" spans="27:27" x14ac:dyDescent="0.3">
      <c r="AA412" s="338">
        <f t="shared" si="6"/>
        <v>34700</v>
      </c>
    </row>
    <row r="413" spans="27:27" x14ac:dyDescent="0.3">
      <c r="AA413" s="338">
        <f t="shared" si="6"/>
        <v>34700</v>
      </c>
    </row>
    <row r="414" spans="27:27" x14ac:dyDescent="0.3">
      <c r="AA414" s="338">
        <f t="shared" si="6"/>
        <v>34700</v>
      </c>
    </row>
    <row r="415" spans="27:27" x14ac:dyDescent="0.3">
      <c r="AA415" s="338">
        <f t="shared" si="6"/>
        <v>34700</v>
      </c>
    </row>
    <row r="416" spans="27:27" x14ac:dyDescent="0.3">
      <c r="AA416" s="338">
        <f t="shared" si="6"/>
        <v>34700</v>
      </c>
    </row>
    <row r="417" spans="27:27" x14ac:dyDescent="0.3">
      <c r="AA417" s="338">
        <f t="shared" si="6"/>
        <v>34700</v>
      </c>
    </row>
    <row r="418" spans="27:27" x14ac:dyDescent="0.3">
      <c r="AA418" s="338">
        <f t="shared" si="6"/>
        <v>34700</v>
      </c>
    </row>
    <row r="419" spans="27:27" x14ac:dyDescent="0.3">
      <c r="AA419" s="338">
        <f t="shared" si="6"/>
        <v>34700</v>
      </c>
    </row>
    <row r="420" spans="27:27" x14ac:dyDescent="0.3">
      <c r="AA420" s="338">
        <f t="shared" si="6"/>
        <v>34700</v>
      </c>
    </row>
    <row r="421" spans="27:27" x14ac:dyDescent="0.3">
      <c r="AA421" s="338">
        <f t="shared" si="6"/>
        <v>34700</v>
      </c>
    </row>
    <row r="422" spans="27:27" x14ac:dyDescent="0.3">
      <c r="AA422" s="338">
        <f t="shared" si="6"/>
        <v>34700</v>
      </c>
    </row>
    <row r="423" spans="27:27" x14ac:dyDescent="0.3">
      <c r="AA423" s="338">
        <f t="shared" si="6"/>
        <v>34700</v>
      </c>
    </row>
    <row r="424" spans="27:27" x14ac:dyDescent="0.3">
      <c r="AA424" s="338">
        <f t="shared" si="6"/>
        <v>34700</v>
      </c>
    </row>
    <row r="425" spans="27:27" x14ac:dyDescent="0.3">
      <c r="AA425" s="338">
        <f t="shared" si="6"/>
        <v>34700</v>
      </c>
    </row>
    <row r="426" spans="27:27" x14ac:dyDescent="0.3">
      <c r="AA426" s="338">
        <f t="shared" si="6"/>
        <v>34700</v>
      </c>
    </row>
    <row r="427" spans="27:27" x14ac:dyDescent="0.3">
      <c r="AA427" s="338">
        <f t="shared" si="6"/>
        <v>34700</v>
      </c>
    </row>
    <row r="428" spans="27:27" x14ac:dyDescent="0.3">
      <c r="AA428" s="338">
        <f t="shared" si="6"/>
        <v>34700</v>
      </c>
    </row>
    <row r="429" spans="27:27" x14ac:dyDescent="0.3">
      <c r="AA429" s="338">
        <f t="shared" si="6"/>
        <v>34700</v>
      </c>
    </row>
    <row r="430" spans="27:27" x14ac:dyDescent="0.3">
      <c r="AA430" s="338">
        <f t="shared" si="6"/>
        <v>34700</v>
      </c>
    </row>
    <row r="431" spans="27:27" x14ac:dyDescent="0.3">
      <c r="AA431" s="338">
        <f t="shared" si="6"/>
        <v>34700</v>
      </c>
    </row>
    <row r="432" spans="27:27" x14ac:dyDescent="0.3">
      <c r="AA432" s="338">
        <f t="shared" si="6"/>
        <v>34700</v>
      </c>
    </row>
    <row r="433" spans="27:27" x14ac:dyDescent="0.3">
      <c r="AA433" s="338">
        <f t="shared" si="6"/>
        <v>34700</v>
      </c>
    </row>
    <row r="434" spans="27:27" x14ac:dyDescent="0.3">
      <c r="AA434" s="338">
        <f t="shared" si="6"/>
        <v>34700</v>
      </c>
    </row>
    <row r="435" spans="27:27" x14ac:dyDescent="0.3">
      <c r="AA435" s="338">
        <f t="shared" si="6"/>
        <v>34700</v>
      </c>
    </row>
    <row r="436" spans="27:27" x14ac:dyDescent="0.3">
      <c r="AA436" s="338">
        <f t="shared" si="6"/>
        <v>34700</v>
      </c>
    </row>
    <row r="437" spans="27:27" x14ac:dyDescent="0.3">
      <c r="AA437" s="338">
        <f t="shared" si="6"/>
        <v>34700</v>
      </c>
    </row>
    <row r="438" spans="27:27" x14ac:dyDescent="0.3">
      <c r="AA438" s="338">
        <f t="shared" si="6"/>
        <v>34700</v>
      </c>
    </row>
    <row r="439" spans="27:27" x14ac:dyDescent="0.3">
      <c r="AA439" s="338">
        <f t="shared" si="6"/>
        <v>34700</v>
      </c>
    </row>
    <row r="440" spans="27:27" x14ac:dyDescent="0.3">
      <c r="AA440" s="338">
        <f t="shared" si="6"/>
        <v>34700</v>
      </c>
    </row>
    <row r="441" spans="27:27" x14ac:dyDescent="0.3">
      <c r="AA441" s="338">
        <f t="shared" si="6"/>
        <v>34700</v>
      </c>
    </row>
    <row r="442" spans="27:27" x14ac:dyDescent="0.3">
      <c r="AA442" s="338">
        <f t="shared" si="6"/>
        <v>34700</v>
      </c>
    </row>
    <row r="443" spans="27:27" x14ac:dyDescent="0.3">
      <c r="AA443" s="338">
        <f t="shared" si="6"/>
        <v>34700</v>
      </c>
    </row>
    <row r="444" spans="27:27" x14ac:dyDescent="0.3">
      <c r="AA444" s="338">
        <f t="shared" si="6"/>
        <v>34700</v>
      </c>
    </row>
    <row r="445" spans="27:27" x14ac:dyDescent="0.3">
      <c r="AA445" s="338">
        <f t="shared" si="6"/>
        <v>34700</v>
      </c>
    </row>
    <row r="446" spans="27:27" x14ac:dyDescent="0.3">
      <c r="AA446" s="338">
        <f t="shared" si="6"/>
        <v>34700</v>
      </c>
    </row>
    <row r="447" spans="27:27" x14ac:dyDescent="0.3">
      <c r="AA447" s="338">
        <f t="shared" si="6"/>
        <v>34700</v>
      </c>
    </row>
    <row r="448" spans="27:27" x14ac:dyDescent="0.3">
      <c r="AA448" s="338">
        <f t="shared" si="6"/>
        <v>34700</v>
      </c>
    </row>
    <row r="449" spans="27:27" x14ac:dyDescent="0.3">
      <c r="AA449" s="338">
        <f t="shared" ref="AA449:AA512" si="7">IFERROR(
IF(ISNUMBER(C449),C449,DATE(VALUE(RIGHT(C449,4)),VALUE(MID(SUBSTITUTE(C449,"/","-"),FIND("-",SUBSTITUTE(C449,"/","-"))+1,FIND("-",SUBSTITUTE(C449,"/","-"),FIND("-",SUBSTITUTE(C449,"/","-"))+1)-FIND("-",SUBSTITUTE(C449,"/","-"))-1)),VALUE(LEFT(SUBSTITUTE(C449,"/","-"),FIND("-",SUBSTITUTE(C449,"/","-"))-1)))),
DATE(1995,1,1)
)</f>
        <v>34700</v>
      </c>
    </row>
    <row r="450" spans="27:27" x14ac:dyDescent="0.3">
      <c r="AA450" s="338">
        <f t="shared" si="7"/>
        <v>34700</v>
      </c>
    </row>
    <row r="451" spans="27:27" x14ac:dyDescent="0.3">
      <c r="AA451" s="338">
        <f t="shared" si="7"/>
        <v>34700</v>
      </c>
    </row>
    <row r="452" spans="27:27" x14ac:dyDescent="0.3">
      <c r="AA452" s="338">
        <f t="shared" si="7"/>
        <v>34700</v>
      </c>
    </row>
    <row r="453" spans="27:27" x14ac:dyDescent="0.3">
      <c r="AA453" s="338">
        <f t="shared" si="7"/>
        <v>34700</v>
      </c>
    </row>
    <row r="454" spans="27:27" x14ac:dyDescent="0.3">
      <c r="AA454" s="338">
        <f t="shared" si="7"/>
        <v>34700</v>
      </c>
    </row>
    <row r="455" spans="27:27" x14ac:dyDescent="0.3">
      <c r="AA455" s="338">
        <f t="shared" si="7"/>
        <v>34700</v>
      </c>
    </row>
    <row r="456" spans="27:27" x14ac:dyDescent="0.3">
      <c r="AA456" s="338">
        <f t="shared" si="7"/>
        <v>34700</v>
      </c>
    </row>
    <row r="457" spans="27:27" x14ac:dyDescent="0.3">
      <c r="AA457" s="338">
        <f t="shared" si="7"/>
        <v>34700</v>
      </c>
    </row>
    <row r="458" spans="27:27" x14ac:dyDescent="0.3">
      <c r="AA458" s="338">
        <f t="shared" si="7"/>
        <v>34700</v>
      </c>
    </row>
    <row r="459" spans="27:27" x14ac:dyDescent="0.3">
      <c r="AA459" s="338">
        <f t="shared" si="7"/>
        <v>34700</v>
      </c>
    </row>
    <row r="460" spans="27:27" x14ac:dyDescent="0.3">
      <c r="AA460" s="338">
        <f t="shared" si="7"/>
        <v>34700</v>
      </c>
    </row>
    <row r="461" spans="27:27" x14ac:dyDescent="0.3">
      <c r="AA461" s="338">
        <f t="shared" si="7"/>
        <v>34700</v>
      </c>
    </row>
    <row r="462" spans="27:27" x14ac:dyDescent="0.3">
      <c r="AA462" s="338">
        <f t="shared" si="7"/>
        <v>34700</v>
      </c>
    </row>
    <row r="463" spans="27:27" x14ac:dyDescent="0.3">
      <c r="AA463" s="338">
        <f t="shared" si="7"/>
        <v>34700</v>
      </c>
    </row>
    <row r="464" spans="27:27" x14ac:dyDescent="0.3">
      <c r="AA464" s="338">
        <f t="shared" si="7"/>
        <v>34700</v>
      </c>
    </row>
    <row r="465" spans="27:27" x14ac:dyDescent="0.3">
      <c r="AA465" s="338">
        <f t="shared" si="7"/>
        <v>34700</v>
      </c>
    </row>
    <row r="466" spans="27:27" x14ac:dyDescent="0.3">
      <c r="AA466" s="338">
        <f t="shared" si="7"/>
        <v>34700</v>
      </c>
    </row>
    <row r="467" spans="27:27" x14ac:dyDescent="0.3">
      <c r="AA467" s="338">
        <f t="shared" si="7"/>
        <v>34700</v>
      </c>
    </row>
    <row r="468" spans="27:27" x14ac:dyDescent="0.3">
      <c r="AA468" s="338">
        <f t="shared" si="7"/>
        <v>34700</v>
      </c>
    </row>
    <row r="469" spans="27:27" x14ac:dyDescent="0.3">
      <c r="AA469" s="338">
        <f t="shared" si="7"/>
        <v>34700</v>
      </c>
    </row>
    <row r="470" spans="27:27" x14ac:dyDescent="0.3">
      <c r="AA470" s="338">
        <f t="shared" si="7"/>
        <v>34700</v>
      </c>
    </row>
    <row r="471" spans="27:27" x14ac:dyDescent="0.3">
      <c r="AA471" s="338">
        <f t="shared" si="7"/>
        <v>34700</v>
      </c>
    </row>
    <row r="472" spans="27:27" x14ac:dyDescent="0.3">
      <c r="AA472" s="338">
        <f t="shared" si="7"/>
        <v>34700</v>
      </c>
    </row>
    <row r="473" spans="27:27" x14ac:dyDescent="0.3">
      <c r="AA473" s="338">
        <f t="shared" si="7"/>
        <v>34700</v>
      </c>
    </row>
    <row r="474" spans="27:27" x14ac:dyDescent="0.3">
      <c r="AA474" s="338">
        <f t="shared" si="7"/>
        <v>34700</v>
      </c>
    </row>
    <row r="475" spans="27:27" x14ac:dyDescent="0.3">
      <c r="AA475" s="338">
        <f t="shared" si="7"/>
        <v>34700</v>
      </c>
    </row>
    <row r="476" spans="27:27" x14ac:dyDescent="0.3">
      <c r="AA476" s="338">
        <f t="shared" si="7"/>
        <v>34700</v>
      </c>
    </row>
    <row r="477" spans="27:27" x14ac:dyDescent="0.3">
      <c r="AA477" s="338">
        <f t="shared" si="7"/>
        <v>34700</v>
      </c>
    </row>
    <row r="478" spans="27:27" x14ac:dyDescent="0.3">
      <c r="AA478" s="338">
        <f t="shared" si="7"/>
        <v>34700</v>
      </c>
    </row>
    <row r="479" spans="27:27" x14ac:dyDescent="0.3">
      <c r="AA479" s="338">
        <f t="shared" si="7"/>
        <v>34700</v>
      </c>
    </row>
    <row r="480" spans="27:27" x14ac:dyDescent="0.3">
      <c r="AA480" s="338">
        <f t="shared" si="7"/>
        <v>34700</v>
      </c>
    </row>
    <row r="481" spans="27:27" x14ac:dyDescent="0.3">
      <c r="AA481" s="338">
        <f t="shared" si="7"/>
        <v>34700</v>
      </c>
    </row>
    <row r="482" spans="27:27" x14ac:dyDescent="0.3">
      <c r="AA482" s="338">
        <f t="shared" si="7"/>
        <v>34700</v>
      </c>
    </row>
    <row r="483" spans="27:27" x14ac:dyDescent="0.3">
      <c r="AA483" s="338">
        <f t="shared" si="7"/>
        <v>34700</v>
      </c>
    </row>
    <row r="484" spans="27:27" x14ac:dyDescent="0.3">
      <c r="AA484" s="338">
        <f t="shared" si="7"/>
        <v>34700</v>
      </c>
    </row>
    <row r="485" spans="27:27" x14ac:dyDescent="0.3">
      <c r="AA485" s="338">
        <f t="shared" si="7"/>
        <v>34700</v>
      </c>
    </row>
    <row r="486" spans="27:27" x14ac:dyDescent="0.3">
      <c r="AA486" s="338">
        <f t="shared" si="7"/>
        <v>34700</v>
      </c>
    </row>
    <row r="487" spans="27:27" x14ac:dyDescent="0.3">
      <c r="AA487" s="338">
        <f t="shared" si="7"/>
        <v>34700</v>
      </c>
    </row>
    <row r="488" spans="27:27" x14ac:dyDescent="0.3">
      <c r="AA488" s="338">
        <f t="shared" si="7"/>
        <v>34700</v>
      </c>
    </row>
    <row r="489" spans="27:27" x14ac:dyDescent="0.3">
      <c r="AA489" s="338">
        <f t="shared" si="7"/>
        <v>34700</v>
      </c>
    </row>
    <row r="490" spans="27:27" x14ac:dyDescent="0.3">
      <c r="AA490" s="338">
        <f t="shared" si="7"/>
        <v>34700</v>
      </c>
    </row>
    <row r="491" spans="27:27" x14ac:dyDescent="0.3">
      <c r="AA491" s="338">
        <f t="shared" si="7"/>
        <v>34700</v>
      </c>
    </row>
    <row r="492" spans="27:27" x14ac:dyDescent="0.3">
      <c r="AA492" s="338">
        <f t="shared" si="7"/>
        <v>34700</v>
      </c>
    </row>
    <row r="493" spans="27:27" x14ac:dyDescent="0.3">
      <c r="AA493" s="338">
        <f t="shared" si="7"/>
        <v>34700</v>
      </c>
    </row>
    <row r="494" spans="27:27" x14ac:dyDescent="0.3">
      <c r="AA494" s="338">
        <f t="shared" si="7"/>
        <v>34700</v>
      </c>
    </row>
    <row r="495" spans="27:27" x14ac:dyDescent="0.3">
      <c r="AA495" s="338">
        <f t="shared" si="7"/>
        <v>34700</v>
      </c>
    </row>
    <row r="496" spans="27:27" x14ac:dyDescent="0.3">
      <c r="AA496" s="338">
        <f t="shared" si="7"/>
        <v>34700</v>
      </c>
    </row>
    <row r="497" spans="27:27" x14ac:dyDescent="0.3">
      <c r="AA497" s="338">
        <f t="shared" si="7"/>
        <v>34700</v>
      </c>
    </row>
    <row r="498" spans="27:27" x14ac:dyDescent="0.3">
      <c r="AA498" s="338">
        <f t="shared" si="7"/>
        <v>34700</v>
      </c>
    </row>
    <row r="499" spans="27:27" x14ac:dyDescent="0.3">
      <c r="AA499" s="338">
        <f t="shared" si="7"/>
        <v>34700</v>
      </c>
    </row>
    <row r="500" spans="27:27" x14ac:dyDescent="0.3">
      <c r="AA500" s="338">
        <f t="shared" si="7"/>
        <v>34700</v>
      </c>
    </row>
    <row r="501" spans="27:27" x14ac:dyDescent="0.3">
      <c r="AA501" s="338">
        <f t="shared" si="7"/>
        <v>34700</v>
      </c>
    </row>
    <row r="502" spans="27:27" x14ac:dyDescent="0.3">
      <c r="AA502" s="338">
        <f t="shared" si="7"/>
        <v>34700</v>
      </c>
    </row>
    <row r="503" spans="27:27" x14ac:dyDescent="0.3">
      <c r="AA503" s="338">
        <f t="shared" si="7"/>
        <v>34700</v>
      </c>
    </row>
    <row r="504" spans="27:27" x14ac:dyDescent="0.3">
      <c r="AA504" s="338">
        <f t="shared" si="7"/>
        <v>34700</v>
      </c>
    </row>
    <row r="505" spans="27:27" x14ac:dyDescent="0.3">
      <c r="AA505" s="338">
        <f t="shared" si="7"/>
        <v>34700</v>
      </c>
    </row>
    <row r="506" spans="27:27" x14ac:dyDescent="0.3">
      <c r="AA506" s="338">
        <f t="shared" si="7"/>
        <v>34700</v>
      </c>
    </row>
    <row r="507" spans="27:27" x14ac:dyDescent="0.3">
      <c r="AA507" s="338">
        <f t="shared" si="7"/>
        <v>34700</v>
      </c>
    </row>
    <row r="508" spans="27:27" x14ac:dyDescent="0.3">
      <c r="AA508" s="338">
        <f t="shared" si="7"/>
        <v>34700</v>
      </c>
    </row>
    <row r="509" spans="27:27" x14ac:dyDescent="0.3">
      <c r="AA509" s="338">
        <f t="shared" si="7"/>
        <v>34700</v>
      </c>
    </row>
    <row r="510" spans="27:27" x14ac:dyDescent="0.3">
      <c r="AA510" s="338">
        <f t="shared" si="7"/>
        <v>34700</v>
      </c>
    </row>
    <row r="511" spans="27:27" x14ac:dyDescent="0.3">
      <c r="AA511" s="338">
        <f t="shared" si="7"/>
        <v>34700</v>
      </c>
    </row>
    <row r="512" spans="27:27" x14ac:dyDescent="0.3">
      <c r="AA512" s="338">
        <f t="shared" si="7"/>
        <v>34700</v>
      </c>
    </row>
    <row r="513" spans="27:27" x14ac:dyDescent="0.3">
      <c r="AA513" s="338">
        <f t="shared" ref="AA513:AA576" si="8">IFERROR(
IF(ISNUMBER(C513),C513,DATE(VALUE(RIGHT(C513,4)),VALUE(MID(SUBSTITUTE(C513,"/","-"),FIND("-",SUBSTITUTE(C513,"/","-"))+1,FIND("-",SUBSTITUTE(C513,"/","-"),FIND("-",SUBSTITUTE(C513,"/","-"))+1)-FIND("-",SUBSTITUTE(C513,"/","-"))-1)),VALUE(LEFT(SUBSTITUTE(C513,"/","-"),FIND("-",SUBSTITUTE(C513,"/","-"))-1)))),
DATE(1995,1,1)
)</f>
        <v>34700</v>
      </c>
    </row>
    <row r="514" spans="27:27" x14ac:dyDescent="0.3">
      <c r="AA514" s="338">
        <f t="shared" si="8"/>
        <v>34700</v>
      </c>
    </row>
    <row r="515" spans="27:27" x14ac:dyDescent="0.3">
      <c r="AA515" s="338">
        <f t="shared" si="8"/>
        <v>34700</v>
      </c>
    </row>
    <row r="516" spans="27:27" x14ac:dyDescent="0.3">
      <c r="AA516" s="338">
        <f t="shared" si="8"/>
        <v>34700</v>
      </c>
    </row>
    <row r="517" spans="27:27" x14ac:dyDescent="0.3">
      <c r="AA517" s="338">
        <f t="shared" si="8"/>
        <v>34700</v>
      </c>
    </row>
    <row r="518" spans="27:27" x14ac:dyDescent="0.3">
      <c r="AA518" s="338">
        <f t="shared" si="8"/>
        <v>34700</v>
      </c>
    </row>
    <row r="519" spans="27:27" x14ac:dyDescent="0.3">
      <c r="AA519" s="338">
        <f t="shared" si="8"/>
        <v>34700</v>
      </c>
    </row>
    <row r="520" spans="27:27" x14ac:dyDescent="0.3">
      <c r="AA520" s="338">
        <f t="shared" si="8"/>
        <v>34700</v>
      </c>
    </row>
    <row r="521" spans="27:27" x14ac:dyDescent="0.3">
      <c r="AA521" s="338">
        <f t="shared" si="8"/>
        <v>34700</v>
      </c>
    </row>
    <row r="522" spans="27:27" x14ac:dyDescent="0.3">
      <c r="AA522" s="338">
        <f t="shared" si="8"/>
        <v>34700</v>
      </c>
    </row>
    <row r="523" spans="27:27" x14ac:dyDescent="0.3">
      <c r="AA523" s="338">
        <f t="shared" si="8"/>
        <v>34700</v>
      </c>
    </row>
    <row r="524" spans="27:27" x14ac:dyDescent="0.3">
      <c r="AA524" s="338">
        <f t="shared" si="8"/>
        <v>34700</v>
      </c>
    </row>
    <row r="525" spans="27:27" x14ac:dyDescent="0.3">
      <c r="AA525" s="338">
        <f t="shared" si="8"/>
        <v>34700</v>
      </c>
    </row>
    <row r="526" spans="27:27" x14ac:dyDescent="0.3">
      <c r="AA526" s="338">
        <f t="shared" si="8"/>
        <v>34700</v>
      </c>
    </row>
    <row r="527" spans="27:27" x14ac:dyDescent="0.3">
      <c r="AA527" s="338">
        <f t="shared" si="8"/>
        <v>34700</v>
      </c>
    </row>
    <row r="528" spans="27:27" x14ac:dyDescent="0.3">
      <c r="AA528" s="338">
        <f t="shared" si="8"/>
        <v>34700</v>
      </c>
    </row>
    <row r="529" spans="27:27" x14ac:dyDescent="0.3">
      <c r="AA529" s="338">
        <f t="shared" si="8"/>
        <v>34700</v>
      </c>
    </row>
    <row r="530" spans="27:27" x14ac:dyDescent="0.3">
      <c r="AA530" s="338">
        <f t="shared" si="8"/>
        <v>34700</v>
      </c>
    </row>
    <row r="531" spans="27:27" x14ac:dyDescent="0.3">
      <c r="AA531" s="338">
        <f t="shared" si="8"/>
        <v>34700</v>
      </c>
    </row>
    <row r="532" spans="27:27" x14ac:dyDescent="0.3">
      <c r="AA532" s="338">
        <f t="shared" si="8"/>
        <v>34700</v>
      </c>
    </row>
    <row r="533" spans="27:27" x14ac:dyDescent="0.3">
      <c r="AA533" s="338">
        <f t="shared" si="8"/>
        <v>34700</v>
      </c>
    </row>
    <row r="534" spans="27:27" x14ac:dyDescent="0.3">
      <c r="AA534" s="338">
        <f t="shared" si="8"/>
        <v>34700</v>
      </c>
    </row>
    <row r="535" spans="27:27" x14ac:dyDescent="0.3">
      <c r="AA535" s="338">
        <f t="shared" si="8"/>
        <v>34700</v>
      </c>
    </row>
    <row r="536" spans="27:27" x14ac:dyDescent="0.3">
      <c r="AA536" s="338">
        <f t="shared" si="8"/>
        <v>34700</v>
      </c>
    </row>
    <row r="537" spans="27:27" x14ac:dyDescent="0.3">
      <c r="AA537" s="338">
        <f t="shared" si="8"/>
        <v>34700</v>
      </c>
    </row>
    <row r="538" spans="27:27" x14ac:dyDescent="0.3">
      <c r="AA538" s="338">
        <f t="shared" si="8"/>
        <v>34700</v>
      </c>
    </row>
    <row r="539" spans="27:27" x14ac:dyDescent="0.3">
      <c r="AA539" s="338">
        <f t="shared" si="8"/>
        <v>34700</v>
      </c>
    </row>
    <row r="540" spans="27:27" x14ac:dyDescent="0.3">
      <c r="AA540" s="338">
        <f t="shared" si="8"/>
        <v>34700</v>
      </c>
    </row>
    <row r="541" spans="27:27" x14ac:dyDescent="0.3">
      <c r="AA541" s="338">
        <f t="shared" si="8"/>
        <v>34700</v>
      </c>
    </row>
    <row r="542" spans="27:27" x14ac:dyDescent="0.3">
      <c r="AA542" s="338">
        <f t="shared" si="8"/>
        <v>34700</v>
      </c>
    </row>
    <row r="543" spans="27:27" x14ac:dyDescent="0.3">
      <c r="AA543" s="338">
        <f t="shared" si="8"/>
        <v>34700</v>
      </c>
    </row>
    <row r="544" spans="27:27" x14ac:dyDescent="0.3">
      <c r="AA544" s="338">
        <f t="shared" si="8"/>
        <v>34700</v>
      </c>
    </row>
    <row r="545" spans="27:27" x14ac:dyDescent="0.3">
      <c r="AA545" s="338">
        <f t="shared" si="8"/>
        <v>34700</v>
      </c>
    </row>
    <row r="546" spans="27:27" x14ac:dyDescent="0.3">
      <c r="AA546" s="338">
        <f t="shared" si="8"/>
        <v>34700</v>
      </c>
    </row>
    <row r="547" spans="27:27" x14ac:dyDescent="0.3">
      <c r="AA547" s="338">
        <f t="shared" si="8"/>
        <v>34700</v>
      </c>
    </row>
    <row r="548" spans="27:27" x14ac:dyDescent="0.3">
      <c r="AA548" s="338">
        <f t="shared" si="8"/>
        <v>34700</v>
      </c>
    </row>
    <row r="549" spans="27:27" x14ac:dyDescent="0.3">
      <c r="AA549" s="338">
        <f t="shared" si="8"/>
        <v>34700</v>
      </c>
    </row>
    <row r="550" spans="27:27" x14ac:dyDescent="0.3">
      <c r="AA550" s="338">
        <f t="shared" si="8"/>
        <v>34700</v>
      </c>
    </row>
    <row r="551" spans="27:27" x14ac:dyDescent="0.3">
      <c r="AA551" s="338">
        <f t="shared" si="8"/>
        <v>34700</v>
      </c>
    </row>
    <row r="552" spans="27:27" x14ac:dyDescent="0.3">
      <c r="AA552" s="338">
        <f t="shared" si="8"/>
        <v>34700</v>
      </c>
    </row>
    <row r="553" spans="27:27" x14ac:dyDescent="0.3">
      <c r="AA553" s="338">
        <f t="shared" si="8"/>
        <v>34700</v>
      </c>
    </row>
    <row r="554" spans="27:27" x14ac:dyDescent="0.3">
      <c r="AA554" s="338">
        <f t="shared" si="8"/>
        <v>34700</v>
      </c>
    </row>
    <row r="555" spans="27:27" x14ac:dyDescent="0.3">
      <c r="AA555" s="338">
        <f t="shared" si="8"/>
        <v>34700</v>
      </c>
    </row>
    <row r="556" spans="27:27" x14ac:dyDescent="0.3">
      <c r="AA556" s="338">
        <f t="shared" si="8"/>
        <v>34700</v>
      </c>
    </row>
    <row r="557" spans="27:27" x14ac:dyDescent="0.3">
      <c r="AA557" s="338">
        <f t="shared" si="8"/>
        <v>34700</v>
      </c>
    </row>
    <row r="558" spans="27:27" x14ac:dyDescent="0.3">
      <c r="AA558" s="338">
        <f t="shared" si="8"/>
        <v>34700</v>
      </c>
    </row>
    <row r="559" spans="27:27" x14ac:dyDescent="0.3">
      <c r="AA559" s="338">
        <f t="shared" si="8"/>
        <v>34700</v>
      </c>
    </row>
    <row r="560" spans="27:27" x14ac:dyDescent="0.3">
      <c r="AA560" s="338">
        <f t="shared" si="8"/>
        <v>34700</v>
      </c>
    </row>
    <row r="561" spans="27:27" x14ac:dyDescent="0.3">
      <c r="AA561" s="338">
        <f t="shared" si="8"/>
        <v>34700</v>
      </c>
    </row>
    <row r="562" spans="27:27" x14ac:dyDescent="0.3">
      <c r="AA562" s="338">
        <f t="shared" si="8"/>
        <v>34700</v>
      </c>
    </row>
    <row r="563" spans="27:27" x14ac:dyDescent="0.3">
      <c r="AA563" s="338">
        <f t="shared" si="8"/>
        <v>34700</v>
      </c>
    </row>
    <row r="564" spans="27:27" x14ac:dyDescent="0.3">
      <c r="AA564" s="338">
        <f t="shared" si="8"/>
        <v>34700</v>
      </c>
    </row>
    <row r="565" spans="27:27" x14ac:dyDescent="0.3">
      <c r="AA565" s="338">
        <f t="shared" si="8"/>
        <v>34700</v>
      </c>
    </row>
    <row r="566" spans="27:27" x14ac:dyDescent="0.3">
      <c r="AA566" s="338">
        <f t="shared" si="8"/>
        <v>34700</v>
      </c>
    </row>
    <row r="567" spans="27:27" x14ac:dyDescent="0.3">
      <c r="AA567" s="338">
        <f t="shared" si="8"/>
        <v>34700</v>
      </c>
    </row>
    <row r="568" spans="27:27" x14ac:dyDescent="0.3">
      <c r="AA568" s="338">
        <f t="shared" si="8"/>
        <v>34700</v>
      </c>
    </row>
    <row r="569" spans="27:27" x14ac:dyDescent="0.3">
      <c r="AA569" s="338">
        <f t="shared" si="8"/>
        <v>34700</v>
      </c>
    </row>
    <row r="570" spans="27:27" x14ac:dyDescent="0.3">
      <c r="AA570" s="338">
        <f t="shared" si="8"/>
        <v>34700</v>
      </c>
    </row>
    <row r="571" spans="27:27" x14ac:dyDescent="0.3">
      <c r="AA571" s="338">
        <f t="shared" si="8"/>
        <v>34700</v>
      </c>
    </row>
    <row r="572" spans="27:27" x14ac:dyDescent="0.3">
      <c r="AA572" s="338">
        <f t="shared" si="8"/>
        <v>34700</v>
      </c>
    </row>
    <row r="573" spans="27:27" x14ac:dyDescent="0.3">
      <c r="AA573" s="338">
        <f t="shared" si="8"/>
        <v>34700</v>
      </c>
    </row>
    <row r="574" spans="27:27" x14ac:dyDescent="0.3">
      <c r="AA574" s="338">
        <f t="shared" si="8"/>
        <v>34700</v>
      </c>
    </row>
    <row r="575" spans="27:27" x14ac:dyDescent="0.3">
      <c r="AA575" s="338">
        <f t="shared" si="8"/>
        <v>34700</v>
      </c>
    </row>
    <row r="576" spans="27:27" x14ac:dyDescent="0.3">
      <c r="AA576" s="338">
        <f t="shared" si="8"/>
        <v>34700</v>
      </c>
    </row>
    <row r="577" spans="27:27" x14ac:dyDescent="0.3">
      <c r="AA577" s="338">
        <f t="shared" ref="AA577:AA640" si="9">IFERROR(
IF(ISNUMBER(C577),C577,DATE(VALUE(RIGHT(C577,4)),VALUE(MID(SUBSTITUTE(C577,"/","-"),FIND("-",SUBSTITUTE(C577,"/","-"))+1,FIND("-",SUBSTITUTE(C577,"/","-"),FIND("-",SUBSTITUTE(C577,"/","-"))+1)-FIND("-",SUBSTITUTE(C577,"/","-"))-1)),VALUE(LEFT(SUBSTITUTE(C577,"/","-"),FIND("-",SUBSTITUTE(C577,"/","-"))-1)))),
DATE(1995,1,1)
)</f>
        <v>34700</v>
      </c>
    </row>
    <row r="578" spans="27:27" x14ac:dyDescent="0.3">
      <c r="AA578" s="338">
        <f t="shared" si="9"/>
        <v>34700</v>
      </c>
    </row>
    <row r="579" spans="27:27" x14ac:dyDescent="0.3">
      <c r="AA579" s="338">
        <f t="shared" si="9"/>
        <v>34700</v>
      </c>
    </row>
    <row r="580" spans="27:27" x14ac:dyDescent="0.3">
      <c r="AA580" s="338">
        <f t="shared" si="9"/>
        <v>34700</v>
      </c>
    </row>
    <row r="581" spans="27:27" x14ac:dyDescent="0.3">
      <c r="AA581" s="338">
        <f t="shared" si="9"/>
        <v>34700</v>
      </c>
    </row>
    <row r="582" spans="27:27" x14ac:dyDescent="0.3">
      <c r="AA582" s="338">
        <f t="shared" si="9"/>
        <v>34700</v>
      </c>
    </row>
    <row r="583" spans="27:27" x14ac:dyDescent="0.3">
      <c r="AA583" s="338">
        <f t="shared" si="9"/>
        <v>34700</v>
      </c>
    </row>
    <row r="584" spans="27:27" x14ac:dyDescent="0.3">
      <c r="AA584" s="338">
        <f t="shared" si="9"/>
        <v>34700</v>
      </c>
    </row>
    <row r="585" spans="27:27" x14ac:dyDescent="0.3">
      <c r="AA585" s="338">
        <f t="shared" si="9"/>
        <v>34700</v>
      </c>
    </row>
    <row r="586" spans="27:27" x14ac:dyDescent="0.3">
      <c r="AA586" s="338">
        <f t="shared" si="9"/>
        <v>34700</v>
      </c>
    </row>
    <row r="587" spans="27:27" x14ac:dyDescent="0.3">
      <c r="AA587" s="338">
        <f t="shared" si="9"/>
        <v>34700</v>
      </c>
    </row>
    <row r="588" spans="27:27" x14ac:dyDescent="0.3">
      <c r="AA588" s="338">
        <f t="shared" si="9"/>
        <v>34700</v>
      </c>
    </row>
    <row r="589" spans="27:27" x14ac:dyDescent="0.3">
      <c r="AA589" s="338">
        <f t="shared" si="9"/>
        <v>34700</v>
      </c>
    </row>
    <row r="590" spans="27:27" x14ac:dyDescent="0.3">
      <c r="AA590" s="338">
        <f t="shared" si="9"/>
        <v>34700</v>
      </c>
    </row>
    <row r="591" spans="27:27" x14ac:dyDescent="0.3">
      <c r="AA591" s="338">
        <f t="shared" si="9"/>
        <v>34700</v>
      </c>
    </row>
    <row r="592" spans="27:27" x14ac:dyDescent="0.3">
      <c r="AA592" s="338">
        <f t="shared" si="9"/>
        <v>34700</v>
      </c>
    </row>
    <row r="593" spans="27:27" x14ac:dyDescent="0.3">
      <c r="AA593" s="338">
        <f t="shared" si="9"/>
        <v>34700</v>
      </c>
    </row>
    <row r="594" spans="27:27" x14ac:dyDescent="0.3">
      <c r="AA594" s="338">
        <f t="shared" si="9"/>
        <v>34700</v>
      </c>
    </row>
    <row r="595" spans="27:27" x14ac:dyDescent="0.3">
      <c r="AA595" s="338">
        <f t="shared" si="9"/>
        <v>34700</v>
      </c>
    </row>
    <row r="596" spans="27:27" x14ac:dyDescent="0.3">
      <c r="AA596" s="338">
        <f t="shared" si="9"/>
        <v>34700</v>
      </c>
    </row>
    <row r="597" spans="27:27" x14ac:dyDescent="0.3">
      <c r="AA597" s="338">
        <f t="shared" si="9"/>
        <v>34700</v>
      </c>
    </row>
    <row r="598" spans="27:27" x14ac:dyDescent="0.3">
      <c r="AA598" s="338">
        <f t="shared" si="9"/>
        <v>34700</v>
      </c>
    </row>
    <row r="599" spans="27:27" x14ac:dyDescent="0.3">
      <c r="AA599" s="338">
        <f t="shared" si="9"/>
        <v>34700</v>
      </c>
    </row>
    <row r="600" spans="27:27" x14ac:dyDescent="0.3">
      <c r="AA600" s="338">
        <f t="shared" si="9"/>
        <v>34700</v>
      </c>
    </row>
    <row r="601" spans="27:27" x14ac:dyDescent="0.3">
      <c r="AA601" s="338">
        <f t="shared" si="9"/>
        <v>34700</v>
      </c>
    </row>
    <row r="602" spans="27:27" x14ac:dyDescent="0.3">
      <c r="AA602" s="338">
        <f t="shared" si="9"/>
        <v>34700</v>
      </c>
    </row>
    <row r="603" spans="27:27" x14ac:dyDescent="0.3">
      <c r="AA603" s="338">
        <f t="shared" si="9"/>
        <v>34700</v>
      </c>
    </row>
    <row r="604" spans="27:27" x14ac:dyDescent="0.3">
      <c r="AA604" s="338">
        <f t="shared" si="9"/>
        <v>34700</v>
      </c>
    </row>
    <row r="605" spans="27:27" x14ac:dyDescent="0.3">
      <c r="AA605" s="338">
        <f t="shared" si="9"/>
        <v>34700</v>
      </c>
    </row>
    <row r="606" spans="27:27" x14ac:dyDescent="0.3">
      <c r="AA606" s="338">
        <f t="shared" si="9"/>
        <v>34700</v>
      </c>
    </row>
    <row r="607" spans="27:27" x14ac:dyDescent="0.3">
      <c r="AA607" s="338">
        <f t="shared" si="9"/>
        <v>34700</v>
      </c>
    </row>
    <row r="608" spans="27:27" x14ac:dyDescent="0.3">
      <c r="AA608" s="338">
        <f t="shared" si="9"/>
        <v>34700</v>
      </c>
    </row>
    <row r="609" spans="27:27" x14ac:dyDescent="0.3">
      <c r="AA609" s="338">
        <f t="shared" si="9"/>
        <v>34700</v>
      </c>
    </row>
    <row r="610" spans="27:27" x14ac:dyDescent="0.3">
      <c r="AA610" s="338">
        <f t="shared" si="9"/>
        <v>34700</v>
      </c>
    </row>
    <row r="611" spans="27:27" x14ac:dyDescent="0.3">
      <c r="AA611" s="338">
        <f t="shared" si="9"/>
        <v>34700</v>
      </c>
    </row>
    <row r="612" spans="27:27" x14ac:dyDescent="0.3">
      <c r="AA612" s="338">
        <f t="shared" si="9"/>
        <v>34700</v>
      </c>
    </row>
    <row r="613" spans="27:27" x14ac:dyDescent="0.3">
      <c r="AA613" s="338">
        <f t="shared" si="9"/>
        <v>34700</v>
      </c>
    </row>
    <row r="614" spans="27:27" x14ac:dyDescent="0.3">
      <c r="AA614" s="338">
        <f t="shared" si="9"/>
        <v>34700</v>
      </c>
    </row>
    <row r="615" spans="27:27" x14ac:dyDescent="0.3">
      <c r="AA615" s="338">
        <f t="shared" si="9"/>
        <v>34700</v>
      </c>
    </row>
    <row r="616" spans="27:27" x14ac:dyDescent="0.3">
      <c r="AA616" s="338">
        <f t="shared" si="9"/>
        <v>34700</v>
      </c>
    </row>
    <row r="617" spans="27:27" x14ac:dyDescent="0.3">
      <c r="AA617" s="338">
        <f t="shared" si="9"/>
        <v>34700</v>
      </c>
    </row>
    <row r="618" spans="27:27" x14ac:dyDescent="0.3">
      <c r="AA618" s="338">
        <f t="shared" si="9"/>
        <v>34700</v>
      </c>
    </row>
    <row r="619" spans="27:27" x14ac:dyDescent="0.3">
      <c r="AA619" s="338">
        <f t="shared" si="9"/>
        <v>34700</v>
      </c>
    </row>
    <row r="620" spans="27:27" x14ac:dyDescent="0.3">
      <c r="AA620" s="338">
        <f t="shared" si="9"/>
        <v>34700</v>
      </c>
    </row>
    <row r="621" spans="27:27" x14ac:dyDescent="0.3">
      <c r="AA621" s="338">
        <f t="shared" si="9"/>
        <v>34700</v>
      </c>
    </row>
    <row r="622" spans="27:27" x14ac:dyDescent="0.3">
      <c r="AA622" s="338">
        <f t="shared" si="9"/>
        <v>34700</v>
      </c>
    </row>
    <row r="623" spans="27:27" x14ac:dyDescent="0.3">
      <c r="AA623" s="338">
        <f t="shared" si="9"/>
        <v>34700</v>
      </c>
    </row>
    <row r="624" spans="27:27" x14ac:dyDescent="0.3">
      <c r="AA624" s="338">
        <f t="shared" si="9"/>
        <v>34700</v>
      </c>
    </row>
    <row r="625" spans="27:27" x14ac:dyDescent="0.3">
      <c r="AA625" s="338">
        <f t="shared" si="9"/>
        <v>34700</v>
      </c>
    </row>
    <row r="626" spans="27:27" x14ac:dyDescent="0.3">
      <c r="AA626" s="338">
        <f t="shared" si="9"/>
        <v>34700</v>
      </c>
    </row>
    <row r="627" spans="27:27" x14ac:dyDescent="0.3">
      <c r="AA627" s="338">
        <f t="shared" si="9"/>
        <v>34700</v>
      </c>
    </row>
    <row r="628" spans="27:27" x14ac:dyDescent="0.3">
      <c r="AA628" s="338">
        <f t="shared" si="9"/>
        <v>34700</v>
      </c>
    </row>
    <row r="629" spans="27:27" x14ac:dyDescent="0.3">
      <c r="AA629" s="338">
        <f t="shared" si="9"/>
        <v>34700</v>
      </c>
    </row>
    <row r="630" spans="27:27" x14ac:dyDescent="0.3">
      <c r="AA630" s="338">
        <f t="shared" si="9"/>
        <v>34700</v>
      </c>
    </row>
    <row r="631" spans="27:27" x14ac:dyDescent="0.3">
      <c r="AA631" s="338">
        <f t="shared" si="9"/>
        <v>34700</v>
      </c>
    </row>
    <row r="632" spans="27:27" x14ac:dyDescent="0.3">
      <c r="AA632" s="338">
        <f t="shared" si="9"/>
        <v>34700</v>
      </c>
    </row>
    <row r="633" spans="27:27" x14ac:dyDescent="0.3">
      <c r="AA633" s="338">
        <f t="shared" si="9"/>
        <v>34700</v>
      </c>
    </row>
    <row r="634" spans="27:27" x14ac:dyDescent="0.3">
      <c r="AA634" s="338">
        <f t="shared" si="9"/>
        <v>34700</v>
      </c>
    </row>
    <row r="635" spans="27:27" x14ac:dyDescent="0.3">
      <c r="AA635" s="338">
        <f t="shared" si="9"/>
        <v>34700</v>
      </c>
    </row>
    <row r="636" spans="27:27" x14ac:dyDescent="0.3">
      <c r="AA636" s="338">
        <f t="shared" si="9"/>
        <v>34700</v>
      </c>
    </row>
    <row r="637" spans="27:27" x14ac:dyDescent="0.3">
      <c r="AA637" s="338">
        <f t="shared" si="9"/>
        <v>34700</v>
      </c>
    </row>
    <row r="638" spans="27:27" x14ac:dyDescent="0.3">
      <c r="AA638" s="338">
        <f t="shared" si="9"/>
        <v>34700</v>
      </c>
    </row>
    <row r="639" spans="27:27" x14ac:dyDescent="0.3">
      <c r="AA639" s="338">
        <f t="shared" si="9"/>
        <v>34700</v>
      </c>
    </row>
    <row r="640" spans="27:27" x14ac:dyDescent="0.3">
      <c r="AA640" s="338">
        <f t="shared" si="9"/>
        <v>34700</v>
      </c>
    </row>
    <row r="641" spans="27:27" x14ac:dyDescent="0.3">
      <c r="AA641" s="338">
        <f t="shared" ref="AA641:AA704" si="10">IFERROR(
IF(ISNUMBER(C641),C641,DATE(VALUE(RIGHT(C641,4)),VALUE(MID(SUBSTITUTE(C641,"/","-"),FIND("-",SUBSTITUTE(C641,"/","-"))+1,FIND("-",SUBSTITUTE(C641,"/","-"),FIND("-",SUBSTITUTE(C641,"/","-"))+1)-FIND("-",SUBSTITUTE(C641,"/","-"))-1)),VALUE(LEFT(SUBSTITUTE(C641,"/","-"),FIND("-",SUBSTITUTE(C641,"/","-"))-1)))),
DATE(1995,1,1)
)</f>
        <v>34700</v>
      </c>
    </row>
    <row r="642" spans="27:27" x14ac:dyDescent="0.3">
      <c r="AA642" s="338">
        <f t="shared" si="10"/>
        <v>34700</v>
      </c>
    </row>
    <row r="643" spans="27:27" x14ac:dyDescent="0.3">
      <c r="AA643" s="338">
        <f t="shared" si="10"/>
        <v>34700</v>
      </c>
    </row>
    <row r="644" spans="27:27" x14ac:dyDescent="0.3">
      <c r="AA644" s="338">
        <f t="shared" si="10"/>
        <v>34700</v>
      </c>
    </row>
    <row r="645" spans="27:27" x14ac:dyDescent="0.3">
      <c r="AA645" s="338">
        <f t="shared" si="10"/>
        <v>34700</v>
      </c>
    </row>
    <row r="646" spans="27:27" x14ac:dyDescent="0.3">
      <c r="AA646" s="338">
        <f t="shared" si="10"/>
        <v>34700</v>
      </c>
    </row>
    <row r="647" spans="27:27" x14ac:dyDescent="0.3">
      <c r="AA647" s="338">
        <f t="shared" si="10"/>
        <v>34700</v>
      </c>
    </row>
    <row r="648" spans="27:27" x14ac:dyDescent="0.3">
      <c r="AA648" s="338">
        <f t="shared" si="10"/>
        <v>34700</v>
      </c>
    </row>
    <row r="649" spans="27:27" x14ac:dyDescent="0.3">
      <c r="AA649" s="338">
        <f t="shared" si="10"/>
        <v>34700</v>
      </c>
    </row>
    <row r="650" spans="27:27" x14ac:dyDescent="0.3">
      <c r="AA650" s="338">
        <f t="shared" si="10"/>
        <v>34700</v>
      </c>
    </row>
    <row r="651" spans="27:27" x14ac:dyDescent="0.3">
      <c r="AA651" s="338">
        <f t="shared" si="10"/>
        <v>34700</v>
      </c>
    </row>
    <row r="652" spans="27:27" x14ac:dyDescent="0.3">
      <c r="AA652" s="338">
        <f t="shared" si="10"/>
        <v>34700</v>
      </c>
    </row>
    <row r="653" spans="27:27" x14ac:dyDescent="0.3">
      <c r="AA653" s="338">
        <f t="shared" si="10"/>
        <v>34700</v>
      </c>
    </row>
    <row r="654" spans="27:27" x14ac:dyDescent="0.3">
      <c r="AA654" s="338">
        <f t="shared" si="10"/>
        <v>34700</v>
      </c>
    </row>
    <row r="655" spans="27:27" x14ac:dyDescent="0.3">
      <c r="AA655" s="338">
        <f t="shared" si="10"/>
        <v>34700</v>
      </c>
    </row>
    <row r="656" spans="27:27" x14ac:dyDescent="0.3">
      <c r="AA656" s="338">
        <f t="shared" si="10"/>
        <v>34700</v>
      </c>
    </row>
    <row r="657" spans="27:27" x14ac:dyDescent="0.3">
      <c r="AA657" s="338">
        <f t="shared" si="10"/>
        <v>34700</v>
      </c>
    </row>
    <row r="658" spans="27:27" x14ac:dyDescent="0.3">
      <c r="AA658" s="338">
        <f t="shared" si="10"/>
        <v>34700</v>
      </c>
    </row>
    <row r="659" spans="27:27" x14ac:dyDescent="0.3">
      <c r="AA659" s="338">
        <f t="shared" si="10"/>
        <v>34700</v>
      </c>
    </row>
    <row r="660" spans="27:27" x14ac:dyDescent="0.3">
      <c r="AA660" s="338">
        <f t="shared" si="10"/>
        <v>34700</v>
      </c>
    </row>
    <row r="661" spans="27:27" x14ac:dyDescent="0.3">
      <c r="AA661" s="338">
        <f t="shared" si="10"/>
        <v>34700</v>
      </c>
    </row>
    <row r="662" spans="27:27" x14ac:dyDescent="0.3">
      <c r="AA662" s="338">
        <f t="shared" si="10"/>
        <v>34700</v>
      </c>
    </row>
    <row r="663" spans="27:27" x14ac:dyDescent="0.3">
      <c r="AA663" s="338">
        <f t="shared" si="10"/>
        <v>34700</v>
      </c>
    </row>
    <row r="664" spans="27:27" x14ac:dyDescent="0.3">
      <c r="AA664" s="338">
        <f t="shared" si="10"/>
        <v>34700</v>
      </c>
    </row>
    <row r="665" spans="27:27" x14ac:dyDescent="0.3">
      <c r="AA665" s="338">
        <f t="shared" si="10"/>
        <v>34700</v>
      </c>
    </row>
    <row r="666" spans="27:27" x14ac:dyDescent="0.3">
      <c r="AA666" s="338">
        <f t="shared" si="10"/>
        <v>34700</v>
      </c>
    </row>
    <row r="667" spans="27:27" x14ac:dyDescent="0.3">
      <c r="AA667" s="338">
        <f t="shared" si="10"/>
        <v>34700</v>
      </c>
    </row>
    <row r="668" spans="27:27" x14ac:dyDescent="0.3">
      <c r="AA668" s="338">
        <f t="shared" si="10"/>
        <v>34700</v>
      </c>
    </row>
    <row r="669" spans="27:27" x14ac:dyDescent="0.3">
      <c r="AA669" s="338">
        <f t="shared" si="10"/>
        <v>34700</v>
      </c>
    </row>
    <row r="670" spans="27:27" x14ac:dyDescent="0.3">
      <c r="AA670" s="338">
        <f t="shared" si="10"/>
        <v>34700</v>
      </c>
    </row>
    <row r="671" spans="27:27" x14ac:dyDescent="0.3">
      <c r="AA671" s="338">
        <f t="shared" si="10"/>
        <v>34700</v>
      </c>
    </row>
    <row r="672" spans="27:27" x14ac:dyDescent="0.3">
      <c r="AA672" s="338">
        <f t="shared" si="10"/>
        <v>34700</v>
      </c>
    </row>
    <row r="673" spans="27:27" x14ac:dyDescent="0.3">
      <c r="AA673" s="338">
        <f t="shared" si="10"/>
        <v>34700</v>
      </c>
    </row>
    <row r="674" spans="27:27" x14ac:dyDescent="0.3">
      <c r="AA674" s="338">
        <f t="shared" si="10"/>
        <v>34700</v>
      </c>
    </row>
    <row r="675" spans="27:27" x14ac:dyDescent="0.3">
      <c r="AA675" s="338">
        <f t="shared" si="10"/>
        <v>34700</v>
      </c>
    </row>
    <row r="676" spans="27:27" x14ac:dyDescent="0.3">
      <c r="AA676" s="338">
        <f t="shared" si="10"/>
        <v>34700</v>
      </c>
    </row>
    <row r="677" spans="27:27" x14ac:dyDescent="0.3">
      <c r="AA677" s="338">
        <f t="shared" si="10"/>
        <v>34700</v>
      </c>
    </row>
    <row r="678" spans="27:27" x14ac:dyDescent="0.3">
      <c r="AA678" s="338">
        <f t="shared" si="10"/>
        <v>34700</v>
      </c>
    </row>
    <row r="679" spans="27:27" x14ac:dyDescent="0.3">
      <c r="AA679" s="338">
        <f t="shared" si="10"/>
        <v>34700</v>
      </c>
    </row>
    <row r="680" spans="27:27" x14ac:dyDescent="0.3">
      <c r="AA680" s="338">
        <f t="shared" si="10"/>
        <v>34700</v>
      </c>
    </row>
    <row r="681" spans="27:27" x14ac:dyDescent="0.3">
      <c r="AA681" s="338">
        <f t="shared" si="10"/>
        <v>34700</v>
      </c>
    </row>
    <row r="682" spans="27:27" x14ac:dyDescent="0.3">
      <c r="AA682" s="338">
        <f t="shared" si="10"/>
        <v>34700</v>
      </c>
    </row>
    <row r="683" spans="27:27" x14ac:dyDescent="0.3">
      <c r="AA683" s="338">
        <f t="shared" si="10"/>
        <v>34700</v>
      </c>
    </row>
    <row r="684" spans="27:27" x14ac:dyDescent="0.3">
      <c r="AA684" s="338">
        <f t="shared" si="10"/>
        <v>34700</v>
      </c>
    </row>
    <row r="685" spans="27:27" x14ac:dyDescent="0.3">
      <c r="AA685" s="338">
        <f t="shared" si="10"/>
        <v>34700</v>
      </c>
    </row>
    <row r="686" spans="27:27" x14ac:dyDescent="0.3">
      <c r="AA686" s="338">
        <f t="shared" si="10"/>
        <v>34700</v>
      </c>
    </row>
    <row r="687" spans="27:27" x14ac:dyDescent="0.3">
      <c r="AA687" s="338">
        <f t="shared" si="10"/>
        <v>34700</v>
      </c>
    </row>
    <row r="688" spans="27:27" x14ac:dyDescent="0.3">
      <c r="AA688" s="338">
        <f t="shared" si="10"/>
        <v>34700</v>
      </c>
    </row>
    <row r="689" spans="27:27" x14ac:dyDescent="0.3">
      <c r="AA689" s="338">
        <f t="shared" si="10"/>
        <v>34700</v>
      </c>
    </row>
    <row r="690" spans="27:27" x14ac:dyDescent="0.3">
      <c r="AA690" s="338">
        <f t="shared" si="10"/>
        <v>34700</v>
      </c>
    </row>
    <row r="691" spans="27:27" x14ac:dyDescent="0.3">
      <c r="AA691" s="338">
        <f t="shared" si="10"/>
        <v>34700</v>
      </c>
    </row>
    <row r="692" spans="27:27" x14ac:dyDescent="0.3">
      <c r="AA692" s="338">
        <f t="shared" si="10"/>
        <v>34700</v>
      </c>
    </row>
    <row r="693" spans="27:27" x14ac:dyDescent="0.3">
      <c r="AA693" s="338">
        <f t="shared" si="10"/>
        <v>34700</v>
      </c>
    </row>
    <row r="694" spans="27:27" x14ac:dyDescent="0.3">
      <c r="AA694" s="338">
        <f t="shared" si="10"/>
        <v>34700</v>
      </c>
    </row>
    <row r="695" spans="27:27" x14ac:dyDescent="0.3">
      <c r="AA695" s="338">
        <f t="shared" si="10"/>
        <v>34700</v>
      </c>
    </row>
    <row r="696" spans="27:27" x14ac:dyDescent="0.3">
      <c r="AA696" s="338">
        <f t="shared" si="10"/>
        <v>34700</v>
      </c>
    </row>
    <row r="697" spans="27:27" x14ac:dyDescent="0.3">
      <c r="AA697" s="338">
        <f t="shared" si="10"/>
        <v>34700</v>
      </c>
    </row>
    <row r="698" spans="27:27" x14ac:dyDescent="0.3">
      <c r="AA698" s="338">
        <f t="shared" si="10"/>
        <v>34700</v>
      </c>
    </row>
    <row r="699" spans="27:27" x14ac:dyDescent="0.3">
      <c r="AA699" s="338">
        <f t="shared" si="10"/>
        <v>34700</v>
      </c>
    </row>
    <row r="700" spans="27:27" x14ac:dyDescent="0.3">
      <c r="AA700" s="338">
        <f t="shared" si="10"/>
        <v>34700</v>
      </c>
    </row>
    <row r="701" spans="27:27" x14ac:dyDescent="0.3">
      <c r="AA701" s="338">
        <f t="shared" si="10"/>
        <v>34700</v>
      </c>
    </row>
    <row r="702" spans="27:27" x14ac:dyDescent="0.3">
      <c r="AA702" s="338">
        <f t="shared" si="10"/>
        <v>34700</v>
      </c>
    </row>
    <row r="703" spans="27:27" x14ac:dyDescent="0.3">
      <c r="AA703" s="338">
        <f t="shared" si="10"/>
        <v>34700</v>
      </c>
    </row>
    <row r="704" spans="27:27" x14ac:dyDescent="0.3">
      <c r="AA704" s="338">
        <f t="shared" si="10"/>
        <v>34700</v>
      </c>
    </row>
    <row r="705" spans="27:27" x14ac:dyDescent="0.3">
      <c r="AA705" s="338">
        <f t="shared" ref="AA705:AA768" si="11">IFERROR(
IF(ISNUMBER(C705),C705,DATE(VALUE(RIGHT(C705,4)),VALUE(MID(SUBSTITUTE(C705,"/","-"),FIND("-",SUBSTITUTE(C705,"/","-"))+1,FIND("-",SUBSTITUTE(C705,"/","-"),FIND("-",SUBSTITUTE(C705,"/","-"))+1)-FIND("-",SUBSTITUTE(C705,"/","-"))-1)),VALUE(LEFT(SUBSTITUTE(C705,"/","-"),FIND("-",SUBSTITUTE(C705,"/","-"))-1)))),
DATE(1995,1,1)
)</f>
        <v>34700</v>
      </c>
    </row>
    <row r="706" spans="27:27" x14ac:dyDescent="0.3">
      <c r="AA706" s="338">
        <f t="shared" si="11"/>
        <v>34700</v>
      </c>
    </row>
    <row r="707" spans="27:27" x14ac:dyDescent="0.3">
      <c r="AA707" s="338">
        <f t="shared" si="11"/>
        <v>34700</v>
      </c>
    </row>
    <row r="708" spans="27:27" x14ac:dyDescent="0.3">
      <c r="AA708" s="338">
        <f t="shared" si="11"/>
        <v>34700</v>
      </c>
    </row>
    <row r="709" spans="27:27" x14ac:dyDescent="0.3">
      <c r="AA709" s="338">
        <f t="shared" si="11"/>
        <v>34700</v>
      </c>
    </row>
    <row r="710" spans="27:27" x14ac:dyDescent="0.3">
      <c r="AA710" s="338">
        <f t="shared" si="11"/>
        <v>34700</v>
      </c>
    </row>
    <row r="711" spans="27:27" x14ac:dyDescent="0.3">
      <c r="AA711" s="338">
        <f t="shared" si="11"/>
        <v>34700</v>
      </c>
    </row>
    <row r="712" spans="27:27" x14ac:dyDescent="0.3">
      <c r="AA712" s="338">
        <f t="shared" si="11"/>
        <v>34700</v>
      </c>
    </row>
    <row r="713" spans="27:27" x14ac:dyDescent="0.3">
      <c r="AA713" s="338">
        <f t="shared" si="11"/>
        <v>34700</v>
      </c>
    </row>
    <row r="714" spans="27:27" x14ac:dyDescent="0.3">
      <c r="AA714" s="338">
        <f t="shared" si="11"/>
        <v>34700</v>
      </c>
    </row>
    <row r="715" spans="27:27" x14ac:dyDescent="0.3">
      <c r="AA715" s="338">
        <f t="shared" si="11"/>
        <v>34700</v>
      </c>
    </row>
    <row r="716" spans="27:27" x14ac:dyDescent="0.3">
      <c r="AA716" s="338">
        <f t="shared" si="11"/>
        <v>34700</v>
      </c>
    </row>
    <row r="717" spans="27:27" x14ac:dyDescent="0.3">
      <c r="AA717" s="338">
        <f t="shared" si="11"/>
        <v>34700</v>
      </c>
    </row>
    <row r="718" spans="27:27" x14ac:dyDescent="0.3">
      <c r="AA718" s="338">
        <f t="shared" si="11"/>
        <v>34700</v>
      </c>
    </row>
    <row r="719" spans="27:27" x14ac:dyDescent="0.3">
      <c r="AA719" s="338">
        <f t="shared" si="11"/>
        <v>34700</v>
      </c>
    </row>
    <row r="720" spans="27:27" x14ac:dyDescent="0.3">
      <c r="AA720" s="338">
        <f t="shared" si="11"/>
        <v>34700</v>
      </c>
    </row>
    <row r="721" spans="27:27" x14ac:dyDescent="0.3">
      <c r="AA721" s="338">
        <f t="shared" si="11"/>
        <v>34700</v>
      </c>
    </row>
    <row r="722" spans="27:27" x14ac:dyDescent="0.3">
      <c r="AA722" s="338">
        <f t="shared" si="11"/>
        <v>34700</v>
      </c>
    </row>
    <row r="723" spans="27:27" x14ac:dyDescent="0.3">
      <c r="AA723" s="338">
        <f t="shared" si="11"/>
        <v>34700</v>
      </c>
    </row>
    <row r="724" spans="27:27" x14ac:dyDescent="0.3">
      <c r="AA724" s="338">
        <f t="shared" si="11"/>
        <v>34700</v>
      </c>
    </row>
    <row r="725" spans="27:27" x14ac:dyDescent="0.3">
      <c r="AA725" s="338">
        <f t="shared" si="11"/>
        <v>34700</v>
      </c>
    </row>
    <row r="726" spans="27:27" x14ac:dyDescent="0.3">
      <c r="AA726" s="338">
        <f t="shared" si="11"/>
        <v>34700</v>
      </c>
    </row>
    <row r="727" spans="27:27" x14ac:dyDescent="0.3">
      <c r="AA727" s="338">
        <f t="shared" si="11"/>
        <v>34700</v>
      </c>
    </row>
    <row r="728" spans="27:27" x14ac:dyDescent="0.3">
      <c r="AA728" s="338">
        <f t="shared" si="11"/>
        <v>34700</v>
      </c>
    </row>
    <row r="729" spans="27:27" x14ac:dyDescent="0.3">
      <c r="AA729" s="338">
        <f t="shared" si="11"/>
        <v>34700</v>
      </c>
    </row>
    <row r="730" spans="27:27" x14ac:dyDescent="0.3">
      <c r="AA730" s="338">
        <f t="shared" si="11"/>
        <v>34700</v>
      </c>
    </row>
    <row r="731" spans="27:27" x14ac:dyDescent="0.3">
      <c r="AA731" s="338">
        <f t="shared" si="11"/>
        <v>34700</v>
      </c>
    </row>
    <row r="732" spans="27:27" x14ac:dyDescent="0.3">
      <c r="AA732" s="338">
        <f t="shared" si="11"/>
        <v>34700</v>
      </c>
    </row>
    <row r="733" spans="27:27" x14ac:dyDescent="0.3">
      <c r="AA733" s="338">
        <f t="shared" si="11"/>
        <v>34700</v>
      </c>
    </row>
    <row r="734" spans="27:27" x14ac:dyDescent="0.3">
      <c r="AA734" s="338">
        <f t="shared" si="11"/>
        <v>34700</v>
      </c>
    </row>
    <row r="735" spans="27:27" x14ac:dyDescent="0.3">
      <c r="AA735" s="338">
        <f t="shared" si="11"/>
        <v>34700</v>
      </c>
    </row>
    <row r="736" spans="27:27" x14ac:dyDescent="0.3">
      <c r="AA736" s="338">
        <f t="shared" si="11"/>
        <v>34700</v>
      </c>
    </row>
    <row r="737" spans="27:27" x14ac:dyDescent="0.3">
      <c r="AA737" s="338">
        <f t="shared" si="11"/>
        <v>34700</v>
      </c>
    </row>
    <row r="738" spans="27:27" x14ac:dyDescent="0.3">
      <c r="AA738" s="338">
        <f t="shared" si="11"/>
        <v>34700</v>
      </c>
    </row>
    <row r="739" spans="27:27" x14ac:dyDescent="0.3">
      <c r="AA739" s="338">
        <f t="shared" si="11"/>
        <v>34700</v>
      </c>
    </row>
    <row r="740" spans="27:27" x14ac:dyDescent="0.3">
      <c r="AA740" s="338">
        <f t="shared" si="11"/>
        <v>34700</v>
      </c>
    </row>
    <row r="741" spans="27:27" x14ac:dyDescent="0.3">
      <c r="AA741" s="338">
        <f t="shared" si="11"/>
        <v>34700</v>
      </c>
    </row>
    <row r="742" spans="27:27" x14ac:dyDescent="0.3">
      <c r="AA742" s="338">
        <f t="shared" si="11"/>
        <v>34700</v>
      </c>
    </row>
    <row r="743" spans="27:27" x14ac:dyDescent="0.3">
      <c r="AA743" s="338">
        <f t="shared" si="11"/>
        <v>34700</v>
      </c>
    </row>
    <row r="744" spans="27:27" x14ac:dyDescent="0.3">
      <c r="AA744" s="338">
        <f t="shared" si="11"/>
        <v>34700</v>
      </c>
    </row>
    <row r="745" spans="27:27" x14ac:dyDescent="0.3">
      <c r="AA745" s="338">
        <f t="shared" si="11"/>
        <v>34700</v>
      </c>
    </row>
    <row r="746" spans="27:27" x14ac:dyDescent="0.3">
      <c r="AA746" s="338">
        <f t="shared" si="11"/>
        <v>34700</v>
      </c>
    </row>
    <row r="747" spans="27:27" x14ac:dyDescent="0.3">
      <c r="AA747" s="338">
        <f t="shared" si="11"/>
        <v>34700</v>
      </c>
    </row>
    <row r="748" spans="27:27" x14ac:dyDescent="0.3">
      <c r="AA748" s="338">
        <f t="shared" si="11"/>
        <v>34700</v>
      </c>
    </row>
    <row r="749" spans="27:27" x14ac:dyDescent="0.3">
      <c r="AA749" s="338">
        <f t="shared" si="11"/>
        <v>34700</v>
      </c>
    </row>
    <row r="750" spans="27:27" x14ac:dyDescent="0.3">
      <c r="AA750" s="338">
        <f t="shared" si="11"/>
        <v>34700</v>
      </c>
    </row>
    <row r="751" spans="27:27" x14ac:dyDescent="0.3">
      <c r="AA751" s="338">
        <f t="shared" si="11"/>
        <v>34700</v>
      </c>
    </row>
    <row r="752" spans="27:27" x14ac:dyDescent="0.3">
      <c r="AA752" s="338">
        <f t="shared" si="11"/>
        <v>34700</v>
      </c>
    </row>
    <row r="753" spans="27:27" x14ac:dyDescent="0.3">
      <c r="AA753" s="338">
        <f t="shared" si="11"/>
        <v>34700</v>
      </c>
    </row>
    <row r="754" spans="27:27" x14ac:dyDescent="0.3">
      <c r="AA754" s="338">
        <f t="shared" si="11"/>
        <v>34700</v>
      </c>
    </row>
    <row r="755" spans="27:27" x14ac:dyDescent="0.3">
      <c r="AA755" s="338">
        <f t="shared" si="11"/>
        <v>34700</v>
      </c>
    </row>
    <row r="756" spans="27:27" x14ac:dyDescent="0.3">
      <c r="AA756" s="338">
        <f t="shared" si="11"/>
        <v>34700</v>
      </c>
    </row>
    <row r="757" spans="27:27" x14ac:dyDescent="0.3">
      <c r="AA757" s="338">
        <f t="shared" si="11"/>
        <v>34700</v>
      </c>
    </row>
    <row r="758" spans="27:27" x14ac:dyDescent="0.3">
      <c r="AA758" s="338">
        <f t="shared" si="11"/>
        <v>34700</v>
      </c>
    </row>
    <row r="759" spans="27:27" x14ac:dyDescent="0.3">
      <c r="AA759" s="338">
        <f t="shared" si="11"/>
        <v>34700</v>
      </c>
    </row>
    <row r="760" spans="27:27" x14ac:dyDescent="0.3">
      <c r="AA760" s="338">
        <f t="shared" si="11"/>
        <v>34700</v>
      </c>
    </row>
    <row r="761" spans="27:27" x14ac:dyDescent="0.3">
      <c r="AA761" s="338">
        <f t="shared" si="11"/>
        <v>34700</v>
      </c>
    </row>
    <row r="762" spans="27:27" x14ac:dyDescent="0.3">
      <c r="AA762" s="338">
        <f t="shared" si="11"/>
        <v>34700</v>
      </c>
    </row>
    <row r="763" spans="27:27" x14ac:dyDescent="0.3">
      <c r="AA763" s="338">
        <f t="shared" si="11"/>
        <v>34700</v>
      </c>
    </row>
    <row r="764" spans="27:27" x14ac:dyDescent="0.3">
      <c r="AA764" s="338">
        <f t="shared" si="11"/>
        <v>34700</v>
      </c>
    </row>
    <row r="765" spans="27:27" x14ac:dyDescent="0.3">
      <c r="AA765" s="338">
        <f t="shared" si="11"/>
        <v>34700</v>
      </c>
    </row>
    <row r="766" spans="27:27" x14ac:dyDescent="0.3">
      <c r="AA766" s="338">
        <f t="shared" si="11"/>
        <v>34700</v>
      </c>
    </row>
    <row r="767" spans="27:27" x14ac:dyDescent="0.3">
      <c r="AA767" s="338">
        <f t="shared" si="11"/>
        <v>34700</v>
      </c>
    </row>
    <row r="768" spans="27:27" x14ac:dyDescent="0.3">
      <c r="AA768" s="338">
        <f t="shared" si="11"/>
        <v>34700</v>
      </c>
    </row>
    <row r="769" spans="27:27" x14ac:dyDescent="0.3">
      <c r="AA769" s="338">
        <f t="shared" ref="AA769:AA832" si="12">IFERROR(
IF(ISNUMBER(C769),C769,DATE(VALUE(RIGHT(C769,4)),VALUE(MID(SUBSTITUTE(C769,"/","-"),FIND("-",SUBSTITUTE(C769,"/","-"))+1,FIND("-",SUBSTITUTE(C769,"/","-"),FIND("-",SUBSTITUTE(C769,"/","-"))+1)-FIND("-",SUBSTITUTE(C769,"/","-"))-1)),VALUE(LEFT(SUBSTITUTE(C769,"/","-"),FIND("-",SUBSTITUTE(C769,"/","-"))-1)))),
DATE(1995,1,1)
)</f>
        <v>34700</v>
      </c>
    </row>
    <row r="770" spans="27:27" x14ac:dyDescent="0.3">
      <c r="AA770" s="338">
        <f t="shared" si="12"/>
        <v>34700</v>
      </c>
    </row>
    <row r="771" spans="27:27" x14ac:dyDescent="0.3">
      <c r="AA771" s="338">
        <f t="shared" si="12"/>
        <v>34700</v>
      </c>
    </row>
    <row r="772" spans="27:27" x14ac:dyDescent="0.3">
      <c r="AA772" s="338">
        <f t="shared" si="12"/>
        <v>34700</v>
      </c>
    </row>
    <row r="773" spans="27:27" x14ac:dyDescent="0.3">
      <c r="AA773" s="338">
        <f t="shared" si="12"/>
        <v>34700</v>
      </c>
    </row>
    <row r="774" spans="27:27" x14ac:dyDescent="0.3">
      <c r="AA774" s="338">
        <f t="shared" si="12"/>
        <v>34700</v>
      </c>
    </row>
    <row r="775" spans="27:27" x14ac:dyDescent="0.3">
      <c r="AA775" s="338">
        <f t="shared" si="12"/>
        <v>34700</v>
      </c>
    </row>
    <row r="776" spans="27:27" x14ac:dyDescent="0.3">
      <c r="AA776" s="338">
        <f t="shared" si="12"/>
        <v>34700</v>
      </c>
    </row>
    <row r="777" spans="27:27" x14ac:dyDescent="0.3">
      <c r="AA777" s="338">
        <f t="shared" si="12"/>
        <v>34700</v>
      </c>
    </row>
    <row r="778" spans="27:27" x14ac:dyDescent="0.3">
      <c r="AA778" s="338">
        <f t="shared" si="12"/>
        <v>34700</v>
      </c>
    </row>
    <row r="779" spans="27:27" x14ac:dyDescent="0.3">
      <c r="AA779" s="338">
        <f t="shared" si="12"/>
        <v>34700</v>
      </c>
    </row>
    <row r="780" spans="27:27" x14ac:dyDescent="0.3">
      <c r="AA780" s="338">
        <f t="shared" si="12"/>
        <v>34700</v>
      </c>
    </row>
    <row r="781" spans="27:27" x14ac:dyDescent="0.3">
      <c r="AA781" s="338">
        <f t="shared" si="12"/>
        <v>34700</v>
      </c>
    </row>
    <row r="782" spans="27:27" x14ac:dyDescent="0.3">
      <c r="AA782" s="338">
        <f t="shared" si="12"/>
        <v>34700</v>
      </c>
    </row>
    <row r="783" spans="27:27" x14ac:dyDescent="0.3">
      <c r="AA783" s="338">
        <f t="shared" si="12"/>
        <v>34700</v>
      </c>
    </row>
    <row r="784" spans="27:27" x14ac:dyDescent="0.3">
      <c r="AA784" s="338">
        <f t="shared" si="12"/>
        <v>34700</v>
      </c>
    </row>
    <row r="785" spans="27:27" x14ac:dyDescent="0.3">
      <c r="AA785" s="338">
        <f t="shared" si="12"/>
        <v>34700</v>
      </c>
    </row>
    <row r="786" spans="27:27" x14ac:dyDescent="0.3">
      <c r="AA786" s="338">
        <f t="shared" si="12"/>
        <v>34700</v>
      </c>
    </row>
    <row r="787" spans="27:27" x14ac:dyDescent="0.3">
      <c r="AA787" s="338">
        <f t="shared" si="12"/>
        <v>34700</v>
      </c>
    </row>
    <row r="788" spans="27:27" x14ac:dyDescent="0.3">
      <c r="AA788" s="338">
        <f t="shared" si="12"/>
        <v>34700</v>
      </c>
    </row>
    <row r="789" spans="27:27" x14ac:dyDescent="0.3">
      <c r="AA789" s="338">
        <f t="shared" si="12"/>
        <v>34700</v>
      </c>
    </row>
    <row r="790" spans="27:27" x14ac:dyDescent="0.3">
      <c r="AA790" s="338">
        <f t="shared" si="12"/>
        <v>34700</v>
      </c>
    </row>
    <row r="791" spans="27:27" x14ac:dyDescent="0.3">
      <c r="AA791" s="338">
        <f t="shared" si="12"/>
        <v>34700</v>
      </c>
    </row>
    <row r="792" spans="27:27" x14ac:dyDescent="0.3">
      <c r="AA792" s="338">
        <f t="shared" si="12"/>
        <v>34700</v>
      </c>
    </row>
    <row r="793" spans="27:27" x14ac:dyDescent="0.3">
      <c r="AA793" s="338">
        <f t="shared" si="12"/>
        <v>34700</v>
      </c>
    </row>
    <row r="794" spans="27:27" x14ac:dyDescent="0.3">
      <c r="AA794" s="338">
        <f t="shared" si="12"/>
        <v>34700</v>
      </c>
    </row>
    <row r="795" spans="27:27" x14ac:dyDescent="0.3">
      <c r="AA795" s="338">
        <f t="shared" si="12"/>
        <v>34700</v>
      </c>
    </row>
    <row r="796" spans="27:27" x14ac:dyDescent="0.3">
      <c r="AA796" s="338">
        <f t="shared" si="12"/>
        <v>34700</v>
      </c>
    </row>
    <row r="797" spans="27:27" x14ac:dyDescent="0.3">
      <c r="AA797" s="338">
        <f t="shared" si="12"/>
        <v>34700</v>
      </c>
    </row>
    <row r="798" spans="27:27" x14ac:dyDescent="0.3">
      <c r="AA798" s="338">
        <f t="shared" si="12"/>
        <v>34700</v>
      </c>
    </row>
    <row r="799" spans="27:27" x14ac:dyDescent="0.3">
      <c r="AA799" s="338">
        <f t="shared" si="12"/>
        <v>34700</v>
      </c>
    </row>
    <row r="800" spans="27:27" x14ac:dyDescent="0.3">
      <c r="AA800" s="338">
        <f t="shared" si="12"/>
        <v>34700</v>
      </c>
    </row>
    <row r="801" spans="27:27" x14ac:dyDescent="0.3">
      <c r="AA801" s="338">
        <f t="shared" si="12"/>
        <v>34700</v>
      </c>
    </row>
    <row r="802" spans="27:27" x14ac:dyDescent="0.3">
      <c r="AA802" s="338">
        <f t="shared" si="12"/>
        <v>34700</v>
      </c>
    </row>
    <row r="803" spans="27:27" x14ac:dyDescent="0.3">
      <c r="AA803" s="338">
        <f t="shared" si="12"/>
        <v>34700</v>
      </c>
    </row>
    <row r="804" spans="27:27" x14ac:dyDescent="0.3">
      <c r="AA804" s="338">
        <f t="shared" si="12"/>
        <v>34700</v>
      </c>
    </row>
    <row r="805" spans="27:27" x14ac:dyDescent="0.3">
      <c r="AA805" s="338">
        <f t="shared" si="12"/>
        <v>34700</v>
      </c>
    </row>
    <row r="806" spans="27:27" x14ac:dyDescent="0.3">
      <c r="AA806" s="338">
        <f t="shared" si="12"/>
        <v>34700</v>
      </c>
    </row>
    <row r="807" spans="27:27" x14ac:dyDescent="0.3">
      <c r="AA807" s="338">
        <f t="shared" si="12"/>
        <v>34700</v>
      </c>
    </row>
    <row r="808" spans="27:27" x14ac:dyDescent="0.3">
      <c r="AA808" s="338">
        <f t="shared" si="12"/>
        <v>34700</v>
      </c>
    </row>
    <row r="809" spans="27:27" x14ac:dyDescent="0.3">
      <c r="AA809" s="338">
        <f t="shared" si="12"/>
        <v>34700</v>
      </c>
    </row>
    <row r="810" spans="27:27" x14ac:dyDescent="0.3">
      <c r="AA810" s="338">
        <f t="shared" si="12"/>
        <v>34700</v>
      </c>
    </row>
    <row r="811" spans="27:27" x14ac:dyDescent="0.3">
      <c r="AA811" s="338">
        <f t="shared" si="12"/>
        <v>34700</v>
      </c>
    </row>
    <row r="812" spans="27:27" x14ac:dyDescent="0.3">
      <c r="AA812" s="338">
        <f t="shared" si="12"/>
        <v>34700</v>
      </c>
    </row>
    <row r="813" spans="27:27" x14ac:dyDescent="0.3">
      <c r="AA813" s="338">
        <f t="shared" si="12"/>
        <v>34700</v>
      </c>
    </row>
    <row r="814" spans="27:27" x14ac:dyDescent="0.3">
      <c r="AA814" s="338">
        <f t="shared" si="12"/>
        <v>34700</v>
      </c>
    </row>
    <row r="815" spans="27:27" x14ac:dyDescent="0.3">
      <c r="AA815" s="338">
        <f t="shared" si="12"/>
        <v>34700</v>
      </c>
    </row>
    <row r="816" spans="27:27" x14ac:dyDescent="0.3">
      <c r="AA816" s="338">
        <f t="shared" si="12"/>
        <v>34700</v>
      </c>
    </row>
    <row r="817" spans="27:27" x14ac:dyDescent="0.3">
      <c r="AA817" s="338">
        <f t="shared" si="12"/>
        <v>34700</v>
      </c>
    </row>
    <row r="818" spans="27:27" x14ac:dyDescent="0.3">
      <c r="AA818" s="338">
        <f t="shared" si="12"/>
        <v>34700</v>
      </c>
    </row>
    <row r="819" spans="27:27" x14ac:dyDescent="0.3">
      <c r="AA819" s="338">
        <f t="shared" si="12"/>
        <v>34700</v>
      </c>
    </row>
    <row r="820" spans="27:27" x14ac:dyDescent="0.3">
      <c r="AA820" s="338">
        <f t="shared" si="12"/>
        <v>34700</v>
      </c>
    </row>
    <row r="821" spans="27:27" x14ac:dyDescent="0.3">
      <c r="AA821" s="338">
        <f t="shared" si="12"/>
        <v>34700</v>
      </c>
    </row>
    <row r="822" spans="27:27" x14ac:dyDescent="0.3">
      <c r="AA822" s="338">
        <f t="shared" si="12"/>
        <v>34700</v>
      </c>
    </row>
    <row r="823" spans="27:27" x14ac:dyDescent="0.3">
      <c r="AA823" s="338">
        <f t="shared" si="12"/>
        <v>34700</v>
      </c>
    </row>
    <row r="824" spans="27:27" x14ac:dyDescent="0.3">
      <c r="AA824" s="338">
        <f t="shared" si="12"/>
        <v>34700</v>
      </c>
    </row>
    <row r="825" spans="27:27" x14ac:dyDescent="0.3">
      <c r="AA825" s="338">
        <f t="shared" si="12"/>
        <v>34700</v>
      </c>
    </row>
    <row r="826" spans="27:27" x14ac:dyDescent="0.3">
      <c r="AA826" s="338">
        <f t="shared" si="12"/>
        <v>34700</v>
      </c>
    </row>
    <row r="827" spans="27:27" x14ac:dyDescent="0.3">
      <c r="AA827" s="338">
        <f t="shared" si="12"/>
        <v>34700</v>
      </c>
    </row>
    <row r="828" spans="27:27" x14ac:dyDescent="0.3">
      <c r="AA828" s="338">
        <f t="shared" si="12"/>
        <v>34700</v>
      </c>
    </row>
    <row r="829" spans="27:27" x14ac:dyDescent="0.3">
      <c r="AA829" s="338">
        <f t="shared" si="12"/>
        <v>34700</v>
      </c>
    </row>
    <row r="830" spans="27:27" x14ac:dyDescent="0.3">
      <c r="AA830" s="338">
        <f t="shared" si="12"/>
        <v>34700</v>
      </c>
    </row>
    <row r="831" spans="27:27" x14ac:dyDescent="0.3">
      <c r="AA831" s="338">
        <f t="shared" si="12"/>
        <v>34700</v>
      </c>
    </row>
    <row r="832" spans="27:27" x14ac:dyDescent="0.3">
      <c r="AA832" s="338">
        <f t="shared" si="12"/>
        <v>34700</v>
      </c>
    </row>
    <row r="833" spans="27:27" x14ac:dyDescent="0.3">
      <c r="AA833" s="338">
        <f t="shared" ref="AA833:AA896" si="13">IFERROR(
IF(ISNUMBER(C833),C833,DATE(VALUE(RIGHT(C833,4)),VALUE(MID(SUBSTITUTE(C833,"/","-"),FIND("-",SUBSTITUTE(C833,"/","-"))+1,FIND("-",SUBSTITUTE(C833,"/","-"),FIND("-",SUBSTITUTE(C833,"/","-"))+1)-FIND("-",SUBSTITUTE(C833,"/","-"))-1)),VALUE(LEFT(SUBSTITUTE(C833,"/","-"),FIND("-",SUBSTITUTE(C833,"/","-"))-1)))),
DATE(1995,1,1)
)</f>
        <v>34700</v>
      </c>
    </row>
    <row r="834" spans="27:27" x14ac:dyDescent="0.3">
      <c r="AA834" s="338">
        <f t="shared" si="13"/>
        <v>34700</v>
      </c>
    </row>
    <row r="835" spans="27:27" x14ac:dyDescent="0.3">
      <c r="AA835" s="338">
        <f t="shared" si="13"/>
        <v>34700</v>
      </c>
    </row>
    <row r="836" spans="27:27" x14ac:dyDescent="0.3">
      <c r="AA836" s="338">
        <f t="shared" si="13"/>
        <v>34700</v>
      </c>
    </row>
    <row r="837" spans="27:27" x14ac:dyDescent="0.3">
      <c r="AA837" s="338">
        <f t="shared" si="13"/>
        <v>34700</v>
      </c>
    </row>
    <row r="838" spans="27:27" x14ac:dyDescent="0.3">
      <c r="AA838" s="338">
        <f t="shared" si="13"/>
        <v>34700</v>
      </c>
    </row>
    <row r="839" spans="27:27" x14ac:dyDescent="0.3">
      <c r="AA839" s="338">
        <f t="shared" si="13"/>
        <v>34700</v>
      </c>
    </row>
    <row r="840" spans="27:27" x14ac:dyDescent="0.3">
      <c r="AA840" s="338">
        <f t="shared" si="13"/>
        <v>34700</v>
      </c>
    </row>
    <row r="841" spans="27:27" x14ac:dyDescent="0.3">
      <c r="AA841" s="338">
        <f t="shared" si="13"/>
        <v>34700</v>
      </c>
    </row>
    <row r="842" spans="27:27" x14ac:dyDescent="0.3">
      <c r="AA842" s="338">
        <f t="shared" si="13"/>
        <v>34700</v>
      </c>
    </row>
    <row r="843" spans="27:27" x14ac:dyDescent="0.3">
      <c r="AA843" s="338">
        <f t="shared" si="13"/>
        <v>34700</v>
      </c>
    </row>
    <row r="844" spans="27:27" x14ac:dyDescent="0.3">
      <c r="AA844" s="338">
        <f t="shared" si="13"/>
        <v>34700</v>
      </c>
    </row>
    <row r="845" spans="27:27" x14ac:dyDescent="0.3">
      <c r="AA845" s="338">
        <f t="shared" si="13"/>
        <v>34700</v>
      </c>
    </row>
    <row r="846" spans="27:27" x14ac:dyDescent="0.3">
      <c r="AA846" s="338">
        <f t="shared" si="13"/>
        <v>34700</v>
      </c>
    </row>
    <row r="847" spans="27:27" x14ac:dyDescent="0.3">
      <c r="AA847" s="338">
        <f t="shared" si="13"/>
        <v>34700</v>
      </c>
    </row>
    <row r="848" spans="27:27" x14ac:dyDescent="0.3">
      <c r="AA848" s="338">
        <f t="shared" si="13"/>
        <v>34700</v>
      </c>
    </row>
    <row r="849" spans="27:27" x14ac:dyDescent="0.3">
      <c r="AA849" s="338">
        <f t="shared" si="13"/>
        <v>34700</v>
      </c>
    </row>
    <row r="850" spans="27:27" x14ac:dyDescent="0.3">
      <c r="AA850" s="338">
        <f t="shared" si="13"/>
        <v>34700</v>
      </c>
    </row>
    <row r="851" spans="27:27" x14ac:dyDescent="0.3">
      <c r="AA851" s="338">
        <f t="shared" si="13"/>
        <v>34700</v>
      </c>
    </row>
    <row r="852" spans="27:27" x14ac:dyDescent="0.3">
      <c r="AA852" s="338">
        <f t="shared" si="13"/>
        <v>34700</v>
      </c>
    </row>
    <row r="853" spans="27:27" x14ac:dyDescent="0.3">
      <c r="AA853" s="338">
        <f t="shared" si="13"/>
        <v>34700</v>
      </c>
    </row>
    <row r="854" spans="27:27" x14ac:dyDescent="0.3">
      <c r="AA854" s="338">
        <f t="shared" si="13"/>
        <v>34700</v>
      </c>
    </row>
    <row r="855" spans="27:27" x14ac:dyDescent="0.3">
      <c r="AA855" s="338">
        <f t="shared" si="13"/>
        <v>34700</v>
      </c>
    </row>
    <row r="856" spans="27:27" x14ac:dyDescent="0.3">
      <c r="AA856" s="338">
        <f t="shared" si="13"/>
        <v>34700</v>
      </c>
    </row>
    <row r="857" spans="27:27" x14ac:dyDescent="0.3">
      <c r="AA857" s="338">
        <f t="shared" si="13"/>
        <v>34700</v>
      </c>
    </row>
    <row r="858" spans="27:27" x14ac:dyDescent="0.3">
      <c r="AA858" s="338">
        <f t="shared" si="13"/>
        <v>34700</v>
      </c>
    </row>
    <row r="859" spans="27:27" x14ac:dyDescent="0.3">
      <c r="AA859" s="338">
        <f t="shared" si="13"/>
        <v>34700</v>
      </c>
    </row>
    <row r="860" spans="27:27" x14ac:dyDescent="0.3">
      <c r="AA860" s="338">
        <f t="shared" si="13"/>
        <v>34700</v>
      </c>
    </row>
    <row r="861" spans="27:27" x14ac:dyDescent="0.3">
      <c r="AA861" s="338">
        <f t="shared" si="13"/>
        <v>34700</v>
      </c>
    </row>
    <row r="862" spans="27:27" x14ac:dyDescent="0.3">
      <c r="AA862" s="338">
        <f t="shared" si="13"/>
        <v>34700</v>
      </c>
    </row>
    <row r="863" spans="27:27" x14ac:dyDescent="0.3">
      <c r="AA863" s="338">
        <f t="shared" si="13"/>
        <v>34700</v>
      </c>
    </row>
    <row r="864" spans="27:27" x14ac:dyDescent="0.3">
      <c r="AA864" s="338">
        <f t="shared" si="13"/>
        <v>34700</v>
      </c>
    </row>
    <row r="865" spans="27:27" x14ac:dyDescent="0.3">
      <c r="AA865" s="338">
        <f t="shared" si="13"/>
        <v>34700</v>
      </c>
    </row>
    <row r="866" spans="27:27" x14ac:dyDescent="0.3">
      <c r="AA866" s="338">
        <f t="shared" si="13"/>
        <v>34700</v>
      </c>
    </row>
    <row r="867" spans="27:27" x14ac:dyDescent="0.3">
      <c r="AA867" s="338">
        <f t="shared" si="13"/>
        <v>34700</v>
      </c>
    </row>
    <row r="868" spans="27:27" x14ac:dyDescent="0.3">
      <c r="AA868" s="338">
        <f t="shared" si="13"/>
        <v>34700</v>
      </c>
    </row>
    <row r="869" spans="27:27" x14ac:dyDescent="0.3">
      <c r="AA869" s="338">
        <f t="shared" si="13"/>
        <v>34700</v>
      </c>
    </row>
    <row r="870" spans="27:27" x14ac:dyDescent="0.3">
      <c r="AA870" s="338">
        <f t="shared" si="13"/>
        <v>34700</v>
      </c>
    </row>
    <row r="871" spans="27:27" x14ac:dyDescent="0.3">
      <c r="AA871" s="338">
        <f t="shared" si="13"/>
        <v>34700</v>
      </c>
    </row>
    <row r="872" spans="27:27" x14ac:dyDescent="0.3">
      <c r="AA872" s="338">
        <f t="shared" si="13"/>
        <v>34700</v>
      </c>
    </row>
    <row r="873" spans="27:27" x14ac:dyDescent="0.3">
      <c r="AA873" s="338">
        <f t="shared" si="13"/>
        <v>34700</v>
      </c>
    </row>
    <row r="874" spans="27:27" x14ac:dyDescent="0.3">
      <c r="AA874" s="338">
        <f t="shared" si="13"/>
        <v>34700</v>
      </c>
    </row>
    <row r="875" spans="27:27" x14ac:dyDescent="0.3">
      <c r="AA875" s="338">
        <f t="shared" si="13"/>
        <v>34700</v>
      </c>
    </row>
    <row r="876" spans="27:27" x14ac:dyDescent="0.3">
      <c r="AA876" s="338">
        <f t="shared" si="13"/>
        <v>34700</v>
      </c>
    </row>
    <row r="877" spans="27:27" x14ac:dyDescent="0.3">
      <c r="AA877" s="338">
        <f t="shared" si="13"/>
        <v>34700</v>
      </c>
    </row>
    <row r="878" spans="27:27" x14ac:dyDescent="0.3">
      <c r="AA878" s="338">
        <f t="shared" si="13"/>
        <v>34700</v>
      </c>
    </row>
    <row r="879" spans="27:27" x14ac:dyDescent="0.3">
      <c r="AA879" s="338">
        <f t="shared" si="13"/>
        <v>34700</v>
      </c>
    </row>
    <row r="880" spans="27:27" x14ac:dyDescent="0.3">
      <c r="AA880" s="338">
        <f t="shared" si="13"/>
        <v>34700</v>
      </c>
    </row>
    <row r="881" spans="27:27" x14ac:dyDescent="0.3">
      <c r="AA881" s="338">
        <f t="shared" si="13"/>
        <v>34700</v>
      </c>
    </row>
    <row r="882" spans="27:27" x14ac:dyDescent="0.3">
      <c r="AA882" s="338">
        <f t="shared" si="13"/>
        <v>34700</v>
      </c>
    </row>
    <row r="883" spans="27:27" x14ac:dyDescent="0.3">
      <c r="AA883" s="338">
        <f t="shared" si="13"/>
        <v>34700</v>
      </c>
    </row>
    <row r="884" spans="27:27" x14ac:dyDescent="0.3">
      <c r="AA884" s="338">
        <f t="shared" si="13"/>
        <v>34700</v>
      </c>
    </row>
    <row r="885" spans="27:27" x14ac:dyDescent="0.3">
      <c r="AA885" s="338">
        <f t="shared" si="13"/>
        <v>34700</v>
      </c>
    </row>
    <row r="886" spans="27:27" x14ac:dyDescent="0.3">
      <c r="AA886" s="338">
        <f t="shared" si="13"/>
        <v>34700</v>
      </c>
    </row>
    <row r="887" spans="27:27" x14ac:dyDescent="0.3">
      <c r="AA887" s="338">
        <f t="shared" si="13"/>
        <v>34700</v>
      </c>
    </row>
    <row r="888" spans="27:27" x14ac:dyDescent="0.3">
      <c r="AA888" s="338">
        <f t="shared" si="13"/>
        <v>34700</v>
      </c>
    </row>
    <row r="889" spans="27:27" x14ac:dyDescent="0.3">
      <c r="AA889" s="338">
        <f t="shared" si="13"/>
        <v>34700</v>
      </c>
    </row>
    <row r="890" spans="27:27" x14ac:dyDescent="0.3">
      <c r="AA890" s="338">
        <f t="shared" si="13"/>
        <v>34700</v>
      </c>
    </row>
    <row r="891" spans="27:27" x14ac:dyDescent="0.3">
      <c r="AA891" s="338">
        <f t="shared" si="13"/>
        <v>34700</v>
      </c>
    </row>
    <row r="892" spans="27:27" x14ac:dyDescent="0.3">
      <c r="AA892" s="338">
        <f t="shared" si="13"/>
        <v>34700</v>
      </c>
    </row>
    <row r="893" spans="27:27" x14ac:dyDescent="0.3">
      <c r="AA893" s="338">
        <f t="shared" si="13"/>
        <v>34700</v>
      </c>
    </row>
    <row r="894" spans="27:27" x14ac:dyDescent="0.3">
      <c r="AA894" s="338">
        <f t="shared" si="13"/>
        <v>34700</v>
      </c>
    </row>
    <row r="895" spans="27:27" x14ac:dyDescent="0.3">
      <c r="AA895" s="338">
        <f t="shared" si="13"/>
        <v>34700</v>
      </c>
    </row>
    <row r="896" spans="27:27" x14ac:dyDescent="0.3">
      <c r="AA896" s="338">
        <f t="shared" si="13"/>
        <v>34700</v>
      </c>
    </row>
    <row r="897" spans="27:27" x14ac:dyDescent="0.3">
      <c r="AA897" s="338">
        <f t="shared" ref="AA897:AA960" si="14">IFERROR(
IF(ISNUMBER(C897),C897,DATE(VALUE(RIGHT(C897,4)),VALUE(MID(SUBSTITUTE(C897,"/","-"),FIND("-",SUBSTITUTE(C897,"/","-"))+1,FIND("-",SUBSTITUTE(C897,"/","-"),FIND("-",SUBSTITUTE(C897,"/","-"))+1)-FIND("-",SUBSTITUTE(C897,"/","-"))-1)),VALUE(LEFT(SUBSTITUTE(C897,"/","-"),FIND("-",SUBSTITUTE(C897,"/","-"))-1)))),
DATE(1995,1,1)
)</f>
        <v>34700</v>
      </c>
    </row>
    <row r="898" spans="27:27" x14ac:dyDescent="0.3">
      <c r="AA898" s="338">
        <f t="shared" si="14"/>
        <v>34700</v>
      </c>
    </row>
    <row r="899" spans="27:27" x14ac:dyDescent="0.3">
      <c r="AA899" s="338">
        <f t="shared" si="14"/>
        <v>34700</v>
      </c>
    </row>
    <row r="900" spans="27:27" x14ac:dyDescent="0.3">
      <c r="AA900" s="338">
        <f t="shared" si="14"/>
        <v>34700</v>
      </c>
    </row>
    <row r="901" spans="27:27" x14ac:dyDescent="0.3">
      <c r="AA901" s="338">
        <f t="shared" si="14"/>
        <v>34700</v>
      </c>
    </row>
    <row r="902" spans="27:27" x14ac:dyDescent="0.3">
      <c r="AA902" s="338">
        <f t="shared" si="14"/>
        <v>34700</v>
      </c>
    </row>
    <row r="903" spans="27:27" x14ac:dyDescent="0.3">
      <c r="AA903" s="338">
        <f t="shared" si="14"/>
        <v>34700</v>
      </c>
    </row>
    <row r="904" spans="27:27" x14ac:dyDescent="0.3">
      <c r="AA904" s="338">
        <f t="shared" si="14"/>
        <v>34700</v>
      </c>
    </row>
    <row r="905" spans="27:27" x14ac:dyDescent="0.3">
      <c r="AA905" s="338">
        <f t="shared" si="14"/>
        <v>34700</v>
      </c>
    </row>
    <row r="906" spans="27:27" x14ac:dyDescent="0.3">
      <c r="AA906" s="338">
        <f t="shared" si="14"/>
        <v>34700</v>
      </c>
    </row>
    <row r="907" spans="27:27" x14ac:dyDescent="0.3">
      <c r="AA907" s="338">
        <f t="shared" si="14"/>
        <v>34700</v>
      </c>
    </row>
    <row r="908" spans="27:27" x14ac:dyDescent="0.3">
      <c r="AA908" s="338">
        <f t="shared" si="14"/>
        <v>34700</v>
      </c>
    </row>
    <row r="909" spans="27:27" x14ac:dyDescent="0.3">
      <c r="AA909" s="338">
        <f t="shared" si="14"/>
        <v>34700</v>
      </c>
    </row>
    <row r="910" spans="27:27" x14ac:dyDescent="0.3">
      <c r="AA910" s="338">
        <f t="shared" si="14"/>
        <v>34700</v>
      </c>
    </row>
    <row r="911" spans="27:27" x14ac:dyDescent="0.3">
      <c r="AA911" s="338">
        <f t="shared" si="14"/>
        <v>34700</v>
      </c>
    </row>
    <row r="912" spans="27:27" x14ac:dyDescent="0.3">
      <c r="AA912" s="338">
        <f t="shared" si="14"/>
        <v>34700</v>
      </c>
    </row>
    <row r="913" spans="27:27" x14ac:dyDescent="0.3">
      <c r="AA913" s="338">
        <f t="shared" si="14"/>
        <v>34700</v>
      </c>
    </row>
    <row r="914" spans="27:27" x14ac:dyDescent="0.3">
      <c r="AA914" s="338">
        <f t="shared" si="14"/>
        <v>34700</v>
      </c>
    </row>
    <row r="915" spans="27:27" x14ac:dyDescent="0.3">
      <c r="AA915" s="338">
        <f t="shared" si="14"/>
        <v>34700</v>
      </c>
    </row>
    <row r="916" spans="27:27" x14ac:dyDescent="0.3">
      <c r="AA916" s="338">
        <f t="shared" si="14"/>
        <v>34700</v>
      </c>
    </row>
    <row r="917" spans="27:27" x14ac:dyDescent="0.3">
      <c r="AA917" s="338">
        <f t="shared" si="14"/>
        <v>34700</v>
      </c>
    </row>
    <row r="918" spans="27:27" x14ac:dyDescent="0.3">
      <c r="AA918" s="338">
        <f t="shared" si="14"/>
        <v>34700</v>
      </c>
    </row>
    <row r="919" spans="27:27" x14ac:dyDescent="0.3">
      <c r="AA919" s="338">
        <f t="shared" si="14"/>
        <v>34700</v>
      </c>
    </row>
    <row r="920" spans="27:27" x14ac:dyDescent="0.3">
      <c r="AA920" s="338">
        <f t="shared" si="14"/>
        <v>34700</v>
      </c>
    </row>
    <row r="921" spans="27:27" x14ac:dyDescent="0.3">
      <c r="AA921" s="338">
        <f t="shared" si="14"/>
        <v>34700</v>
      </c>
    </row>
    <row r="922" spans="27:27" x14ac:dyDescent="0.3">
      <c r="AA922" s="338">
        <f t="shared" si="14"/>
        <v>34700</v>
      </c>
    </row>
    <row r="923" spans="27:27" x14ac:dyDescent="0.3">
      <c r="AA923" s="338">
        <f t="shared" si="14"/>
        <v>34700</v>
      </c>
    </row>
    <row r="924" spans="27:27" x14ac:dyDescent="0.3">
      <c r="AA924" s="338">
        <f t="shared" si="14"/>
        <v>34700</v>
      </c>
    </row>
    <row r="925" spans="27:27" x14ac:dyDescent="0.3">
      <c r="AA925" s="338">
        <f t="shared" si="14"/>
        <v>34700</v>
      </c>
    </row>
    <row r="926" spans="27:27" x14ac:dyDescent="0.3">
      <c r="AA926" s="338">
        <f t="shared" si="14"/>
        <v>34700</v>
      </c>
    </row>
    <row r="927" spans="27:27" x14ac:dyDescent="0.3">
      <c r="AA927" s="338">
        <f t="shared" si="14"/>
        <v>34700</v>
      </c>
    </row>
    <row r="928" spans="27:27" x14ac:dyDescent="0.3">
      <c r="AA928" s="338">
        <f t="shared" si="14"/>
        <v>34700</v>
      </c>
    </row>
    <row r="929" spans="27:27" x14ac:dyDescent="0.3">
      <c r="AA929" s="338">
        <f t="shared" si="14"/>
        <v>34700</v>
      </c>
    </row>
    <row r="930" spans="27:27" x14ac:dyDescent="0.3">
      <c r="AA930" s="338">
        <f t="shared" si="14"/>
        <v>34700</v>
      </c>
    </row>
    <row r="931" spans="27:27" x14ac:dyDescent="0.3">
      <c r="AA931" s="338">
        <f t="shared" si="14"/>
        <v>34700</v>
      </c>
    </row>
    <row r="932" spans="27:27" x14ac:dyDescent="0.3">
      <c r="AA932" s="338">
        <f t="shared" si="14"/>
        <v>34700</v>
      </c>
    </row>
    <row r="933" spans="27:27" x14ac:dyDescent="0.3">
      <c r="AA933" s="338">
        <f t="shared" si="14"/>
        <v>34700</v>
      </c>
    </row>
    <row r="934" spans="27:27" x14ac:dyDescent="0.3">
      <c r="AA934" s="338">
        <f t="shared" si="14"/>
        <v>34700</v>
      </c>
    </row>
    <row r="935" spans="27:27" x14ac:dyDescent="0.3">
      <c r="AA935" s="338">
        <f t="shared" si="14"/>
        <v>34700</v>
      </c>
    </row>
    <row r="936" spans="27:27" x14ac:dyDescent="0.3">
      <c r="AA936" s="338">
        <f t="shared" si="14"/>
        <v>34700</v>
      </c>
    </row>
    <row r="937" spans="27:27" x14ac:dyDescent="0.3">
      <c r="AA937" s="338">
        <f t="shared" si="14"/>
        <v>34700</v>
      </c>
    </row>
    <row r="938" spans="27:27" x14ac:dyDescent="0.3">
      <c r="AA938" s="338">
        <f t="shared" si="14"/>
        <v>34700</v>
      </c>
    </row>
    <row r="939" spans="27:27" x14ac:dyDescent="0.3">
      <c r="AA939" s="338">
        <f t="shared" si="14"/>
        <v>34700</v>
      </c>
    </row>
    <row r="940" spans="27:27" x14ac:dyDescent="0.3">
      <c r="AA940" s="338">
        <f t="shared" si="14"/>
        <v>34700</v>
      </c>
    </row>
    <row r="941" spans="27:27" x14ac:dyDescent="0.3">
      <c r="AA941" s="338">
        <f t="shared" si="14"/>
        <v>34700</v>
      </c>
    </row>
    <row r="942" spans="27:27" x14ac:dyDescent="0.3">
      <c r="AA942" s="338">
        <f t="shared" si="14"/>
        <v>34700</v>
      </c>
    </row>
    <row r="943" spans="27:27" x14ac:dyDescent="0.3">
      <c r="AA943" s="338">
        <f t="shared" si="14"/>
        <v>34700</v>
      </c>
    </row>
    <row r="944" spans="27:27" x14ac:dyDescent="0.3">
      <c r="AA944" s="338">
        <f t="shared" si="14"/>
        <v>34700</v>
      </c>
    </row>
    <row r="945" spans="27:27" x14ac:dyDescent="0.3">
      <c r="AA945" s="338">
        <f t="shared" si="14"/>
        <v>34700</v>
      </c>
    </row>
    <row r="946" spans="27:27" x14ac:dyDescent="0.3">
      <c r="AA946" s="338">
        <f t="shared" si="14"/>
        <v>34700</v>
      </c>
    </row>
    <row r="947" spans="27:27" x14ac:dyDescent="0.3">
      <c r="AA947" s="338">
        <f t="shared" si="14"/>
        <v>34700</v>
      </c>
    </row>
    <row r="948" spans="27:27" x14ac:dyDescent="0.3">
      <c r="AA948" s="338">
        <f t="shared" si="14"/>
        <v>34700</v>
      </c>
    </row>
    <row r="949" spans="27:27" x14ac:dyDescent="0.3">
      <c r="AA949" s="338">
        <f t="shared" si="14"/>
        <v>34700</v>
      </c>
    </row>
    <row r="950" spans="27:27" x14ac:dyDescent="0.3">
      <c r="AA950" s="338">
        <f t="shared" si="14"/>
        <v>34700</v>
      </c>
    </row>
    <row r="951" spans="27:27" x14ac:dyDescent="0.3">
      <c r="AA951" s="338">
        <f t="shared" si="14"/>
        <v>34700</v>
      </c>
    </row>
    <row r="952" spans="27:27" x14ac:dyDescent="0.3">
      <c r="AA952" s="338">
        <f t="shared" si="14"/>
        <v>34700</v>
      </c>
    </row>
    <row r="953" spans="27:27" x14ac:dyDescent="0.3">
      <c r="AA953" s="338">
        <f t="shared" si="14"/>
        <v>34700</v>
      </c>
    </row>
    <row r="954" spans="27:27" x14ac:dyDescent="0.3">
      <c r="AA954" s="338">
        <f t="shared" si="14"/>
        <v>34700</v>
      </c>
    </row>
    <row r="955" spans="27:27" x14ac:dyDescent="0.3">
      <c r="AA955" s="338">
        <f t="shared" si="14"/>
        <v>34700</v>
      </c>
    </row>
    <row r="956" spans="27:27" x14ac:dyDescent="0.3">
      <c r="AA956" s="338">
        <f t="shared" si="14"/>
        <v>34700</v>
      </c>
    </row>
    <row r="957" spans="27:27" x14ac:dyDescent="0.3">
      <c r="AA957" s="338">
        <f t="shared" si="14"/>
        <v>34700</v>
      </c>
    </row>
    <row r="958" spans="27:27" x14ac:dyDescent="0.3">
      <c r="AA958" s="338">
        <f t="shared" si="14"/>
        <v>34700</v>
      </c>
    </row>
    <row r="959" spans="27:27" x14ac:dyDescent="0.3">
      <c r="AA959" s="338">
        <f t="shared" si="14"/>
        <v>34700</v>
      </c>
    </row>
    <row r="960" spans="27:27" x14ac:dyDescent="0.3">
      <c r="AA960" s="338">
        <f t="shared" si="14"/>
        <v>34700</v>
      </c>
    </row>
    <row r="961" spans="27:27" x14ac:dyDescent="0.3">
      <c r="AA961" s="338">
        <f t="shared" ref="AA961:AA1024" si="15">IFERROR(
IF(ISNUMBER(C961),C961,DATE(VALUE(RIGHT(C961,4)),VALUE(MID(SUBSTITUTE(C961,"/","-"),FIND("-",SUBSTITUTE(C961,"/","-"))+1,FIND("-",SUBSTITUTE(C961,"/","-"),FIND("-",SUBSTITUTE(C961,"/","-"))+1)-FIND("-",SUBSTITUTE(C961,"/","-"))-1)),VALUE(LEFT(SUBSTITUTE(C961,"/","-"),FIND("-",SUBSTITUTE(C961,"/","-"))-1)))),
DATE(1995,1,1)
)</f>
        <v>34700</v>
      </c>
    </row>
    <row r="962" spans="27:27" x14ac:dyDescent="0.3">
      <c r="AA962" s="338">
        <f t="shared" si="15"/>
        <v>34700</v>
      </c>
    </row>
    <row r="963" spans="27:27" x14ac:dyDescent="0.3">
      <c r="AA963" s="338">
        <f t="shared" si="15"/>
        <v>34700</v>
      </c>
    </row>
    <row r="964" spans="27:27" x14ac:dyDescent="0.3">
      <c r="AA964" s="338">
        <f t="shared" si="15"/>
        <v>34700</v>
      </c>
    </row>
    <row r="965" spans="27:27" x14ac:dyDescent="0.3">
      <c r="AA965" s="338">
        <f t="shared" si="15"/>
        <v>34700</v>
      </c>
    </row>
    <row r="966" spans="27:27" x14ac:dyDescent="0.3">
      <c r="AA966" s="338">
        <f t="shared" si="15"/>
        <v>34700</v>
      </c>
    </row>
    <row r="967" spans="27:27" x14ac:dyDescent="0.3">
      <c r="AA967" s="338">
        <f t="shared" si="15"/>
        <v>34700</v>
      </c>
    </row>
    <row r="968" spans="27:27" x14ac:dyDescent="0.3">
      <c r="AA968" s="338">
        <f t="shared" si="15"/>
        <v>34700</v>
      </c>
    </row>
    <row r="969" spans="27:27" x14ac:dyDescent="0.3">
      <c r="AA969" s="338">
        <f t="shared" si="15"/>
        <v>34700</v>
      </c>
    </row>
    <row r="970" spans="27:27" x14ac:dyDescent="0.3">
      <c r="AA970" s="338">
        <f t="shared" si="15"/>
        <v>34700</v>
      </c>
    </row>
    <row r="971" spans="27:27" x14ac:dyDescent="0.3">
      <c r="AA971" s="338">
        <f t="shared" si="15"/>
        <v>34700</v>
      </c>
    </row>
    <row r="972" spans="27:27" x14ac:dyDescent="0.3">
      <c r="AA972" s="338">
        <f t="shared" si="15"/>
        <v>34700</v>
      </c>
    </row>
    <row r="973" spans="27:27" x14ac:dyDescent="0.3">
      <c r="AA973" s="338">
        <f t="shared" si="15"/>
        <v>34700</v>
      </c>
    </row>
    <row r="974" spans="27:27" x14ac:dyDescent="0.3">
      <c r="AA974" s="338">
        <f t="shared" si="15"/>
        <v>34700</v>
      </c>
    </row>
    <row r="975" spans="27:27" x14ac:dyDescent="0.3">
      <c r="AA975" s="338">
        <f t="shared" si="15"/>
        <v>34700</v>
      </c>
    </row>
    <row r="976" spans="27:27" x14ac:dyDescent="0.3">
      <c r="AA976" s="338">
        <f t="shared" si="15"/>
        <v>34700</v>
      </c>
    </row>
    <row r="977" spans="27:27" x14ac:dyDescent="0.3">
      <c r="AA977" s="338">
        <f t="shared" si="15"/>
        <v>34700</v>
      </c>
    </row>
    <row r="978" spans="27:27" x14ac:dyDescent="0.3">
      <c r="AA978" s="338">
        <f t="shared" si="15"/>
        <v>34700</v>
      </c>
    </row>
    <row r="979" spans="27:27" x14ac:dyDescent="0.3">
      <c r="AA979" s="338">
        <f t="shared" si="15"/>
        <v>34700</v>
      </c>
    </row>
    <row r="980" spans="27:27" x14ac:dyDescent="0.3">
      <c r="AA980" s="338">
        <f t="shared" si="15"/>
        <v>34700</v>
      </c>
    </row>
    <row r="981" spans="27:27" x14ac:dyDescent="0.3">
      <c r="AA981" s="338">
        <f t="shared" si="15"/>
        <v>34700</v>
      </c>
    </row>
    <row r="982" spans="27:27" x14ac:dyDescent="0.3">
      <c r="AA982" s="338">
        <f t="shared" si="15"/>
        <v>34700</v>
      </c>
    </row>
    <row r="983" spans="27:27" x14ac:dyDescent="0.3">
      <c r="AA983" s="338">
        <f t="shared" si="15"/>
        <v>34700</v>
      </c>
    </row>
    <row r="984" spans="27:27" x14ac:dyDescent="0.3">
      <c r="AA984" s="338">
        <f t="shared" si="15"/>
        <v>34700</v>
      </c>
    </row>
    <row r="985" spans="27:27" x14ac:dyDescent="0.3">
      <c r="AA985" s="338">
        <f t="shared" si="15"/>
        <v>34700</v>
      </c>
    </row>
    <row r="986" spans="27:27" x14ac:dyDescent="0.3">
      <c r="AA986" s="338">
        <f t="shared" si="15"/>
        <v>34700</v>
      </c>
    </row>
    <row r="987" spans="27:27" x14ac:dyDescent="0.3">
      <c r="AA987" s="338">
        <f t="shared" si="15"/>
        <v>34700</v>
      </c>
    </row>
    <row r="988" spans="27:27" x14ac:dyDescent="0.3">
      <c r="AA988" s="338">
        <f t="shared" si="15"/>
        <v>34700</v>
      </c>
    </row>
    <row r="989" spans="27:27" x14ac:dyDescent="0.3">
      <c r="AA989" s="338">
        <f t="shared" si="15"/>
        <v>34700</v>
      </c>
    </row>
    <row r="990" spans="27:27" x14ac:dyDescent="0.3">
      <c r="AA990" s="338">
        <f t="shared" si="15"/>
        <v>34700</v>
      </c>
    </row>
    <row r="991" spans="27:27" x14ac:dyDescent="0.3">
      <c r="AA991" s="338">
        <f t="shared" si="15"/>
        <v>34700</v>
      </c>
    </row>
    <row r="992" spans="27:27" x14ac:dyDescent="0.3">
      <c r="AA992" s="338">
        <f t="shared" si="15"/>
        <v>34700</v>
      </c>
    </row>
    <row r="993" spans="27:27" x14ac:dyDescent="0.3">
      <c r="AA993" s="338">
        <f t="shared" si="15"/>
        <v>34700</v>
      </c>
    </row>
    <row r="994" spans="27:27" x14ac:dyDescent="0.3">
      <c r="AA994" s="338">
        <f t="shared" si="15"/>
        <v>34700</v>
      </c>
    </row>
    <row r="995" spans="27:27" x14ac:dyDescent="0.3">
      <c r="AA995" s="338">
        <f t="shared" si="15"/>
        <v>34700</v>
      </c>
    </row>
    <row r="996" spans="27:27" x14ac:dyDescent="0.3">
      <c r="AA996" s="338">
        <f t="shared" si="15"/>
        <v>34700</v>
      </c>
    </row>
    <row r="997" spans="27:27" x14ac:dyDescent="0.3">
      <c r="AA997" s="338">
        <f t="shared" si="15"/>
        <v>34700</v>
      </c>
    </row>
    <row r="998" spans="27:27" x14ac:dyDescent="0.3">
      <c r="AA998" s="338">
        <f t="shared" si="15"/>
        <v>34700</v>
      </c>
    </row>
    <row r="999" spans="27:27" x14ac:dyDescent="0.3">
      <c r="AA999" s="338">
        <f t="shared" si="15"/>
        <v>34700</v>
      </c>
    </row>
    <row r="1000" spans="27:27" x14ac:dyDescent="0.3">
      <c r="AA1000" s="338">
        <f t="shared" si="15"/>
        <v>34700</v>
      </c>
    </row>
    <row r="1001" spans="27:27" x14ac:dyDescent="0.3">
      <c r="AA1001" s="338">
        <f t="shared" si="15"/>
        <v>34700</v>
      </c>
    </row>
    <row r="1002" spans="27:27" x14ac:dyDescent="0.3">
      <c r="AA1002" s="338">
        <f t="shared" si="15"/>
        <v>34700</v>
      </c>
    </row>
    <row r="1003" spans="27:27" x14ac:dyDescent="0.3">
      <c r="AA1003" s="338">
        <f t="shared" si="15"/>
        <v>34700</v>
      </c>
    </row>
    <row r="1004" spans="27:27" x14ac:dyDescent="0.3">
      <c r="AA1004" s="338">
        <f t="shared" si="15"/>
        <v>34700</v>
      </c>
    </row>
    <row r="1005" spans="27:27" x14ac:dyDescent="0.3">
      <c r="AA1005" s="338">
        <f t="shared" si="15"/>
        <v>34700</v>
      </c>
    </row>
    <row r="1006" spans="27:27" x14ac:dyDescent="0.3">
      <c r="AA1006" s="338">
        <f t="shared" si="15"/>
        <v>34700</v>
      </c>
    </row>
    <row r="1007" spans="27:27" x14ac:dyDescent="0.3">
      <c r="AA1007" s="338">
        <f t="shared" si="15"/>
        <v>34700</v>
      </c>
    </row>
    <row r="1008" spans="27:27" x14ac:dyDescent="0.3">
      <c r="AA1008" s="338">
        <f t="shared" si="15"/>
        <v>34700</v>
      </c>
    </row>
    <row r="1009" spans="27:27" x14ac:dyDescent="0.3">
      <c r="AA1009" s="338">
        <f t="shared" si="15"/>
        <v>34700</v>
      </c>
    </row>
    <row r="1010" spans="27:27" x14ac:dyDescent="0.3">
      <c r="AA1010" s="338">
        <f t="shared" si="15"/>
        <v>34700</v>
      </c>
    </row>
    <row r="1011" spans="27:27" x14ac:dyDescent="0.3">
      <c r="AA1011" s="338">
        <f t="shared" si="15"/>
        <v>34700</v>
      </c>
    </row>
    <row r="1012" spans="27:27" x14ac:dyDescent="0.3">
      <c r="AA1012" s="338">
        <f t="shared" si="15"/>
        <v>34700</v>
      </c>
    </row>
    <row r="1013" spans="27:27" x14ac:dyDescent="0.3">
      <c r="AA1013" s="338">
        <f t="shared" si="15"/>
        <v>34700</v>
      </c>
    </row>
    <row r="1014" spans="27:27" x14ac:dyDescent="0.3">
      <c r="AA1014" s="338">
        <f t="shared" si="15"/>
        <v>34700</v>
      </c>
    </row>
    <row r="1015" spans="27:27" x14ac:dyDescent="0.3">
      <c r="AA1015" s="338">
        <f t="shared" si="15"/>
        <v>34700</v>
      </c>
    </row>
    <row r="1016" spans="27:27" x14ac:dyDescent="0.3">
      <c r="AA1016" s="338">
        <f t="shared" si="15"/>
        <v>34700</v>
      </c>
    </row>
    <row r="1017" spans="27:27" x14ac:dyDescent="0.3">
      <c r="AA1017" s="338">
        <f t="shared" si="15"/>
        <v>34700</v>
      </c>
    </row>
    <row r="1018" spans="27:27" x14ac:dyDescent="0.3">
      <c r="AA1018" s="338">
        <f t="shared" si="15"/>
        <v>34700</v>
      </c>
    </row>
    <row r="1019" spans="27:27" x14ac:dyDescent="0.3">
      <c r="AA1019" s="338">
        <f t="shared" si="15"/>
        <v>34700</v>
      </c>
    </row>
    <row r="1020" spans="27:27" x14ac:dyDescent="0.3">
      <c r="AA1020" s="338">
        <f t="shared" si="15"/>
        <v>34700</v>
      </c>
    </row>
    <row r="1021" spans="27:27" x14ac:dyDescent="0.3">
      <c r="AA1021" s="338">
        <f t="shared" si="15"/>
        <v>34700</v>
      </c>
    </row>
    <row r="1022" spans="27:27" x14ac:dyDescent="0.3">
      <c r="AA1022" s="338">
        <f t="shared" si="15"/>
        <v>34700</v>
      </c>
    </row>
    <row r="1023" spans="27:27" x14ac:dyDescent="0.3">
      <c r="AA1023" s="338">
        <f t="shared" si="15"/>
        <v>34700</v>
      </c>
    </row>
    <row r="1024" spans="27:27" x14ac:dyDescent="0.3">
      <c r="AA1024" s="338">
        <f t="shared" si="15"/>
        <v>34700</v>
      </c>
    </row>
    <row r="1025" spans="27:27" x14ac:dyDescent="0.3">
      <c r="AA1025" s="338">
        <f t="shared" ref="AA1025:AA1088" si="16">IFERROR(
IF(ISNUMBER(C1025),C1025,DATE(VALUE(RIGHT(C1025,4)),VALUE(MID(SUBSTITUTE(C1025,"/","-"),FIND("-",SUBSTITUTE(C1025,"/","-"))+1,FIND("-",SUBSTITUTE(C1025,"/","-"),FIND("-",SUBSTITUTE(C1025,"/","-"))+1)-FIND("-",SUBSTITUTE(C1025,"/","-"))-1)),VALUE(LEFT(SUBSTITUTE(C1025,"/","-"),FIND("-",SUBSTITUTE(C1025,"/","-"))-1)))),
DATE(1995,1,1)
)</f>
        <v>34700</v>
      </c>
    </row>
    <row r="1026" spans="27:27" x14ac:dyDescent="0.3">
      <c r="AA1026" s="338">
        <f t="shared" si="16"/>
        <v>34700</v>
      </c>
    </row>
    <row r="1027" spans="27:27" x14ac:dyDescent="0.3">
      <c r="AA1027" s="338">
        <f t="shared" si="16"/>
        <v>34700</v>
      </c>
    </row>
    <row r="1028" spans="27:27" x14ac:dyDescent="0.3">
      <c r="AA1028" s="338">
        <f t="shared" si="16"/>
        <v>34700</v>
      </c>
    </row>
    <row r="1029" spans="27:27" x14ac:dyDescent="0.3">
      <c r="AA1029" s="338">
        <f t="shared" si="16"/>
        <v>34700</v>
      </c>
    </row>
    <row r="1030" spans="27:27" x14ac:dyDescent="0.3">
      <c r="AA1030" s="338">
        <f t="shared" si="16"/>
        <v>34700</v>
      </c>
    </row>
    <row r="1031" spans="27:27" x14ac:dyDescent="0.3">
      <c r="AA1031" s="338">
        <f t="shared" si="16"/>
        <v>34700</v>
      </c>
    </row>
    <row r="1032" spans="27:27" x14ac:dyDescent="0.3">
      <c r="AA1032" s="338">
        <f t="shared" si="16"/>
        <v>34700</v>
      </c>
    </row>
    <row r="1033" spans="27:27" x14ac:dyDescent="0.3">
      <c r="AA1033" s="338">
        <f t="shared" si="16"/>
        <v>34700</v>
      </c>
    </row>
    <row r="1034" spans="27:27" x14ac:dyDescent="0.3">
      <c r="AA1034" s="338">
        <f t="shared" si="16"/>
        <v>34700</v>
      </c>
    </row>
    <row r="1035" spans="27:27" x14ac:dyDescent="0.3">
      <c r="AA1035" s="338">
        <f t="shared" si="16"/>
        <v>34700</v>
      </c>
    </row>
    <row r="1036" spans="27:27" x14ac:dyDescent="0.3">
      <c r="AA1036" s="338">
        <f t="shared" si="16"/>
        <v>34700</v>
      </c>
    </row>
    <row r="1037" spans="27:27" x14ac:dyDescent="0.3">
      <c r="AA1037" s="338">
        <f t="shared" si="16"/>
        <v>34700</v>
      </c>
    </row>
    <row r="1038" spans="27:27" x14ac:dyDescent="0.3">
      <c r="AA1038" s="338">
        <f t="shared" si="16"/>
        <v>34700</v>
      </c>
    </row>
    <row r="1039" spans="27:27" x14ac:dyDescent="0.3">
      <c r="AA1039" s="338">
        <f t="shared" si="16"/>
        <v>34700</v>
      </c>
    </row>
    <row r="1040" spans="27:27" x14ac:dyDescent="0.3">
      <c r="AA1040" s="338">
        <f t="shared" si="16"/>
        <v>34700</v>
      </c>
    </row>
    <row r="1041" spans="27:27" x14ac:dyDescent="0.3">
      <c r="AA1041" s="338">
        <f t="shared" si="16"/>
        <v>34700</v>
      </c>
    </row>
    <row r="1042" spans="27:27" x14ac:dyDescent="0.3">
      <c r="AA1042" s="338">
        <f t="shared" si="16"/>
        <v>34700</v>
      </c>
    </row>
    <row r="1043" spans="27:27" x14ac:dyDescent="0.3">
      <c r="AA1043" s="338">
        <f t="shared" si="16"/>
        <v>34700</v>
      </c>
    </row>
    <row r="1044" spans="27:27" x14ac:dyDescent="0.3">
      <c r="AA1044" s="338">
        <f t="shared" si="16"/>
        <v>34700</v>
      </c>
    </row>
    <row r="1045" spans="27:27" x14ac:dyDescent="0.3">
      <c r="AA1045" s="338">
        <f t="shared" si="16"/>
        <v>34700</v>
      </c>
    </row>
    <row r="1046" spans="27:27" x14ac:dyDescent="0.3">
      <c r="AA1046" s="338">
        <f t="shared" si="16"/>
        <v>34700</v>
      </c>
    </row>
    <row r="1047" spans="27:27" x14ac:dyDescent="0.3">
      <c r="AA1047" s="338">
        <f t="shared" si="16"/>
        <v>34700</v>
      </c>
    </row>
    <row r="1048" spans="27:27" x14ac:dyDescent="0.3">
      <c r="AA1048" s="338">
        <f t="shared" si="16"/>
        <v>34700</v>
      </c>
    </row>
    <row r="1049" spans="27:27" x14ac:dyDescent="0.3">
      <c r="AA1049" s="338">
        <f t="shared" si="16"/>
        <v>34700</v>
      </c>
    </row>
    <row r="1050" spans="27:27" x14ac:dyDescent="0.3">
      <c r="AA1050" s="338">
        <f t="shared" si="16"/>
        <v>34700</v>
      </c>
    </row>
    <row r="1051" spans="27:27" x14ac:dyDescent="0.3">
      <c r="AA1051" s="338">
        <f t="shared" si="16"/>
        <v>34700</v>
      </c>
    </row>
    <row r="1052" spans="27:27" x14ac:dyDescent="0.3">
      <c r="AA1052" s="338">
        <f t="shared" si="16"/>
        <v>34700</v>
      </c>
    </row>
    <row r="1053" spans="27:27" x14ac:dyDescent="0.3">
      <c r="AA1053" s="338">
        <f t="shared" si="16"/>
        <v>34700</v>
      </c>
    </row>
    <row r="1054" spans="27:27" x14ac:dyDescent="0.3">
      <c r="AA1054" s="338">
        <f t="shared" si="16"/>
        <v>34700</v>
      </c>
    </row>
    <row r="1055" spans="27:27" x14ac:dyDescent="0.3">
      <c r="AA1055" s="338">
        <f t="shared" si="16"/>
        <v>34700</v>
      </c>
    </row>
    <row r="1056" spans="27:27" x14ac:dyDescent="0.3">
      <c r="AA1056" s="338">
        <f t="shared" si="16"/>
        <v>34700</v>
      </c>
    </row>
    <row r="1057" spans="27:27" x14ac:dyDescent="0.3">
      <c r="AA1057" s="338">
        <f t="shared" si="16"/>
        <v>34700</v>
      </c>
    </row>
    <row r="1058" spans="27:27" x14ac:dyDescent="0.3">
      <c r="AA1058" s="338">
        <f t="shared" si="16"/>
        <v>34700</v>
      </c>
    </row>
    <row r="1059" spans="27:27" x14ac:dyDescent="0.3">
      <c r="AA1059" s="338">
        <f t="shared" si="16"/>
        <v>34700</v>
      </c>
    </row>
    <row r="1060" spans="27:27" x14ac:dyDescent="0.3">
      <c r="AA1060" s="338">
        <f t="shared" si="16"/>
        <v>34700</v>
      </c>
    </row>
    <row r="1061" spans="27:27" x14ac:dyDescent="0.3">
      <c r="AA1061" s="338">
        <f t="shared" si="16"/>
        <v>34700</v>
      </c>
    </row>
    <row r="1062" spans="27:27" x14ac:dyDescent="0.3">
      <c r="AA1062" s="338">
        <f t="shared" si="16"/>
        <v>34700</v>
      </c>
    </row>
    <row r="1063" spans="27:27" x14ac:dyDescent="0.3">
      <c r="AA1063" s="338">
        <f t="shared" si="16"/>
        <v>34700</v>
      </c>
    </row>
    <row r="1064" spans="27:27" x14ac:dyDescent="0.3">
      <c r="AA1064" s="338">
        <f t="shared" si="16"/>
        <v>34700</v>
      </c>
    </row>
    <row r="1065" spans="27:27" x14ac:dyDescent="0.3">
      <c r="AA1065" s="338">
        <f t="shared" si="16"/>
        <v>34700</v>
      </c>
    </row>
    <row r="1066" spans="27:27" x14ac:dyDescent="0.3">
      <c r="AA1066" s="338">
        <f t="shared" si="16"/>
        <v>34700</v>
      </c>
    </row>
    <row r="1067" spans="27:27" x14ac:dyDescent="0.3">
      <c r="AA1067" s="338">
        <f t="shared" si="16"/>
        <v>34700</v>
      </c>
    </row>
    <row r="1068" spans="27:27" x14ac:dyDescent="0.3">
      <c r="AA1068" s="338">
        <f t="shared" si="16"/>
        <v>34700</v>
      </c>
    </row>
    <row r="1069" spans="27:27" x14ac:dyDescent="0.3">
      <c r="AA1069" s="338">
        <f t="shared" si="16"/>
        <v>34700</v>
      </c>
    </row>
    <row r="1070" spans="27:27" x14ac:dyDescent="0.3">
      <c r="AA1070" s="338">
        <f t="shared" si="16"/>
        <v>34700</v>
      </c>
    </row>
    <row r="1071" spans="27:27" x14ac:dyDescent="0.3">
      <c r="AA1071" s="338">
        <f t="shared" si="16"/>
        <v>34700</v>
      </c>
    </row>
    <row r="1072" spans="27:27" x14ac:dyDescent="0.3">
      <c r="AA1072" s="338">
        <f t="shared" si="16"/>
        <v>34700</v>
      </c>
    </row>
    <row r="1073" spans="27:27" x14ac:dyDescent="0.3">
      <c r="AA1073" s="338">
        <f t="shared" si="16"/>
        <v>34700</v>
      </c>
    </row>
    <row r="1074" spans="27:27" x14ac:dyDescent="0.3">
      <c r="AA1074" s="338">
        <f t="shared" si="16"/>
        <v>34700</v>
      </c>
    </row>
    <row r="1075" spans="27:27" x14ac:dyDescent="0.3">
      <c r="AA1075" s="338">
        <f t="shared" si="16"/>
        <v>34700</v>
      </c>
    </row>
    <row r="1076" spans="27:27" x14ac:dyDescent="0.3">
      <c r="AA1076" s="338">
        <f t="shared" si="16"/>
        <v>34700</v>
      </c>
    </row>
    <row r="1077" spans="27:27" x14ac:dyDescent="0.3">
      <c r="AA1077" s="338">
        <f t="shared" si="16"/>
        <v>34700</v>
      </c>
    </row>
    <row r="1078" spans="27:27" x14ac:dyDescent="0.3">
      <c r="AA1078" s="338">
        <f t="shared" si="16"/>
        <v>34700</v>
      </c>
    </row>
    <row r="1079" spans="27:27" x14ac:dyDescent="0.3">
      <c r="AA1079" s="338">
        <f t="shared" si="16"/>
        <v>34700</v>
      </c>
    </row>
    <row r="1080" spans="27:27" x14ac:dyDescent="0.3">
      <c r="AA1080" s="338">
        <f t="shared" si="16"/>
        <v>34700</v>
      </c>
    </row>
    <row r="1081" spans="27:27" x14ac:dyDescent="0.3">
      <c r="AA1081" s="338">
        <f t="shared" si="16"/>
        <v>34700</v>
      </c>
    </row>
    <row r="1082" spans="27:27" x14ac:dyDescent="0.3">
      <c r="AA1082" s="338">
        <f t="shared" si="16"/>
        <v>34700</v>
      </c>
    </row>
    <row r="1083" spans="27:27" x14ac:dyDescent="0.3">
      <c r="AA1083" s="338">
        <f t="shared" si="16"/>
        <v>34700</v>
      </c>
    </row>
    <row r="1084" spans="27:27" x14ac:dyDescent="0.3">
      <c r="AA1084" s="338">
        <f t="shared" si="16"/>
        <v>34700</v>
      </c>
    </row>
    <row r="1085" spans="27:27" x14ac:dyDescent="0.3">
      <c r="AA1085" s="338">
        <f t="shared" si="16"/>
        <v>34700</v>
      </c>
    </row>
    <row r="1086" spans="27:27" x14ac:dyDescent="0.3">
      <c r="AA1086" s="338">
        <f t="shared" si="16"/>
        <v>34700</v>
      </c>
    </row>
    <row r="1087" spans="27:27" x14ac:dyDescent="0.3">
      <c r="AA1087" s="338">
        <f t="shared" si="16"/>
        <v>34700</v>
      </c>
    </row>
    <row r="1088" spans="27:27" x14ac:dyDescent="0.3">
      <c r="AA1088" s="338">
        <f t="shared" si="16"/>
        <v>34700</v>
      </c>
    </row>
    <row r="1089" spans="27:27" x14ac:dyDescent="0.3">
      <c r="AA1089" s="338">
        <f t="shared" ref="AA1089:AA1152" si="17">IFERROR(
IF(ISNUMBER(C1089),C1089,DATE(VALUE(RIGHT(C1089,4)),VALUE(MID(SUBSTITUTE(C1089,"/","-"),FIND("-",SUBSTITUTE(C1089,"/","-"))+1,FIND("-",SUBSTITUTE(C1089,"/","-"),FIND("-",SUBSTITUTE(C1089,"/","-"))+1)-FIND("-",SUBSTITUTE(C1089,"/","-"))-1)),VALUE(LEFT(SUBSTITUTE(C1089,"/","-"),FIND("-",SUBSTITUTE(C1089,"/","-"))-1)))),
DATE(1995,1,1)
)</f>
        <v>34700</v>
      </c>
    </row>
    <row r="1090" spans="27:27" x14ac:dyDescent="0.3">
      <c r="AA1090" s="338">
        <f t="shared" si="17"/>
        <v>34700</v>
      </c>
    </row>
    <row r="1091" spans="27:27" x14ac:dyDescent="0.3">
      <c r="AA1091" s="338">
        <f t="shared" si="17"/>
        <v>34700</v>
      </c>
    </row>
    <row r="1092" spans="27:27" x14ac:dyDescent="0.3">
      <c r="AA1092" s="338">
        <f t="shared" si="17"/>
        <v>34700</v>
      </c>
    </row>
    <row r="1093" spans="27:27" x14ac:dyDescent="0.3">
      <c r="AA1093" s="338">
        <f t="shared" si="17"/>
        <v>34700</v>
      </c>
    </row>
    <row r="1094" spans="27:27" x14ac:dyDescent="0.3">
      <c r="AA1094" s="338">
        <f t="shared" si="17"/>
        <v>34700</v>
      </c>
    </row>
    <row r="1095" spans="27:27" x14ac:dyDescent="0.3">
      <c r="AA1095" s="338">
        <f t="shared" si="17"/>
        <v>34700</v>
      </c>
    </row>
    <row r="1096" spans="27:27" x14ac:dyDescent="0.3">
      <c r="AA1096" s="338">
        <f t="shared" si="17"/>
        <v>34700</v>
      </c>
    </row>
    <row r="1097" spans="27:27" x14ac:dyDescent="0.3">
      <c r="AA1097" s="338">
        <f t="shared" si="17"/>
        <v>34700</v>
      </c>
    </row>
    <row r="1098" spans="27:27" x14ac:dyDescent="0.3">
      <c r="AA1098" s="338">
        <f t="shared" si="17"/>
        <v>34700</v>
      </c>
    </row>
    <row r="1099" spans="27:27" x14ac:dyDescent="0.3">
      <c r="AA1099" s="338">
        <f t="shared" si="17"/>
        <v>34700</v>
      </c>
    </row>
    <row r="1100" spans="27:27" x14ac:dyDescent="0.3">
      <c r="AA1100" s="338">
        <f t="shared" si="17"/>
        <v>34700</v>
      </c>
    </row>
    <row r="1101" spans="27:27" x14ac:dyDescent="0.3">
      <c r="AA1101" s="338">
        <f t="shared" si="17"/>
        <v>34700</v>
      </c>
    </row>
    <row r="1102" spans="27:27" x14ac:dyDescent="0.3">
      <c r="AA1102" s="338">
        <f t="shared" si="17"/>
        <v>34700</v>
      </c>
    </row>
    <row r="1103" spans="27:27" x14ac:dyDescent="0.3">
      <c r="AA1103" s="338">
        <f t="shared" si="17"/>
        <v>34700</v>
      </c>
    </row>
    <row r="1104" spans="27:27" x14ac:dyDescent="0.3">
      <c r="AA1104" s="338">
        <f t="shared" si="17"/>
        <v>34700</v>
      </c>
    </row>
    <row r="1105" spans="27:27" x14ac:dyDescent="0.3">
      <c r="AA1105" s="338">
        <f t="shared" si="17"/>
        <v>34700</v>
      </c>
    </row>
    <row r="1106" spans="27:27" x14ac:dyDescent="0.3">
      <c r="AA1106" s="338">
        <f t="shared" si="17"/>
        <v>34700</v>
      </c>
    </row>
    <row r="1107" spans="27:27" x14ac:dyDescent="0.3">
      <c r="AA1107" s="338">
        <f t="shared" si="17"/>
        <v>34700</v>
      </c>
    </row>
    <row r="1108" spans="27:27" x14ac:dyDescent="0.3">
      <c r="AA1108" s="338">
        <f t="shared" si="17"/>
        <v>34700</v>
      </c>
    </row>
    <row r="1109" spans="27:27" x14ac:dyDescent="0.3">
      <c r="AA1109" s="338">
        <f t="shared" si="17"/>
        <v>34700</v>
      </c>
    </row>
    <row r="1110" spans="27:27" x14ac:dyDescent="0.3">
      <c r="AA1110" s="338">
        <f t="shared" si="17"/>
        <v>34700</v>
      </c>
    </row>
    <row r="1111" spans="27:27" x14ac:dyDescent="0.3">
      <c r="AA1111" s="338">
        <f t="shared" si="17"/>
        <v>34700</v>
      </c>
    </row>
    <row r="1112" spans="27:27" x14ac:dyDescent="0.3">
      <c r="AA1112" s="338">
        <f t="shared" si="17"/>
        <v>34700</v>
      </c>
    </row>
    <row r="1113" spans="27:27" x14ac:dyDescent="0.3">
      <c r="AA1113" s="338">
        <f t="shared" si="17"/>
        <v>34700</v>
      </c>
    </row>
    <row r="1114" spans="27:27" x14ac:dyDescent="0.3">
      <c r="AA1114" s="338">
        <f t="shared" si="17"/>
        <v>34700</v>
      </c>
    </row>
    <row r="1115" spans="27:27" x14ac:dyDescent="0.3">
      <c r="AA1115" s="338">
        <f t="shared" si="17"/>
        <v>34700</v>
      </c>
    </row>
    <row r="1116" spans="27:27" x14ac:dyDescent="0.3">
      <c r="AA1116" s="338">
        <f t="shared" si="17"/>
        <v>34700</v>
      </c>
    </row>
    <row r="1117" spans="27:27" x14ac:dyDescent="0.3">
      <c r="AA1117" s="338">
        <f t="shared" si="17"/>
        <v>34700</v>
      </c>
    </row>
    <row r="1118" spans="27:27" x14ac:dyDescent="0.3">
      <c r="AA1118" s="338">
        <f t="shared" si="17"/>
        <v>34700</v>
      </c>
    </row>
    <row r="1119" spans="27:27" x14ac:dyDescent="0.3">
      <c r="AA1119" s="338">
        <f t="shared" si="17"/>
        <v>34700</v>
      </c>
    </row>
    <row r="1120" spans="27:27" x14ac:dyDescent="0.3">
      <c r="AA1120" s="338">
        <f t="shared" si="17"/>
        <v>34700</v>
      </c>
    </row>
    <row r="1121" spans="27:27" x14ac:dyDescent="0.3">
      <c r="AA1121" s="338">
        <f t="shared" si="17"/>
        <v>34700</v>
      </c>
    </row>
    <row r="1122" spans="27:27" x14ac:dyDescent="0.3">
      <c r="AA1122" s="338">
        <f t="shared" si="17"/>
        <v>34700</v>
      </c>
    </row>
    <row r="1123" spans="27:27" x14ac:dyDescent="0.3">
      <c r="AA1123" s="338">
        <f t="shared" si="17"/>
        <v>34700</v>
      </c>
    </row>
    <row r="1124" spans="27:27" x14ac:dyDescent="0.3">
      <c r="AA1124" s="338">
        <f t="shared" si="17"/>
        <v>34700</v>
      </c>
    </row>
    <row r="1125" spans="27:27" x14ac:dyDescent="0.3">
      <c r="AA1125" s="338">
        <f t="shared" si="17"/>
        <v>34700</v>
      </c>
    </row>
    <row r="1126" spans="27:27" x14ac:dyDescent="0.3">
      <c r="AA1126" s="338">
        <f t="shared" si="17"/>
        <v>34700</v>
      </c>
    </row>
    <row r="1127" spans="27:27" x14ac:dyDescent="0.3">
      <c r="AA1127" s="338">
        <f t="shared" si="17"/>
        <v>34700</v>
      </c>
    </row>
    <row r="1128" spans="27:27" x14ac:dyDescent="0.3">
      <c r="AA1128" s="338">
        <f t="shared" si="17"/>
        <v>34700</v>
      </c>
    </row>
    <row r="1129" spans="27:27" x14ac:dyDescent="0.3">
      <c r="AA1129" s="338">
        <f t="shared" si="17"/>
        <v>34700</v>
      </c>
    </row>
    <row r="1130" spans="27:27" x14ac:dyDescent="0.3">
      <c r="AA1130" s="338">
        <f t="shared" si="17"/>
        <v>34700</v>
      </c>
    </row>
    <row r="1131" spans="27:27" x14ac:dyDescent="0.3">
      <c r="AA1131" s="338">
        <f t="shared" si="17"/>
        <v>34700</v>
      </c>
    </row>
    <row r="1132" spans="27:27" x14ac:dyDescent="0.3">
      <c r="AA1132" s="338">
        <f t="shared" si="17"/>
        <v>34700</v>
      </c>
    </row>
    <row r="1133" spans="27:27" x14ac:dyDescent="0.3">
      <c r="AA1133" s="338">
        <f t="shared" si="17"/>
        <v>34700</v>
      </c>
    </row>
    <row r="1134" spans="27:27" x14ac:dyDescent="0.3">
      <c r="AA1134" s="338">
        <f t="shared" si="17"/>
        <v>34700</v>
      </c>
    </row>
    <row r="1135" spans="27:27" x14ac:dyDescent="0.3">
      <c r="AA1135" s="338">
        <f t="shared" si="17"/>
        <v>34700</v>
      </c>
    </row>
    <row r="1136" spans="27:27" x14ac:dyDescent="0.3">
      <c r="AA1136" s="338">
        <f t="shared" si="17"/>
        <v>34700</v>
      </c>
    </row>
    <row r="1137" spans="27:27" x14ac:dyDescent="0.3">
      <c r="AA1137" s="338">
        <f t="shared" si="17"/>
        <v>34700</v>
      </c>
    </row>
    <row r="1138" spans="27:27" x14ac:dyDescent="0.3">
      <c r="AA1138" s="338">
        <f t="shared" si="17"/>
        <v>34700</v>
      </c>
    </row>
    <row r="1139" spans="27:27" x14ac:dyDescent="0.3">
      <c r="AA1139" s="338">
        <f t="shared" si="17"/>
        <v>34700</v>
      </c>
    </row>
    <row r="1140" spans="27:27" x14ac:dyDescent="0.3">
      <c r="AA1140" s="338">
        <f t="shared" si="17"/>
        <v>34700</v>
      </c>
    </row>
    <row r="1141" spans="27:27" x14ac:dyDescent="0.3">
      <c r="AA1141" s="338">
        <f t="shared" si="17"/>
        <v>34700</v>
      </c>
    </row>
    <row r="1142" spans="27:27" x14ac:dyDescent="0.3">
      <c r="AA1142" s="338">
        <f t="shared" si="17"/>
        <v>34700</v>
      </c>
    </row>
    <row r="1143" spans="27:27" x14ac:dyDescent="0.3">
      <c r="AA1143" s="338">
        <f t="shared" si="17"/>
        <v>34700</v>
      </c>
    </row>
    <row r="1144" spans="27:27" x14ac:dyDescent="0.3">
      <c r="AA1144" s="338">
        <f t="shared" si="17"/>
        <v>34700</v>
      </c>
    </row>
    <row r="1145" spans="27:27" x14ac:dyDescent="0.3">
      <c r="AA1145" s="338">
        <f t="shared" si="17"/>
        <v>34700</v>
      </c>
    </row>
    <row r="1146" spans="27:27" x14ac:dyDescent="0.3">
      <c r="AA1146" s="338">
        <f t="shared" si="17"/>
        <v>34700</v>
      </c>
    </row>
    <row r="1147" spans="27:27" x14ac:dyDescent="0.3">
      <c r="AA1147" s="338">
        <f t="shared" si="17"/>
        <v>34700</v>
      </c>
    </row>
    <row r="1148" spans="27:27" x14ac:dyDescent="0.3">
      <c r="AA1148" s="338">
        <f t="shared" si="17"/>
        <v>34700</v>
      </c>
    </row>
    <row r="1149" spans="27:27" x14ac:dyDescent="0.3">
      <c r="AA1149" s="338">
        <f t="shared" si="17"/>
        <v>34700</v>
      </c>
    </row>
    <row r="1150" spans="27:27" x14ac:dyDescent="0.3">
      <c r="AA1150" s="338">
        <f t="shared" si="17"/>
        <v>34700</v>
      </c>
    </row>
    <row r="1151" spans="27:27" x14ac:dyDescent="0.3">
      <c r="AA1151" s="338">
        <f t="shared" si="17"/>
        <v>34700</v>
      </c>
    </row>
    <row r="1152" spans="27:27" x14ac:dyDescent="0.3">
      <c r="AA1152" s="338">
        <f t="shared" si="17"/>
        <v>34700</v>
      </c>
    </row>
    <row r="1153" spans="27:27" x14ac:dyDescent="0.3">
      <c r="AA1153" s="338">
        <f t="shared" ref="AA1153:AA1216" si="18">IFERROR(
IF(ISNUMBER(C1153),C1153,DATE(VALUE(RIGHT(C1153,4)),VALUE(MID(SUBSTITUTE(C1153,"/","-"),FIND("-",SUBSTITUTE(C1153,"/","-"))+1,FIND("-",SUBSTITUTE(C1153,"/","-"),FIND("-",SUBSTITUTE(C1153,"/","-"))+1)-FIND("-",SUBSTITUTE(C1153,"/","-"))-1)),VALUE(LEFT(SUBSTITUTE(C1153,"/","-"),FIND("-",SUBSTITUTE(C1153,"/","-"))-1)))),
DATE(1995,1,1)
)</f>
        <v>34700</v>
      </c>
    </row>
    <row r="1154" spans="27:27" x14ac:dyDescent="0.3">
      <c r="AA1154" s="338">
        <f t="shared" si="18"/>
        <v>34700</v>
      </c>
    </row>
    <row r="1155" spans="27:27" x14ac:dyDescent="0.3">
      <c r="AA1155" s="338">
        <f t="shared" si="18"/>
        <v>34700</v>
      </c>
    </row>
    <row r="1156" spans="27:27" x14ac:dyDescent="0.3">
      <c r="AA1156" s="338">
        <f t="shared" si="18"/>
        <v>34700</v>
      </c>
    </row>
    <row r="1157" spans="27:27" x14ac:dyDescent="0.3">
      <c r="AA1157" s="338">
        <f t="shared" si="18"/>
        <v>34700</v>
      </c>
    </row>
    <row r="1158" spans="27:27" x14ac:dyDescent="0.3">
      <c r="AA1158" s="338">
        <f t="shared" si="18"/>
        <v>34700</v>
      </c>
    </row>
    <row r="1159" spans="27:27" x14ac:dyDescent="0.3">
      <c r="AA1159" s="338">
        <f t="shared" si="18"/>
        <v>34700</v>
      </c>
    </row>
    <row r="1160" spans="27:27" x14ac:dyDescent="0.3">
      <c r="AA1160" s="338">
        <f t="shared" si="18"/>
        <v>34700</v>
      </c>
    </row>
    <row r="1161" spans="27:27" x14ac:dyDescent="0.3">
      <c r="AA1161" s="338">
        <f t="shared" si="18"/>
        <v>34700</v>
      </c>
    </row>
    <row r="1162" spans="27:27" x14ac:dyDescent="0.3">
      <c r="AA1162" s="338">
        <f t="shared" si="18"/>
        <v>34700</v>
      </c>
    </row>
    <row r="1163" spans="27:27" x14ac:dyDescent="0.3">
      <c r="AA1163" s="338">
        <f t="shared" si="18"/>
        <v>34700</v>
      </c>
    </row>
    <row r="1164" spans="27:27" x14ac:dyDescent="0.3">
      <c r="AA1164" s="338">
        <f t="shared" si="18"/>
        <v>34700</v>
      </c>
    </row>
    <row r="1165" spans="27:27" x14ac:dyDescent="0.3">
      <c r="AA1165" s="338">
        <f t="shared" si="18"/>
        <v>34700</v>
      </c>
    </row>
    <row r="1166" spans="27:27" x14ac:dyDescent="0.3">
      <c r="AA1166" s="338">
        <f t="shared" si="18"/>
        <v>34700</v>
      </c>
    </row>
    <row r="1167" spans="27:27" x14ac:dyDescent="0.3">
      <c r="AA1167" s="338">
        <f t="shared" si="18"/>
        <v>34700</v>
      </c>
    </row>
    <row r="1168" spans="27:27" x14ac:dyDescent="0.3">
      <c r="AA1168" s="338">
        <f t="shared" si="18"/>
        <v>34700</v>
      </c>
    </row>
    <row r="1169" spans="27:27" x14ac:dyDescent="0.3">
      <c r="AA1169" s="338">
        <f t="shared" si="18"/>
        <v>34700</v>
      </c>
    </row>
    <row r="1170" spans="27:27" x14ac:dyDescent="0.3">
      <c r="AA1170" s="338">
        <f t="shared" si="18"/>
        <v>34700</v>
      </c>
    </row>
    <row r="1171" spans="27:27" x14ac:dyDescent="0.3">
      <c r="AA1171" s="338">
        <f t="shared" si="18"/>
        <v>34700</v>
      </c>
    </row>
    <row r="1172" spans="27:27" x14ac:dyDescent="0.3">
      <c r="AA1172" s="338">
        <f t="shared" si="18"/>
        <v>34700</v>
      </c>
    </row>
    <row r="1173" spans="27:27" x14ac:dyDescent="0.3">
      <c r="AA1173" s="338">
        <f t="shared" si="18"/>
        <v>34700</v>
      </c>
    </row>
    <row r="1174" spans="27:27" x14ac:dyDescent="0.3">
      <c r="AA1174" s="338">
        <f t="shared" si="18"/>
        <v>34700</v>
      </c>
    </row>
    <row r="1175" spans="27:27" x14ac:dyDescent="0.3">
      <c r="AA1175" s="338">
        <f t="shared" si="18"/>
        <v>34700</v>
      </c>
    </row>
    <row r="1176" spans="27:27" x14ac:dyDescent="0.3">
      <c r="AA1176" s="338">
        <f t="shared" si="18"/>
        <v>34700</v>
      </c>
    </row>
    <row r="1177" spans="27:27" x14ac:dyDescent="0.3">
      <c r="AA1177" s="338">
        <f t="shared" si="18"/>
        <v>34700</v>
      </c>
    </row>
    <row r="1178" spans="27:27" x14ac:dyDescent="0.3">
      <c r="AA1178" s="338">
        <f t="shared" si="18"/>
        <v>34700</v>
      </c>
    </row>
    <row r="1179" spans="27:27" x14ac:dyDescent="0.3">
      <c r="AA1179" s="338">
        <f t="shared" si="18"/>
        <v>34700</v>
      </c>
    </row>
    <row r="1180" spans="27:27" x14ac:dyDescent="0.3">
      <c r="AA1180" s="338">
        <f t="shared" si="18"/>
        <v>34700</v>
      </c>
    </row>
    <row r="1181" spans="27:27" x14ac:dyDescent="0.3">
      <c r="AA1181" s="338">
        <f t="shared" si="18"/>
        <v>34700</v>
      </c>
    </row>
    <row r="1182" spans="27:27" x14ac:dyDescent="0.3">
      <c r="AA1182" s="338">
        <f t="shared" si="18"/>
        <v>34700</v>
      </c>
    </row>
    <row r="1183" spans="27:27" x14ac:dyDescent="0.3">
      <c r="AA1183" s="338">
        <f t="shared" si="18"/>
        <v>34700</v>
      </c>
    </row>
    <row r="1184" spans="27:27" x14ac:dyDescent="0.3">
      <c r="AA1184" s="338">
        <f t="shared" si="18"/>
        <v>34700</v>
      </c>
    </row>
    <row r="1185" spans="27:27" x14ac:dyDescent="0.3">
      <c r="AA1185" s="338">
        <f t="shared" si="18"/>
        <v>34700</v>
      </c>
    </row>
    <row r="1186" spans="27:27" x14ac:dyDescent="0.3">
      <c r="AA1186" s="338">
        <f t="shared" si="18"/>
        <v>34700</v>
      </c>
    </row>
    <row r="1187" spans="27:27" x14ac:dyDescent="0.3">
      <c r="AA1187" s="338">
        <f t="shared" si="18"/>
        <v>34700</v>
      </c>
    </row>
    <row r="1188" spans="27:27" x14ac:dyDescent="0.3">
      <c r="AA1188" s="338">
        <f t="shared" si="18"/>
        <v>34700</v>
      </c>
    </row>
    <row r="1189" spans="27:27" x14ac:dyDescent="0.3">
      <c r="AA1189" s="338">
        <f t="shared" si="18"/>
        <v>34700</v>
      </c>
    </row>
    <row r="1190" spans="27:27" x14ac:dyDescent="0.3">
      <c r="AA1190" s="338">
        <f t="shared" si="18"/>
        <v>34700</v>
      </c>
    </row>
    <row r="1191" spans="27:27" x14ac:dyDescent="0.3">
      <c r="AA1191" s="338">
        <f t="shared" si="18"/>
        <v>34700</v>
      </c>
    </row>
    <row r="1192" spans="27:27" x14ac:dyDescent="0.3">
      <c r="AA1192" s="338">
        <f t="shared" si="18"/>
        <v>34700</v>
      </c>
    </row>
    <row r="1193" spans="27:27" x14ac:dyDescent="0.3">
      <c r="AA1193" s="338">
        <f t="shared" si="18"/>
        <v>34700</v>
      </c>
    </row>
    <row r="1194" spans="27:27" x14ac:dyDescent="0.3">
      <c r="AA1194" s="338">
        <f t="shared" si="18"/>
        <v>34700</v>
      </c>
    </row>
    <row r="1195" spans="27:27" x14ac:dyDescent="0.3">
      <c r="AA1195" s="338">
        <f t="shared" si="18"/>
        <v>34700</v>
      </c>
    </row>
    <row r="1196" spans="27:27" x14ac:dyDescent="0.3">
      <c r="AA1196" s="338">
        <f t="shared" si="18"/>
        <v>34700</v>
      </c>
    </row>
    <row r="1197" spans="27:27" x14ac:dyDescent="0.3">
      <c r="AA1197" s="338">
        <f t="shared" si="18"/>
        <v>34700</v>
      </c>
    </row>
    <row r="1198" spans="27:27" x14ac:dyDescent="0.3">
      <c r="AA1198" s="338">
        <f t="shared" si="18"/>
        <v>34700</v>
      </c>
    </row>
    <row r="1199" spans="27:27" x14ac:dyDescent="0.3">
      <c r="AA1199" s="338">
        <f t="shared" si="18"/>
        <v>34700</v>
      </c>
    </row>
    <row r="1200" spans="27:27" x14ac:dyDescent="0.3">
      <c r="AA1200" s="338">
        <f t="shared" si="18"/>
        <v>34700</v>
      </c>
    </row>
    <row r="1201" spans="27:27" x14ac:dyDescent="0.3">
      <c r="AA1201" s="338">
        <f t="shared" si="18"/>
        <v>34700</v>
      </c>
    </row>
    <row r="1202" spans="27:27" x14ac:dyDescent="0.3">
      <c r="AA1202" s="338">
        <f t="shared" si="18"/>
        <v>34700</v>
      </c>
    </row>
    <row r="1203" spans="27:27" x14ac:dyDescent="0.3">
      <c r="AA1203" s="338">
        <f t="shared" si="18"/>
        <v>34700</v>
      </c>
    </row>
    <row r="1204" spans="27:27" x14ac:dyDescent="0.3">
      <c r="AA1204" s="338">
        <f t="shared" si="18"/>
        <v>34700</v>
      </c>
    </row>
    <row r="1205" spans="27:27" x14ac:dyDescent="0.3">
      <c r="AA1205" s="338">
        <f t="shared" si="18"/>
        <v>34700</v>
      </c>
    </row>
    <row r="1206" spans="27:27" x14ac:dyDescent="0.3">
      <c r="AA1206" s="338">
        <f t="shared" si="18"/>
        <v>34700</v>
      </c>
    </row>
    <row r="1207" spans="27:27" x14ac:dyDescent="0.3">
      <c r="AA1207" s="338">
        <f t="shared" si="18"/>
        <v>34700</v>
      </c>
    </row>
    <row r="1208" spans="27:27" x14ac:dyDescent="0.3">
      <c r="AA1208" s="338">
        <f t="shared" si="18"/>
        <v>34700</v>
      </c>
    </row>
    <row r="1209" spans="27:27" x14ac:dyDescent="0.3">
      <c r="AA1209" s="338">
        <f t="shared" si="18"/>
        <v>34700</v>
      </c>
    </row>
    <row r="1210" spans="27:27" x14ac:dyDescent="0.3">
      <c r="AA1210" s="338">
        <f t="shared" si="18"/>
        <v>34700</v>
      </c>
    </row>
    <row r="1211" spans="27:27" x14ac:dyDescent="0.3">
      <c r="AA1211" s="338">
        <f t="shared" si="18"/>
        <v>34700</v>
      </c>
    </row>
    <row r="1212" spans="27:27" x14ac:dyDescent="0.3">
      <c r="AA1212" s="338">
        <f t="shared" si="18"/>
        <v>34700</v>
      </c>
    </row>
    <row r="1213" spans="27:27" x14ac:dyDescent="0.3">
      <c r="AA1213" s="338">
        <f t="shared" si="18"/>
        <v>34700</v>
      </c>
    </row>
    <row r="1214" spans="27:27" x14ac:dyDescent="0.3">
      <c r="AA1214" s="338">
        <f t="shared" si="18"/>
        <v>34700</v>
      </c>
    </row>
    <row r="1215" spans="27:27" x14ac:dyDescent="0.3">
      <c r="AA1215" s="338">
        <f t="shared" si="18"/>
        <v>34700</v>
      </c>
    </row>
    <row r="1216" spans="27:27" x14ac:dyDescent="0.3">
      <c r="AA1216" s="338">
        <f t="shared" si="18"/>
        <v>34700</v>
      </c>
    </row>
    <row r="1217" spans="27:27" x14ac:dyDescent="0.3">
      <c r="AA1217" s="338">
        <f t="shared" ref="AA1217:AA1280" si="19">IFERROR(
IF(ISNUMBER(C1217),C1217,DATE(VALUE(RIGHT(C1217,4)),VALUE(MID(SUBSTITUTE(C1217,"/","-"),FIND("-",SUBSTITUTE(C1217,"/","-"))+1,FIND("-",SUBSTITUTE(C1217,"/","-"),FIND("-",SUBSTITUTE(C1217,"/","-"))+1)-FIND("-",SUBSTITUTE(C1217,"/","-"))-1)),VALUE(LEFT(SUBSTITUTE(C1217,"/","-"),FIND("-",SUBSTITUTE(C1217,"/","-"))-1)))),
DATE(1995,1,1)
)</f>
        <v>34700</v>
      </c>
    </row>
    <row r="1218" spans="27:27" x14ac:dyDescent="0.3">
      <c r="AA1218" s="338">
        <f t="shared" si="19"/>
        <v>34700</v>
      </c>
    </row>
    <row r="1219" spans="27:27" x14ac:dyDescent="0.3">
      <c r="AA1219" s="338">
        <f t="shared" si="19"/>
        <v>34700</v>
      </c>
    </row>
    <row r="1220" spans="27:27" x14ac:dyDescent="0.3">
      <c r="AA1220" s="338">
        <f t="shared" si="19"/>
        <v>34700</v>
      </c>
    </row>
    <row r="1221" spans="27:27" x14ac:dyDescent="0.3">
      <c r="AA1221" s="338">
        <f t="shared" si="19"/>
        <v>34700</v>
      </c>
    </row>
    <row r="1222" spans="27:27" x14ac:dyDescent="0.3">
      <c r="AA1222" s="338">
        <f t="shared" si="19"/>
        <v>34700</v>
      </c>
    </row>
    <row r="1223" spans="27:27" x14ac:dyDescent="0.3">
      <c r="AA1223" s="338">
        <f t="shared" si="19"/>
        <v>34700</v>
      </c>
    </row>
    <row r="1224" spans="27:27" x14ac:dyDescent="0.3">
      <c r="AA1224" s="338">
        <f t="shared" si="19"/>
        <v>34700</v>
      </c>
    </row>
    <row r="1225" spans="27:27" x14ac:dyDescent="0.3">
      <c r="AA1225" s="338">
        <f t="shared" si="19"/>
        <v>34700</v>
      </c>
    </row>
    <row r="1226" spans="27:27" x14ac:dyDescent="0.3">
      <c r="AA1226" s="338">
        <f t="shared" si="19"/>
        <v>34700</v>
      </c>
    </row>
    <row r="1227" spans="27:27" x14ac:dyDescent="0.3">
      <c r="AA1227" s="338">
        <f t="shared" si="19"/>
        <v>34700</v>
      </c>
    </row>
    <row r="1228" spans="27:27" x14ac:dyDescent="0.3">
      <c r="AA1228" s="338">
        <f t="shared" si="19"/>
        <v>34700</v>
      </c>
    </row>
    <row r="1229" spans="27:27" x14ac:dyDescent="0.3">
      <c r="AA1229" s="338">
        <f t="shared" si="19"/>
        <v>34700</v>
      </c>
    </row>
    <row r="1230" spans="27:27" x14ac:dyDescent="0.3">
      <c r="AA1230" s="338">
        <f t="shared" si="19"/>
        <v>34700</v>
      </c>
    </row>
    <row r="1231" spans="27:27" x14ac:dyDescent="0.3">
      <c r="AA1231" s="338">
        <f t="shared" si="19"/>
        <v>34700</v>
      </c>
    </row>
    <row r="1232" spans="27:27" x14ac:dyDescent="0.3">
      <c r="AA1232" s="338">
        <f t="shared" si="19"/>
        <v>34700</v>
      </c>
    </row>
    <row r="1233" spans="27:27" x14ac:dyDescent="0.3">
      <c r="AA1233" s="338">
        <f t="shared" si="19"/>
        <v>34700</v>
      </c>
    </row>
    <row r="1234" spans="27:27" x14ac:dyDescent="0.3">
      <c r="AA1234" s="338">
        <f t="shared" si="19"/>
        <v>34700</v>
      </c>
    </row>
    <row r="1235" spans="27:27" x14ac:dyDescent="0.3">
      <c r="AA1235" s="338">
        <f t="shared" si="19"/>
        <v>34700</v>
      </c>
    </row>
    <row r="1236" spans="27:27" x14ac:dyDescent="0.3">
      <c r="AA1236" s="338">
        <f t="shared" si="19"/>
        <v>34700</v>
      </c>
    </row>
    <row r="1237" spans="27:27" x14ac:dyDescent="0.3">
      <c r="AA1237" s="338">
        <f t="shared" si="19"/>
        <v>34700</v>
      </c>
    </row>
    <row r="1238" spans="27:27" x14ac:dyDescent="0.3">
      <c r="AA1238" s="338">
        <f t="shared" si="19"/>
        <v>34700</v>
      </c>
    </row>
    <row r="1239" spans="27:27" x14ac:dyDescent="0.3">
      <c r="AA1239" s="338">
        <f t="shared" si="19"/>
        <v>34700</v>
      </c>
    </row>
    <row r="1240" spans="27:27" x14ac:dyDescent="0.3">
      <c r="AA1240" s="338">
        <f t="shared" si="19"/>
        <v>34700</v>
      </c>
    </row>
    <row r="1241" spans="27:27" x14ac:dyDescent="0.3">
      <c r="AA1241" s="338">
        <f t="shared" si="19"/>
        <v>34700</v>
      </c>
    </row>
    <row r="1242" spans="27:27" x14ac:dyDescent="0.3">
      <c r="AA1242" s="338">
        <f t="shared" si="19"/>
        <v>34700</v>
      </c>
    </row>
    <row r="1243" spans="27:27" x14ac:dyDescent="0.3">
      <c r="AA1243" s="338">
        <f t="shared" si="19"/>
        <v>34700</v>
      </c>
    </row>
    <row r="1244" spans="27:27" x14ac:dyDescent="0.3">
      <c r="AA1244" s="338">
        <f t="shared" si="19"/>
        <v>34700</v>
      </c>
    </row>
    <row r="1245" spans="27:27" x14ac:dyDescent="0.3">
      <c r="AA1245" s="338">
        <f t="shared" si="19"/>
        <v>34700</v>
      </c>
    </row>
    <row r="1246" spans="27:27" x14ac:dyDescent="0.3">
      <c r="AA1246" s="338">
        <f t="shared" si="19"/>
        <v>34700</v>
      </c>
    </row>
    <row r="1247" spans="27:27" x14ac:dyDescent="0.3">
      <c r="AA1247" s="338">
        <f t="shared" si="19"/>
        <v>34700</v>
      </c>
    </row>
    <row r="1248" spans="27:27" x14ac:dyDescent="0.3">
      <c r="AA1248" s="338">
        <f t="shared" si="19"/>
        <v>34700</v>
      </c>
    </row>
    <row r="1249" spans="27:27" x14ac:dyDescent="0.3">
      <c r="AA1249" s="338">
        <f t="shared" si="19"/>
        <v>34700</v>
      </c>
    </row>
    <row r="1250" spans="27:27" x14ac:dyDescent="0.3">
      <c r="AA1250" s="338">
        <f t="shared" si="19"/>
        <v>34700</v>
      </c>
    </row>
    <row r="1251" spans="27:27" x14ac:dyDescent="0.3">
      <c r="AA1251" s="338">
        <f t="shared" si="19"/>
        <v>34700</v>
      </c>
    </row>
    <row r="1252" spans="27:27" x14ac:dyDescent="0.3">
      <c r="AA1252" s="338">
        <f t="shared" si="19"/>
        <v>34700</v>
      </c>
    </row>
    <row r="1253" spans="27:27" x14ac:dyDescent="0.3">
      <c r="AA1253" s="338">
        <f t="shared" si="19"/>
        <v>34700</v>
      </c>
    </row>
    <row r="1254" spans="27:27" x14ac:dyDescent="0.3">
      <c r="AA1254" s="338">
        <f t="shared" si="19"/>
        <v>34700</v>
      </c>
    </row>
    <row r="1255" spans="27:27" x14ac:dyDescent="0.3">
      <c r="AA1255" s="338">
        <f t="shared" si="19"/>
        <v>34700</v>
      </c>
    </row>
    <row r="1256" spans="27:27" x14ac:dyDescent="0.3">
      <c r="AA1256" s="338">
        <f t="shared" si="19"/>
        <v>34700</v>
      </c>
    </row>
    <row r="1257" spans="27:27" x14ac:dyDescent="0.3">
      <c r="AA1257" s="338">
        <f t="shared" si="19"/>
        <v>34700</v>
      </c>
    </row>
    <row r="1258" spans="27:27" x14ac:dyDescent="0.3">
      <c r="AA1258" s="338">
        <f t="shared" si="19"/>
        <v>34700</v>
      </c>
    </row>
    <row r="1259" spans="27:27" x14ac:dyDescent="0.3">
      <c r="AA1259" s="338">
        <f t="shared" si="19"/>
        <v>34700</v>
      </c>
    </row>
    <row r="1260" spans="27:27" x14ac:dyDescent="0.3">
      <c r="AA1260" s="338">
        <f t="shared" si="19"/>
        <v>34700</v>
      </c>
    </row>
    <row r="1261" spans="27:27" x14ac:dyDescent="0.3">
      <c r="AA1261" s="338">
        <f t="shared" si="19"/>
        <v>34700</v>
      </c>
    </row>
    <row r="1262" spans="27:27" x14ac:dyDescent="0.3">
      <c r="AA1262" s="338">
        <f t="shared" si="19"/>
        <v>34700</v>
      </c>
    </row>
    <row r="1263" spans="27:27" x14ac:dyDescent="0.3">
      <c r="AA1263" s="338">
        <f t="shared" si="19"/>
        <v>34700</v>
      </c>
    </row>
    <row r="1264" spans="27:27" x14ac:dyDescent="0.3">
      <c r="AA1264" s="338">
        <f t="shared" si="19"/>
        <v>34700</v>
      </c>
    </row>
    <row r="1265" spans="27:27" x14ac:dyDescent="0.3">
      <c r="AA1265" s="338">
        <f t="shared" si="19"/>
        <v>34700</v>
      </c>
    </row>
    <row r="1266" spans="27:27" x14ac:dyDescent="0.3">
      <c r="AA1266" s="338">
        <f t="shared" si="19"/>
        <v>34700</v>
      </c>
    </row>
    <row r="1267" spans="27:27" x14ac:dyDescent="0.3">
      <c r="AA1267" s="338">
        <f t="shared" si="19"/>
        <v>34700</v>
      </c>
    </row>
    <row r="1268" spans="27:27" x14ac:dyDescent="0.3">
      <c r="AA1268" s="338">
        <f t="shared" si="19"/>
        <v>34700</v>
      </c>
    </row>
    <row r="1269" spans="27:27" x14ac:dyDescent="0.3">
      <c r="AA1269" s="338">
        <f t="shared" si="19"/>
        <v>34700</v>
      </c>
    </row>
    <row r="1270" spans="27:27" x14ac:dyDescent="0.3">
      <c r="AA1270" s="338">
        <f t="shared" si="19"/>
        <v>34700</v>
      </c>
    </row>
    <row r="1271" spans="27:27" x14ac:dyDescent="0.3">
      <c r="AA1271" s="338">
        <f t="shared" si="19"/>
        <v>34700</v>
      </c>
    </row>
    <row r="1272" spans="27:27" x14ac:dyDescent="0.3">
      <c r="AA1272" s="338">
        <f t="shared" si="19"/>
        <v>34700</v>
      </c>
    </row>
    <row r="1273" spans="27:27" x14ac:dyDescent="0.3">
      <c r="AA1273" s="338">
        <f t="shared" si="19"/>
        <v>34700</v>
      </c>
    </row>
    <row r="1274" spans="27:27" x14ac:dyDescent="0.3">
      <c r="AA1274" s="338">
        <f t="shared" si="19"/>
        <v>34700</v>
      </c>
    </row>
    <row r="1275" spans="27:27" x14ac:dyDescent="0.3">
      <c r="AA1275" s="338">
        <f t="shared" si="19"/>
        <v>34700</v>
      </c>
    </row>
    <row r="1276" spans="27:27" x14ac:dyDescent="0.3">
      <c r="AA1276" s="338">
        <f t="shared" si="19"/>
        <v>34700</v>
      </c>
    </row>
    <row r="1277" spans="27:27" x14ac:dyDescent="0.3">
      <c r="AA1277" s="338">
        <f t="shared" si="19"/>
        <v>34700</v>
      </c>
    </row>
    <row r="1278" spans="27:27" x14ac:dyDescent="0.3">
      <c r="AA1278" s="338">
        <f t="shared" si="19"/>
        <v>34700</v>
      </c>
    </row>
    <row r="1279" spans="27:27" x14ac:dyDescent="0.3">
      <c r="AA1279" s="338">
        <f t="shared" si="19"/>
        <v>34700</v>
      </c>
    </row>
    <row r="1280" spans="27:27" x14ac:dyDescent="0.3">
      <c r="AA1280" s="338">
        <f t="shared" si="19"/>
        <v>34700</v>
      </c>
    </row>
    <row r="1281" spans="27:27" x14ac:dyDescent="0.3">
      <c r="AA1281" s="338">
        <f t="shared" ref="AA1281:AA1344" si="20">IFERROR(
IF(ISNUMBER(C1281),C1281,DATE(VALUE(RIGHT(C1281,4)),VALUE(MID(SUBSTITUTE(C1281,"/","-"),FIND("-",SUBSTITUTE(C1281,"/","-"))+1,FIND("-",SUBSTITUTE(C1281,"/","-"),FIND("-",SUBSTITUTE(C1281,"/","-"))+1)-FIND("-",SUBSTITUTE(C1281,"/","-"))-1)),VALUE(LEFT(SUBSTITUTE(C1281,"/","-"),FIND("-",SUBSTITUTE(C1281,"/","-"))-1)))),
DATE(1995,1,1)
)</f>
        <v>34700</v>
      </c>
    </row>
    <row r="1282" spans="27:27" x14ac:dyDescent="0.3">
      <c r="AA1282" s="338">
        <f t="shared" si="20"/>
        <v>34700</v>
      </c>
    </row>
    <row r="1283" spans="27:27" x14ac:dyDescent="0.3">
      <c r="AA1283" s="338">
        <f t="shared" si="20"/>
        <v>34700</v>
      </c>
    </row>
    <row r="1284" spans="27:27" x14ac:dyDescent="0.3">
      <c r="AA1284" s="338">
        <f t="shared" si="20"/>
        <v>34700</v>
      </c>
    </row>
    <row r="1285" spans="27:27" x14ac:dyDescent="0.3">
      <c r="AA1285" s="338">
        <f t="shared" si="20"/>
        <v>34700</v>
      </c>
    </row>
    <row r="1286" spans="27:27" x14ac:dyDescent="0.3">
      <c r="AA1286" s="338">
        <f t="shared" si="20"/>
        <v>34700</v>
      </c>
    </row>
    <row r="1287" spans="27:27" x14ac:dyDescent="0.3">
      <c r="AA1287" s="338">
        <f t="shared" si="20"/>
        <v>34700</v>
      </c>
    </row>
    <row r="1288" spans="27:27" x14ac:dyDescent="0.3">
      <c r="AA1288" s="338">
        <f t="shared" si="20"/>
        <v>34700</v>
      </c>
    </row>
    <row r="1289" spans="27:27" x14ac:dyDescent="0.3">
      <c r="AA1289" s="338">
        <f t="shared" si="20"/>
        <v>34700</v>
      </c>
    </row>
    <row r="1290" spans="27:27" x14ac:dyDescent="0.3">
      <c r="AA1290" s="338">
        <f t="shared" si="20"/>
        <v>34700</v>
      </c>
    </row>
    <row r="1291" spans="27:27" x14ac:dyDescent="0.3">
      <c r="AA1291" s="338">
        <f t="shared" si="20"/>
        <v>34700</v>
      </c>
    </row>
    <row r="1292" spans="27:27" x14ac:dyDescent="0.3">
      <c r="AA1292" s="338">
        <f t="shared" si="20"/>
        <v>34700</v>
      </c>
    </row>
    <row r="1293" spans="27:27" x14ac:dyDescent="0.3">
      <c r="AA1293" s="338">
        <f t="shared" si="20"/>
        <v>34700</v>
      </c>
    </row>
    <row r="1294" spans="27:27" x14ac:dyDescent="0.3">
      <c r="AA1294" s="338">
        <f t="shared" si="20"/>
        <v>34700</v>
      </c>
    </row>
    <row r="1295" spans="27:27" x14ac:dyDescent="0.3">
      <c r="AA1295" s="338">
        <f t="shared" si="20"/>
        <v>34700</v>
      </c>
    </row>
    <row r="1296" spans="27:27" x14ac:dyDescent="0.3">
      <c r="AA1296" s="338">
        <f t="shared" si="20"/>
        <v>34700</v>
      </c>
    </row>
    <row r="1297" spans="27:27" x14ac:dyDescent="0.3">
      <c r="AA1297" s="338">
        <f t="shared" si="20"/>
        <v>34700</v>
      </c>
    </row>
    <row r="1298" spans="27:27" x14ac:dyDescent="0.3">
      <c r="AA1298" s="338">
        <f t="shared" si="20"/>
        <v>34700</v>
      </c>
    </row>
    <row r="1299" spans="27:27" x14ac:dyDescent="0.3">
      <c r="AA1299" s="338">
        <f t="shared" si="20"/>
        <v>34700</v>
      </c>
    </row>
    <row r="1300" spans="27:27" x14ac:dyDescent="0.3">
      <c r="AA1300" s="338">
        <f t="shared" si="20"/>
        <v>34700</v>
      </c>
    </row>
    <row r="1301" spans="27:27" x14ac:dyDescent="0.3">
      <c r="AA1301" s="338">
        <f t="shared" si="20"/>
        <v>34700</v>
      </c>
    </row>
    <row r="1302" spans="27:27" x14ac:dyDescent="0.3">
      <c r="AA1302" s="338">
        <f t="shared" si="20"/>
        <v>34700</v>
      </c>
    </row>
    <row r="1303" spans="27:27" x14ac:dyDescent="0.3">
      <c r="AA1303" s="338">
        <f t="shared" si="20"/>
        <v>34700</v>
      </c>
    </row>
    <row r="1304" spans="27:27" x14ac:dyDescent="0.3">
      <c r="AA1304" s="338">
        <f t="shared" si="20"/>
        <v>34700</v>
      </c>
    </row>
    <row r="1305" spans="27:27" x14ac:dyDescent="0.3">
      <c r="AA1305" s="338">
        <f t="shared" si="20"/>
        <v>34700</v>
      </c>
    </row>
    <row r="1306" spans="27:27" x14ac:dyDescent="0.3">
      <c r="AA1306" s="338">
        <f t="shared" si="20"/>
        <v>34700</v>
      </c>
    </row>
    <row r="1307" spans="27:27" x14ac:dyDescent="0.3">
      <c r="AA1307" s="338">
        <f t="shared" si="20"/>
        <v>34700</v>
      </c>
    </row>
    <row r="1308" spans="27:27" x14ac:dyDescent="0.3">
      <c r="AA1308" s="338">
        <f t="shared" si="20"/>
        <v>34700</v>
      </c>
    </row>
    <row r="1309" spans="27:27" x14ac:dyDescent="0.3">
      <c r="AA1309" s="338">
        <f t="shared" si="20"/>
        <v>34700</v>
      </c>
    </row>
    <row r="1310" spans="27:27" x14ac:dyDescent="0.3">
      <c r="AA1310" s="338">
        <f t="shared" si="20"/>
        <v>34700</v>
      </c>
    </row>
    <row r="1311" spans="27:27" x14ac:dyDescent="0.3">
      <c r="AA1311" s="338">
        <f t="shared" si="20"/>
        <v>34700</v>
      </c>
    </row>
    <row r="1312" spans="27:27" x14ac:dyDescent="0.3">
      <c r="AA1312" s="338">
        <f t="shared" si="20"/>
        <v>34700</v>
      </c>
    </row>
    <row r="1313" spans="27:27" x14ac:dyDescent="0.3">
      <c r="AA1313" s="338">
        <f t="shared" si="20"/>
        <v>34700</v>
      </c>
    </row>
    <row r="1314" spans="27:27" x14ac:dyDescent="0.3">
      <c r="AA1314" s="338">
        <f t="shared" si="20"/>
        <v>34700</v>
      </c>
    </row>
    <row r="1315" spans="27:27" x14ac:dyDescent="0.3">
      <c r="AA1315" s="338">
        <f t="shared" si="20"/>
        <v>34700</v>
      </c>
    </row>
    <row r="1316" spans="27:27" x14ac:dyDescent="0.3">
      <c r="AA1316" s="338">
        <f t="shared" si="20"/>
        <v>34700</v>
      </c>
    </row>
    <row r="1317" spans="27:27" x14ac:dyDescent="0.3">
      <c r="AA1317" s="338">
        <f t="shared" si="20"/>
        <v>34700</v>
      </c>
    </row>
    <row r="1318" spans="27:27" x14ac:dyDescent="0.3">
      <c r="AA1318" s="338">
        <f t="shared" si="20"/>
        <v>34700</v>
      </c>
    </row>
    <row r="1319" spans="27:27" x14ac:dyDescent="0.3">
      <c r="AA1319" s="338">
        <f t="shared" si="20"/>
        <v>34700</v>
      </c>
    </row>
    <row r="1320" spans="27:27" x14ac:dyDescent="0.3">
      <c r="AA1320" s="338">
        <f t="shared" si="20"/>
        <v>34700</v>
      </c>
    </row>
    <row r="1321" spans="27:27" x14ac:dyDescent="0.3">
      <c r="AA1321" s="338">
        <f t="shared" si="20"/>
        <v>34700</v>
      </c>
    </row>
    <row r="1322" spans="27:27" x14ac:dyDescent="0.3">
      <c r="AA1322" s="338">
        <f t="shared" si="20"/>
        <v>34700</v>
      </c>
    </row>
    <row r="1323" spans="27:27" x14ac:dyDescent="0.3">
      <c r="AA1323" s="338">
        <f t="shared" si="20"/>
        <v>34700</v>
      </c>
    </row>
    <row r="1324" spans="27:27" x14ac:dyDescent="0.3">
      <c r="AA1324" s="338">
        <f t="shared" si="20"/>
        <v>34700</v>
      </c>
    </row>
    <row r="1325" spans="27:27" x14ac:dyDescent="0.3">
      <c r="AA1325" s="338">
        <f t="shared" si="20"/>
        <v>34700</v>
      </c>
    </row>
    <row r="1326" spans="27:27" x14ac:dyDescent="0.3">
      <c r="AA1326" s="338">
        <f t="shared" si="20"/>
        <v>34700</v>
      </c>
    </row>
    <row r="1327" spans="27:27" x14ac:dyDescent="0.3">
      <c r="AA1327" s="338">
        <f t="shared" si="20"/>
        <v>34700</v>
      </c>
    </row>
    <row r="1328" spans="27:27" x14ac:dyDescent="0.3">
      <c r="AA1328" s="338">
        <f t="shared" si="20"/>
        <v>34700</v>
      </c>
    </row>
    <row r="1329" spans="27:27" x14ac:dyDescent="0.3">
      <c r="AA1329" s="338">
        <f t="shared" si="20"/>
        <v>34700</v>
      </c>
    </row>
    <row r="1330" spans="27:27" x14ac:dyDescent="0.3">
      <c r="AA1330" s="338">
        <f t="shared" si="20"/>
        <v>34700</v>
      </c>
    </row>
    <row r="1331" spans="27:27" x14ac:dyDescent="0.3">
      <c r="AA1331" s="338">
        <f t="shared" si="20"/>
        <v>34700</v>
      </c>
    </row>
    <row r="1332" spans="27:27" x14ac:dyDescent="0.3">
      <c r="AA1332" s="338">
        <f t="shared" si="20"/>
        <v>34700</v>
      </c>
    </row>
    <row r="1333" spans="27:27" x14ac:dyDescent="0.3">
      <c r="AA1333" s="338">
        <f t="shared" si="20"/>
        <v>34700</v>
      </c>
    </row>
    <row r="1334" spans="27:27" x14ac:dyDescent="0.3">
      <c r="AA1334" s="338">
        <f t="shared" si="20"/>
        <v>34700</v>
      </c>
    </row>
    <row r="1335" spans="27:27" x14ac:dyDescent="0.3">
      <c r="AA1335" s="338">
        <f t="shared" si="20"/>
        <v>34700</v>
      </c>
    </row>
    <row r="1336" spans="27:27" x14ac:dyDescent="0.3">
      <c r="AA1336" s="338">
        <f t="shared" si="20"/>
        <v>34700</v>
      </c>
    </row>
    <row r="1337" spans="27:27" x14ac:dyDescent="0.3">
      <c r="AA1337" s="338">
        <f t="shared" si="20"/>
        <v>34700</v>
      </c>
    </row>
    <row r="1338" spans="27:27" x14ac:dyDescent="0.3">
      <c r="AA1338" s="338">
        <f t="shared" si="20"/>
        <v>34700</v>
      </c>
    </row>
    <row r="1339" spans="27:27" x14ac:dyDescent="0.3">
      <c r="AA1339" s="338">
        <f t="shared" si="20"/>
        <v>34700</v>
      </c>
    </row>
    <row r="1340" spans="27:27" x14ac:dyDescent="0.3">
      <c r="AA1340" s="338">
        <f t="shared" si="20"/>
        <v>34700</v>
      </c>
    </row>
    <row r="1341" spans="27:27" x14ac:dyDescent="0.3">
      <c r="AA1341" s="338">
        <f t="shared" si="20"/>
        <v>34700</v>
      </c>
    </row>
    <row r="1342" spans="27:27" x14ac:dyDescent="0.3">
      <c r="AA1342" s="338">
        <f t="shared" si="20"/>
        <v>34700</v>
      </c>
    </row>
    <row r="1343" spans="27:27" x14ac:dyDescent="0.3">
      <c r="AA1343" s="338">
        <f t="shared" si="20"/>
        <v>34700</v>
      </c>
    </row>
    <row r="1344" spans="27:27" x14ac:dyDescent="0.3">
      <c r="AA1344" s="338">
        <f t="shared" si="20"/>
        <v>34700</v>
      </c>
    </row>
    <row r="1345" spans="27:27" x14ac:dyDescent="0.3">
      <c r="AA1345" s="338">
        <f t="shared" ref="AA1345:AA1408" si="21">IFERROR(
IF(ISNUMBER(C1345),C1345,DATE(VALUE(RIGHT(C1345,4)),VALUE(MID(SUBSTITUTE(C1345,"/","-"),FIND("-",SUBSTITUTE(C1345,"/","-"))+1,FIND("-",SUBSTITUTE(C1345,"/","-"),FIND("-",SUBSTITUTE(C1345,"/","-"))+1)-FIND("-",SUBSTITUTE(C1345,"/","-"))-1)),VALUE(LEFT(SUBSTITUTE(C1345,"/","-"),FIND("-",SUBSTITUTE(C1345,"/","-"))-1)))),
DATE(1995,1,1)
)</f>
        <v>34700</v>
      </c>
    </row>
    <row r="1346" spans="27:27" x14ac:dyDescent="0.3">
      <c r="AA1346" s="338">
        <f t="shared" si="21"/>
        <v>34700</v>
      </c>
    </row>
    <row r="1347" spans="27:27" x14ac:dyDescent="0.3">
      <c r="AA1347" s="338">
        <f t="shared" si="21"/>
        <v>34700</v>
      </c>
    </row>
    <row r="1348" spans="27:27" x14ac:dyDescent="0.3">
      <c r="AA1348" s="338">
        <f t="shared" si="21"/>
        <v>34700</v>
      </c>
    </row>
    <row r="1349" spans="27:27" x14ac:dyDescent="0.3">
      <c r="AA1349" s="338">
        <f t="shared" si="21"/>
        <v>34700</v>
      </c>
    </row>
    <row r="1350" spans="27:27" x14ac:dyDescent="0.3">
      <c r="AA1350" s="338">
        <f t="shared" si="21"/>
        <v>34700</v>
      </c>
    </row>
    <row r="1351" spans="27:27" x14ac:dyDescent="0.3">
      <c r="AA1351" s="338">
        <f t="shared" si="21"/>
        <v>34700</v>
      </c>
    </row>
    <row r="1352" spans="27:27" x14ac:dyDescent="0.3">
      <c r="AA1352" s="338">
        <f t="shared" si="21"/>
        <v>34700</v>
      </c>
    </row>
    <row r="1353" spans="27:27" x14ac:dyDescent="0.3">
      <c r="AA1353" s="338">
        <f t="shared" si="21"/>
        <v>34700</v>
      </c>
    </row>
    <row r="1354" spans="27:27" x14ac:dyDescent="0.3">
      <c r="AA1354" s="338">
        <f t="shared" si="21"/>
        <v>34700</v>
      </c>
    </row>
    <row r="1355" spans="27:27" x14ac:dyDescent="0.3">
      <c r="AA1355" s="338">
        <f t="shared" si="21"/>
        <v>34700</v>
      </c>
    </row>
    <row r="1356" spans="27:27" x14ac:dyDescent="0.3">
      <c r="AA1356" s="338">
        <f t="shared" si="21"/>
        <v>34700</v>
      </c>
    </row>
    <row r="1357" spans="27:27" x14ac:dyDescent="0.3">
      <c r="AA1357" s="338">
        <f t="shared" si="21"/>
        <v>34700</v>
      </c>
    </row>
    <row r="1358" spans="27:27" x14ac:dyDescent="0.3">
      <c r="AA1358" s="338">
        <f t="shared" si="21"/>
        <v>34700</v>
      </c>
    </row>
    <row r="1359" spans="27:27" x14ac:dyDescent="0.3">
      <c r="AA1359" s="338">
        <f t="shared" si="21"/>
        <v>34700</v>
      </c>
    </row>
    <row r="1360" spans="27:27" x14ac:dyDescent="0.3">
      <c r="AA1360" s="338">
        <f t="shared" si="21"/>
        <v>34700</v>
      </c>
    </row>
    <row r="1361" spans="27:27" x14ac:dyDescent="0.3">
      <c r="AA1361" s="338">
        <f t="shared" si="21"/>
        <v>34700</v>
      </c>
    </row>
    <row r="1362" spans="27:27" x14ac:dyDescent="0.3">
      <c r="AA1362" s="338">
        <f t="shared" si="21"/>
        <v>34700</v>
      </c>
    </row>
    <row r="1363" spans="27:27" x14ac:dyDescent="0.3">
      <c r="AA1363" s="338">
        <f t="shared" si="21"/>
        <v>34700</v>
      </c>
    </row>
    <row r="1364" spans="27:27" x14ac:dyDescent="0.3">
      <c r="AA1364" s="338">
        <f t="shared" si="21"/>
        <v>34700</v>
      </c>
    </row>
    <row r="1365" spans="27:27" x14ac:dyDescent="0.3">
      <c r="AA1365" s="338">
        <f t="shared" si="21"/>
        <v>34700</v>
      </c>
    </row>
    <row r="1366" spans="27:27" x14ac:dyDescent="0.3">
      <c r="AA1366" s="338">
        <f t="shared" si="21"/>
        <v>34700</v>
      </c>
    </row>
    <row r="1367" spans="27:27" x14ac:dyDescent="0.3">
      <c r="AA1367" s="338">
        <f t="shared" si="21"/>
        <v>34700</v>
      </c>
    </row>
    <row r="1368" spans="27:27" x14ac:dyDescent="0.3">
      <c r="AA1368" s="338">
        <f t="shared" si="21"/>
        <v>34700</v>
      </c>
    </row>
    <row r="1369" spans="27:27" x14ac:dyDescent="0.3">
      <c r="AA1369" s="338">
        <f t="shared" si="21"/>
        <v>34700</v>
      </c>
    </row>
    <row r="1370" spans="27:27" x14ac:dyDescent="0.3">
      <c r="AA1370" s="338">
        <f t="shared" si="21"/>
        <v>34700</v>
      </c>
    </row>
    <row r="1371" spans="27:27" x14ac:dyDescent="0.3">
      <c r="AA1371" s="338">
        <f t="shared" si="21"/>
        <v>34700</v>
      </c>
    </row>
    <row r="1372" spans="27:27" x14ac:dyDescent="0.3">
      <c r="AA1372" s="338">
        <f t="shared" si="21"/>
        <v>34700</v>
      </c>
    </row>
    <row r="1373" spans="27:27" x14ac:dyDescent="0.3">
      <c r="AA1373" s="338">
        <f t="shared" si="21"/>
        <v>34700</v>
      </c>
    </row>
    <row r="1374" spans="27:27" x14ac:dyDescent="0.3">
      <c r="AA1374" s="338">
        <f t="shared" si="21"/>
        <v>34700</v>
      </c>
    </row>
    <row r="1375" spans="27:27" x14ac:dyDescent="0.3">
      <c r="AA1375" s="338">
        <f t="shared" si="21"/>
        <v>34700</v>
      </c>
    </row>
    <row r="1376" spans="27:27" x14ac:dyDescent="0.3">
      <c r="AA1376" s="338">
        <f t="shared" si="21"/>
        <v>34700</v>
      </c>
    </row>
    <row r="1377" spans="27:27" x14ac:dyDescent="0.3">
      <c r="AA1377" s="338">
        <f t="shared" si="21"/>
        <v>34700</v>
      </c>
    </row>
    <row r="1378" spans="27:27" x14ac:dyDescent="0.3">
      <c r="AA1378" s="338">
        <f t="shared" si="21"/>
        <v>34700</v>
      </c>
    </row>
    <row r="1379" spans="27:27" x14ac:dyDescent="0.3">
      <c r="AA1379" s="338">
        <f t="shared" si="21"/>
        <v>34700</v>
      </c>
    </row>
    <row r="1380" spans="27:27" x14ac:dyDescent="0.3">
      <c r="AA1380" s="338">
        <f t="shared" si="21"/>
        <v>34700</v>
      </c>
    </row>
    <row r="1381" spans="27:27" x14ac:dyDescent="0.3">
      <c r="AA1381" s="338">
        <f t="shared" si="21"/>
        <v>34700</v>
      </c>
    </row>
    <row r="1382" spans="27:27" x14ac:dyDescent="0.3">
      <c r="AA1382" s="338">
        <f t="shared" si="21"/>
        <v>34700</v>
      </c>
    </row>
    <row r="1383" spans="27:27" x14ac:dyDescent="0.3">
      <c r="AA1383" s="338">
        <f t="shared" si="21"/>
        <v>34700</v>
      </c>
    </row>
    <row r="1384" spans="27:27" x14ac:dyDescent="0.3">
      <c r="AA1384" s="338">
        <f t="shared" si="21"/>
        <v>34700</v>
      </c>
    </row>
    <row r="1385" spans="27:27" x14ac:dyDescent="0.3">
      <c r="AA1385" s="338">
        <f t="shared" si="21"/>
        <v>34700</v>
      </c>
    </row>
    <row r="1386" spans="27:27" x14ac:dyDescent="0.3">
      <c r="AA1386" s="338">
        <f t="shared" si="21"/>
        <v>34700</v>
      </c>
    </row>
    <row r="1387" spans="27:27" x14ac:dyDescent="0.3">
      <c r="AA1387" s="338">
        <f t="shared" si="21"/>
        <v>34700</v>
      </c>
    </row>
    <row r="1388" spans="27:27" x14ac:dyDescent="0.3">
      <c r="AA1388" s="338">
        <f t="shared" si="21"/>
        <v>34700</v>
      </c>
    </row>
    <row r="1389" spans="27:27" x14ac:dyDescent="0.3">
      <c r="AA1389" s="338">
        <f t="shared" si="21"/>
        <v>34700</v>
      </c>
    </row>
    <row r="1390" spans="27:27" x14ac:dyDescent="0.3">
      <c r="AA1390" s="338">
        <f t="shared" si="21"/>
        <v>34700</v>
      </c>
    </row>
    <row r="1391" spans="27:27" x14ac:dyDescent="0.3">
      <c r="AA1391" s="338">
        <f t="shared" si="21"/>
        <v>34700</v>
      </c>
    </row>
    <row r="1392" spans="27:27" x14ac:dyDescent="0.3">
      <c r="AA1392" s="338">
        <f t="shared" si="21"/>
        <v>34700</v>
      </c>
    </row>
    <row r="1393" spans="27:27" x14ac:dyDescent="0.3">
      <c r="AA1393" s="338">
        <f t="shared" si="21"/>
        <v>34700</v>
      </c>
    </row>
    <row r="1394" spans="27:27" x14ac:dyDescent="0.3">
      <c r="AA1394" s="338">
        <f t="shared" si="21"/>
        <v>34700</v>
      </c>
    </row>
    <row r="1395" spans="27:27" x14ac:dyDescent="0.3">
      <c r="AA1395" s="338">
        <f t="shared" si="21"/>
        <v>34700</v>
      </c>
    </row>
    <row r="1396" spans="27:27" x14ac:dyDescent="0.3">
      <c r="AA1396" s="338">
        <f t="shared" si="21"/>
        <v>34700</v>
      </c>
    </row>
    <row r="1397" spans="27:27" x14ac:dyDescent="0.3">
      <c r="AA1397" s="338">
        <f t="shared" si="21"/>
        <v>34700</v>
      </c>
    </row>
    <row r="1398" spans="27:27" x14ac:dyDescent="0.3">
      <c r="AA1398" s="338">
        <f t="shared" si="21"/>
        <v>34700</v>
      </c>
    </row>
    <row r="1399" spans="27:27" x14ac:dyDescent="0.3">
      <c r="AA1399" s="338">
        <f t="shared" si="21"/>
        <v>34700</v>
      </c>
    </row>
    <row r="1400" spans="27:27" x14ac:dyDescent="0.3">
      <c r="AA1400" s="338">
        <f t="shared" si="21"/>
        <v>34700</v>
      </c>
    </row>
    <row r="1401" spans="27:27" x14ac:dyDescent="0.3">
      <c r="AA1401" s="338">
        <f t="shared" si="21"/>
        <v>34700</v>
      </c>
    </row>
    <row r="1402" spans="27:27" x14ac:dyDescent="0.3">
      <c r="AA1402" s="338">
        <f t="shared" si="21"/>
        <v>34700</v>
      </c>
    </row>
    <row r="1403" spans="27:27" x14ac:dyDescent="0.3">
      <c r="AA1403" s="338">
        <f t="shared" si="21"/>
        <v>34700</v>
      </c>
    </row>
    <row r="1404" spans="27:27" x14ac:dyDescent="0.3">
      <c r="AA1404" s="338">
        <f t="shared" si="21"/>
        <v>34700</v>
      </c>
    </row>
    <row r="1405" spans="27:27" x14ac:dyDescent="0.3">
      <c r="AA1405" s="338">
        <f t="shared" si="21"/>
        <v>34700</v>
      </c>
    </row>
    <row r="1406" spans="27:27" x14ac:dyDescent="0.3">
      <c r="AA1406" s="338">
        <f t="shared" si="21"/>
        <v>34700</v>
      </c>
    </row>
    <row r="1407" spans="27:27" x14ac:dyDescent="0.3">
      <c r="AA1407" s="338">
        <f t="shared" si="21"/>
        <v>34700</v>
      </c>
    </row>
    <row r="1408" spans="27:27" x14ac:dyDescent="0.3">
      <c r="AA1408" s="338">
        <f t="shared" si="21"/>
        <v>34700</v>
      </c>
    </row>
    <row r="1409" spans="27:27" x14ac:dyDescent="0.3">
      <c r="AA1409" s="338">
        <f t="shared" ref="AA1409:AA1472" si="22">IFERROR(
IF(ISNUMBER(C1409),C1409,DATE(VALUE(RIGHT(C1409,4)),VALUE(MID(SUBSTITUTE(C1409,"/","-"),FIND("-",SUBSTITUTE(C1409,"/","-"))+1,FIND("-",SUBSTITUTE(C1409,"/","-"),FIND("-",SUBSTITUTE(C1409,"/","-"))+1)-FIND("-",SUBSTITUTE(C1409,"/","-"))-1)),VALUE(LEFT(SUBSTITUTE(C1409,"/","-"),FIND("-",SUBSTITUTE(C1409,"/","-"))-1)))),
DATE(1995,1,1)
)</f>
        <v>34700</v>
      </c>
    </row>
    <row r="1410" spans="27:27" x14ac:dyDescent="0.3">
      <c r="AA1410" s="338">
        <f t="shared" si="22"/>
        <v>34700</v>
      </c>
    </row>
    <row r="1411" spans="27:27" x14ac:dyDescent="0.3">
      <c r="AA1411" s="338">
        <f t="shared" si="22"/>
        <v>34700</v>
      </c>
    </row>
    <row r="1412" spans="27:27" x14ac:dyDescent="0.3">
      <c r="AA1412" s="338">
        <f t="shared" si="22"/>
        <v>34700</v>
      </c>
    </row>
    <row r="1413" spans="27:27" x14ac:dyDescent="0.3">
      <c r="AA1413" s="338">
        <f t="shared" si="22"/>
        <v>34700</v>
      </c>
    </row>
    <row r="1414" spans="27:27" x14ac:dyDescent="0.3">
      <c r="AA1414" s="338">
        <f t="shared" si="22"/>
        <v>34700</v>
      </c>
    </row>
    <row r="1415" spans="27:27" x14ac:dyDescent="0.3">
      <c r="AA1415" s="338">
        <f t="shared" si="22"/>
        <v>34700</v>
      </c>
    </row>
    <row r="1416" spans="27:27" x14ac:dyDescent="0.3">
      <c r="AA1416" s="338">
        <f t="shared" si="22"/>
        <v>34700</v>
      </c>
    </row>
    <row r="1417" spans="27:27" x14ac:dyDescent="0.3">
      <c r="AA1417" s="338">
        <f t="shared" si="22"/>
        <v>34700</v>
      </c>
    </row>
    <row r="1418" spans="27:27" x14ac:dyDescent="0.3">
      <c r="AA1418" s="338">
        <f t="shared" si="22"/>
        <v>34700</v>
      </c>
    </row>
    <row r="1419" spans="27:27" x14ac:dyDescent="0.3">
      <c r="AA1419" s="338">
        <f t="shared" si="22"/>
        <v>34700</v>
      </c>
    </row>
    <row r="1420" spans="27:27" x14ac:dyDescent="0.3">
      <c r="AA1420" s="338">
        <f t="shared" si="22"/>
        <v>34700</v>
      </c>
    </row>
    <row r="1421" spans="27:27" x14ac:dyDescent="0.3">
      <c r="AA1421" s="338">
        <f t="shared" si="22"/>
        <v>34700</v>
      </c>
    </row>
    <row r="1422" spans="27:27" x14ac:dyDescent="0.3">
      <c r="AA1422" s="338">
        <f t="shared" si="22"/>
        <v>34700</v>
      </c>
    </row>
    <row r="1423" spans="27:27" x14ac:dyDescent="0.3">
      <c r="AA1423" s="338">
        <f t="shared" si="22"/>
        <v>34700</v>
      </c>
    </row>
    <row r="1424" spans="27:27" x14ac:dyDescent="0.3">
      <c r="AA1424" s="338">
        <f t="shared" si="22"/>
        <v>34700</v>
      </c>
    </row>
    <row r="1425" spans="27:27" x14ac:dyDescent="0.3">
      <c r="AA1425" s="338">
        <f t="shared" si="22"/>
        <v>34700</v>
      </c>
    </row>
    <row r="1426" spans="27:27" x14ac:dyDescent="0.3">
      <c r="AA1426" s="338">
        <f t="shared" si="22"/>
        <v>34700</v>
      </c>
    </row>
    <row r="1427" spans="27:27" x14ac:dyDescent="0.3">
      <c r="AA1427" s="338">
        <f t="shared" si="22"/>
        <v>34700</v>
      </c>
    </row>
    <row r="1428" spans="27:27" x14ac:dyDescent="0.3">
      <c r="AA1428" s="338">
        <f t="shared" si="22"/>
        <v>34700</v>
      </c>
    </row>
    <row r="1429" spans="27:27" x14ac:dyDescent="0.3">
      <c r="AA1429" s="338">
        <f t="shared" si="22"/>
        <v>34700</v>
      </c>
    </row>
    <row r="1430" spans="27:27" x14ac:dyDescent="0.3">
      <c r="AA1430" s="338">
        <f t="shared" si="22"/>
        <v>34700</v>
      </c>
    </row>
    <row r="1431" spans="27:27" x14ac:dyDescent="0.3">
      <c r="AA1431" s="338">
        <f t="shared" si="22"/>
        <v>34700</v>
      </c>
    </row>
    <row r="1432" spans="27:27" x14ac:dyDescent="0.3">
      <c r="AA1432" s="338">
        <f t="shared" si="22"/>
        <v>34700</v>
      </c>
    </row>
    <row r="1433" spans="27:27" x14ac:dyDescent="0.3">
      <c r="AA1433" s="338">
        <f t="shared" si="22"/>
        <v>34700</v>
      </c>
    </row>
    <row r="1434" spans="27:27" x14ac:dyDescent="0.3">
      <c r="AA1434" s="338">
        <f t="shared" si="22"/>
        <v>34700</v>
      </c>
    </row>
    <row r="1435" spans="27:27" x14ac:dyDescent="0.3">
      <c r="AA1435" s="338">
        <f t="shared" si="22"/>
        <v>34700</v>
      </c>
    </row>
    <row r="1436" spans="27:27" x14ac:dyDescent="0.3">
      <c r="AA1436" s="338">
        <f t="shared" si="22"/>
        <v>34700</v>
      </c>
    </row>
    <row r="1437" spans="27:27" x14ac:dyDescent="0.3">
      <c r="AA1437" s="338">
        <f t="shared" si="22"/>
        <v>34700</v>
      </c>
    </row>
    <row r="1438" spans="27:27" x14ac:dyDescent="0.3">
      <c r="AA1438" s="338">
        <f t="shared" si="22"/>
        <v>34700</v>
      </c>
    </row>
    <row r="1439" spans="27:27" x14ac:dyDescent="0.3">
      <c r="AA1439" s="338">
        <f t="shared" si="22"/>
        <v>34700</v>
      </c>
    </row>
    <row r="1440" spans="27:27" x14ac:dyDescent="0.3">
      <c r="AA1440" s="338">
        <f t="shared" si="22"/>
        <v>34700</v>
      </c>
    </row>
    <row r="1441" spans="27:27" x14ac:dyDescent="0.3">
      <c r="AA1441" s="338">
        <f t="shared" si="22"/>
        <v>34700</v>
      </c>
    </row>
    <row r="1442" spans="27:27" x14ac:dyDescent="0.3">
      <c r="AA1442" s="338">
        <f t="shared" si="22"/>
        <v>34700</v>
      </c>
    </row>
    <row r="1443" spans="27:27" x14ac:dyDescent="0.3">
      <c r="AA1443" s="338">
        <f t="shared" si="22"/>
        <v>34700</v>
      </c>
    </row>
    <row r="1444" spans="27:27" x14ac:dyDescent="0.3">
      <c r="AA1444" s="338">
        <f t="shared" si="22"/>
        <v>34700</v>
      </c>
    </row>
    <row r="1445" spans="27:27" x14ac:dyDescent="0.3">
      <c r="AA1445" s="338">
        <f t="shared" si="22"/>
        <v>34700</v>
      </c>
    </row>
    <row r="1446" spans="27:27" x14ac:dyDescent="0.3">
      <c r="AA1446" s="338">
        <f t="shared" si="22"/>
        <v>34700</v>
      </c>
    </row>
    <row r="1447" spans="27:27" x14ac:dyDescent="0.3">
      <c r="AA1447" s="338">
        <f t="shared" si="22"/>
        <v>34700</v>
      </c>
    </row>
    <row r="1448" spans="27:27" x14ac:dyDescent="0.3">
      <c r="AA1448" s="338">
        <f t="shared" si="22"/>
        <v>34700</v>
      </c>
    </row>
    <row r="1449" spans="27:27" x14ac:dyDescent="0.3">
      <c r="AA1449" s="338">
        <f t="shared" si="22"/>
        <v>34700</v>
      </c>
    </row>
    <row r="1450" spans="27:27" x14ac:dyDescent="0.3">
      <c r="AA1450" s="338">
        <f t="shared" si="22"/>
        <v>34700</v>
      </c>
    </row>
    <row r="1451" spans="27:27" x14ac:dyDescent="0.3">
      <c r="AA1451" s="338">
        <f t="shared" si="22"/>
        <v>34700</v>
      </c>
    </row>
    <row r="1452" spans="27:27" x14ac:dyDescent="0.3">
      <c r="AA1452" s="338">
        <f t="shared" si="22"/>
        <v>34700</v>
      </c>
    </row>
    <row r="1453" spans="27:27" x14ac:dyDescent="0.3">
      <c r="AA1453" s="338">
        <f t="shared" si="22"/>
        <v>34700</v>
      </c>
    </row>
    <row r="1454" spans="27:27" x14ac:dyDescent="0.3">
      <c r="AA1454" s="338">
        <f t="shared" si="22"/>
        <v>34700</v>
      </c>
    </row>
    <row r="1455" spans="27:27" x14ac:dyDescent="0.3">
      <c r="AA1455" s="338">
        <f t="shared" si="22"/>
        <v>34700</v>
      </c>
    </row>
    <row r="1456" spans="27:27" x14ac:dyDescent="0.3">
      <c r="AA1456" s="338">
        <f t="shared" si="22"/>
        <v>34700</v>
      </c>
    </row>
    <row r="1457" spans="27:27" x14ac:dyDescent="0.3">
      <c r="AA1457" s="338">
        <f t="shared" si="22"/>
        <v>34700</v>
      </c>
    </row>
    <row r="1458" spans="27:27" x14ac:dyDescent="0.3">
      <c r="AA1458" s="338">
        <f t="shared" si="22"/>
        <v>34700</v>
      </c>
    </row>
    <row r="1459" spans="27:27" x14ac:dyDescent="0.3">
      <c r="AA1459" s="338">
        <f t="shared" si="22"/>
        <v>34700</v>
      </c>
    </row>
    <row r="1460" spans="27:27" x14ac:dyDescent="0.3">
      <c r="AA1460" s="338">
        <f t="shared" si="22"/>
        <v>34700</v>
      </c>
    </row>
    <row r="1461" spans="27:27" x14ac:dyDescent="0.3">
      <c r="AA1461" s="338">
        <f t="shared" si="22"/>
        <v>34700</v>
      </c>
    </row>
    <row r="1462" spans="27:27" x14ac:dyDescent="0.3">
      <c r="AA1462" s="338">
        <f t="shared" si="22"/>
        <v>34700</v>
      </c>
    </row>
    <row r="1463" spans="27:27" x14ac:dyDescent="0.3">
      <c r="AA1463" s="338">
        <f t="shared" si="22"/>
        <v>34700</v>
      </c>
    </row>
    <row r="1464" spans="27:27" x14ac:dyDescent="0.3">
      <c r="AA1464" s="338">
        <f t="shared" si="22"/>
        <v>34700</v>
      </c>
    </row>
    <row r="1465" spans="27:27" x14ac:dyDescent="0.3">
      <c r="AA1465" s="338">
        <f t="shared" si="22"/>
        <v>34700</v>
      </c>
    </row>
    <row r="1466" spans="27:27" x14ac:dyDescent="0.3">
      <c r="AA1466" s="338">
        <f t="shared" si="22"/>
        <v>34700</v>
      </c>
    </row>
    <row r="1467" spans="27:27" x14ac:dyDescent="0.3">
      <c r="AA1467" s="338">
        <f t="shared" si="22"/>
        <v>34700</v>
      </c>
    </row>
    <row r="1468" spans="27:27" x14ac:dyDescent="0.3">
      <c r="AA1468" s="338">
        <f t="shared" si="22"/>
        <v>34700</v>
      </c>
    </row>
    <row r="1469" spans="27:27" x14ac:dyDescent="0.3">
      <c r="AA1469" s="338">
        <f t="shared" si="22"/>
        <v>34700</v>
      </c>
    </row>
    <row r="1470" spans="27:27" x14ac:dyDescent="0.3">
      <c r="AA1470" s="338">
        <f t="shared" si="22"/>
        <v>34700</v>
      </c>
    </row>
    <row r="1471" spans="27:27" x14ac:dyDescent="0.3">
      <c r="AA1471" s="338">
        <f t="shared" si="22"/>
        <v>34700</v>
      </c>
    </row>
    <row r="1472" spans="27:27" x14ac:dyDescent="0.3">
      <c r="AA1472" s="338">
        <f t="shared" si="22"/>
        <v>34700</v>
      </c>
    </row>
    <row r="1473" spans="27:27" x14ac:dyDescent="0.3">
      <c r="AA1473" s="338">
        <f t="shared" ref="AA1473:AA1536" si="23">IFERROR(
IF(ISNUMBER(C1473),C1473,DATE(VALUE(RIGHT(C1473,4)),VALUE(MID(SUBSTITUTE(C1473,"/","-"),FIND("-",SUBSTITUTE(C1473,"/","-"))+1,FIND("-",SUBSTITUTE(C1473,"/","-"),FIND("-",SUBSTITUTE(C1473,"/","-"))+1)-FIND("-",SUBSTITUTE(C1473,"/","-"))-1)),VALUE(LEFT(SUBSTITUTE(C1473,"/","-"),FIND("-",SUBSTITUTE(C1473,"/","-"))-1)))),
DATE(1995,1,1)
)</f>
        <v>34700</v>
      </c>
    </row>
    <row r="1474" spans="27:27" x14ac:dyDescent="0.3">
      <c r="AA1474" s="338">
        <f t="shared" si="23"/>
        <v>34700</v>
      </c>
    </row>
    <row r="1475" spans="27:27" x14ac:dyDescent="0.3">
      <c r="AA1475" s="338">
        <f t="shared" si="23"/>
        <v>34700</v>
      </c>
    </row>
    <row r="1476" spans="27:27" x14ac:dyDescent="0.3">
      <c r="AA1476" s="338">
        <f t="shared" si="23"/>
        <v>34700</v>
      </c>
    </row>
    <row r="1477" spans="27:27" x14ac:dyDescent="0.3">
      <c r="AA1477" s="338">
        <f t="shared" si="23"/>
        <v>34700</v>
      </c>
    </row>
    <row r="1478" spans="27:27" x14ac:dyDescent="0.3">
      <c r="AA1478" s="338">
        <f t="shared" si="23"/>
        <v>34700</v>
      </c>
    </row>
    <row r="1479" spans="27:27" x14ac:dyDescent="0.3">
      <c r="AA1479" s="338">
        <f t="shared" si="23"/>
        <v>34700</v>
      </c>
    </row>
    <row r="1480" spans="27:27" x14ac:dyDescent="0.3">
      <c r="AA1480" s="338">
        <f t="shared" si="23"/>
        <v>34700</v>
      </c>
    </row>
    <row r="1481" spans="27:27" x14ac:dyDescent="0.3">
      <c r="AA1481" s="338">
        <f t="shared" si="23"/>
        <v>34700</v>
      </c>
    </row>
    <row r="1482" spans="27:27" x14ac:dyDescent="0.3">
      <c r="AA1482" s="338">
        <f t="shared" si="23"/>
        <v>34700</v>
      </c>
    </row>
    <row r="1483" spans="27:27" x14ac:dyDescent="0.3">
      <c r="AA1483" s="338">
        <f t="shared" si="23"/>
        <v>34700</v>
      </c>
    </row>
    <row r="1484" spans="27:27" x14ac:dyDescent="0.3">
      <c r="AA1484" s="338">
        <f t="shared" si="23"/>
        <v>34700</v>
      </c>
    </row>
    <row r="1485" spans="27:27" x14ac:dyDescent="0.3">
      <c r="AA1485" s="338">
        <f t="shared" si="23"/>
        <v>34700</v>
      </c>
    </row>
    <row r="1486" spans="27:27" x14ac:dyDescent="0.3">
      <c r="AA1486" s="338">
        <f t="shared" si="23"/>
        <v>34700</v>
      </c>
    </row>
    <row r="1487" spans="27:27" x14ac:dyDescent="0.3">
      <c r="AA1487" s="338">
        <f t="shared" si="23"/>
        <v>34700</v>
      </c>
    </row>
    <row r="1488" spans="27:27" x14ac:dyDescent="0.3">
      <c r="AA1488" s="338">
        <f t="shared" si="23"/>
        <v>34700</v>
      </c>
    </row>
    <row r="1489" spans="27:27" x14ac:dyDescent="0.3">
      <c r="AA1489" s="338">
        <f t="shared" si="23"/>
        <v>34700</v>
      </c>
    </row>
    <row r="1490" spans="27:27" x14ac:dyDescent="0.3">
      <c r="AA1490" s="338">
        <f t="shared" si="23"/>
        <v>34700</v>
      </c>
    </row>
    <row r="1491" spans="27:27" x14ac:dyDescent="0.3">
      <c r="AA1491" s="338">
        <f t="shared" si="23"/>
        <v>34700</v>
      </c>
    </row>
    <row r="1492" spans="27:27" x14ac:dyDescent="0.3">
      <c r="AA1492" s="338">
        <f t="shared" si="23"/>
        <v>34700</v>
      </c>
    </row>
    <row r="1493" spans="27:27" x14ac:dyDescent="0.3">
      <c r="AA1493" s="338">
        <f t="shared" si="23"/>
        <v>34700</v>
      </c>
    </row>
    <row r="1494" spans="27:27" x14ac:dyDescent="0.3">
      <c r="AA1494" s="338">
        <f t="shared" si="23"/>
        <v>34700</v>
      </c>
    </row>
    <row r="1495" spans="27:27" x14ac:dyDescent="0.3">
      <c r="AA1495" s="338">
        <f t="shared" si="23"/>
        <v>34700</v>
      </c>
    </row>
    <row r="1496" spans="27:27" x14ac:dyDescent="0.3">
      <c r="AA1496" s="338">
        <f t="shared" si="23"/>
        <v>34700</v>
      </c>
    </row>
    <row r="1497" spans="27:27" x14ac:dyDescent="0.3">
      <c r="AA1497" s="338">
        <f t="shared" si="23"/>
        <v>34700</v>
      </c>
    </row>
    <row r="1498" spans="27:27" x14ac:dyDescent="0.3">
      <c r="AA1498" s="338">
        <f t="shared" si="23"/>
        <v>34700</v>
      </c>
    </row>
    <row r="1499" spans="27:27" x14ac:dyDescent="0.3">
      <c r="AA1499" s="338">
        <f t="shared" si="23"/>
        <v>34700</v>
      </c>
    </row>
    <row r="1500" spans="27:27" x14ac:dyDescent="0.3">
      <c r="AA1500" s="338">
        <f t="shared" si="23"/>
        <v>34700</v>
      </c>
    </row>
    <row r="1501" spans="27:27" x14ac:dyDescent="0.3">
      <c r="AA1501" s="338">
        <f t="shared" si="23"/>
        <v>34700</v>
      </c>
    </row>
    <row r="1502" spans="27:27" x14ac:dyDescent="0.3">
      <c r="AA1502" s="338">
        <f t="shared" si="23"/>
        <v>34700</v>
      </c>
    </row>
    <row r="1503" spans="27:27" x14ac:dyDescent="0.3">
      <c r="AA1503" s="338">
        <f t="shared" si="23"/>
        <v>34700</v>
      </c>
    </row>
    <row r="1504" spans="27:27" x14ac:dyDescent="0.3">
      <c r="AA1504" s="338">
        <f t="shared" si="23"/>
        <v>34700</v>
      </c>
    </row>
    <row r="1505" spans="27:27" x14ac:dyDescent="0.3">
      <c r="AA1505" s="338">
        <f t="shared" si="23"/>
        <v>34700</v>
      </c>
    </row>
    <row r="1506" spans="27:27" x14ac:dyDescent="0.3">
      <c r="AA1506" s="338">
        <f t="shared" si="23"/>
        <v>34700</v>
      </c>
    </row>
    <row r="1507" spans="27:27" x14ac:dyDescent="0.3">
      <c r="AA1507" s="338">
        <f t="shared" si="23"/>
        <v>34700</v>
      </c>
    </row>
    <row r="1508" spans="27:27" x14ac:dyDescent="0.3">
      <c r="AA1508" s="338">
        <f t="shared" si="23"/>
        <v>34700</v>
      </c>
    </row>
    <row r="1509" spans="27:27" x14ac:dyDescent="0.3">
      <c r="AA1509" s="338">
        <f t="shared" si="23"/>
        <v>34700</v>
      </c>
    </row>
    <row r="1510" spans="27:27" x14ac:dyDescent="0.3">
      <c r="AA1510" s="338">
        <f t="shared" si="23"/>
        <v>34700</v>
      </c>
    </row>
    <row r="1511" spans="27:27" x14ac:dyDescent="0.3">
      <c r="AA1511" s="338">
        <f t="shared" si="23"/>
        <v>34700</v>
      </c>
    </row>
    <row r="1512" spans="27:27" x14ac:dyDescent="0.3">
      <c r="AA1512" s="338">
        <f t="shared" si="23"/>
        <v>34700</v>
      </c>
    </row>
    <row r="1513" spans="27:27" x14ac:dyDescent="0.3">
      <c r="AA1513" s="338">
        <f t="shared" si="23"/>
        <v>34700</v>
      </c>
    </row>
    <row r="1514" spans="27:27" x14ac:dyDescent="0.3">
      <c r="AA1514" s="338">
        <f t="shared" si="23"/>
        <v>34700</v>
      </c>
    </row>
    <row r="1515" spans="27:27" x14ac:dyDescent="0.3">
      <c r="AA1515" s="338">
        <f t="shared" si="23"/>
        <v>34700</v>
      </c>
    </row>
    <row r="1516" spans="27:27" x14ac:dyDescent="0.3">
      <c r="AA1516" s="338">
        <f t="shared" si="23"/>
        <v>34700</v>
      </c>
    </row>
    <row r="1517" spans="27:27" x14ac:dyDescent="0.3">
      <c r="AA1517" s="338">
        <f t="shared" si="23"/>
        <v>34700</v>
      </c>
    </row>
    <row r="1518" spans="27:27" x14ac:dyDescent="0.3">
      <c r="AA1518" s="338">
        <f t="shared" si="23"/>
        <v>34700</v>
      </c>
    </row>
    <row r="1519" spans="27:27" x14ac:dyDescent="0.3">
      <c r="AA1519" s="338">
        <f t="shared" si="23"/>
        <v>34700</v>
      </c>
    </row>
    <row r="1520" spans="27:27" x14ac:dyDescent="0.3">
      <c r="AA1520" s="338">
        <f t="shared" si="23"/>
        <v>34700</v>
      </c>
    </row>
    <row r="1521" spans="27:27" x14ac:dyDescent="0.3">
      <c r="AA1521" s="338">
        <f t="shared" si="23"/>
        <v>34700</v>
      </c>
    </row>
    <row r="1522" spans="27:27" x14ac:dyDescent="0.3">
      <c r="AA1522" s="338">
        <f t="shared" si="23"/>
        <v>34700</v>
      </c>
    </row>
    <row r="1523" spans="27:27" x14ac:dyDescent="0.3">
      <c r="AA1523" s="338">
        <f t="shared" si="23"/>
        <v>34700</v>
      </c>
    </row>
    <row r="1524" spans="27:27" x14ac:dyDescent="0.3">
      <c r="AA1524" s="338">
        <f t="shared" si="23"/>
        <v>34700</v>
      </c>
    </row>
    <row r="1525" spans="27:27" x14ac:dyDescent="0.3">
      <c r="AA1525" s="338">
        <f t="shared" si="23"/>
        <v>34700</v>
      </c>
    </row>
    <row r="1526" spans="27:27" x14ac:dyDescent="0.3">
      <c r="AA1526" s="338">
        <f t="shared" si="23"/>
        <v>34700</v>
      </c>
    </row>
    <row r="1527" spans="27:27" x14ac:dyDescent="0.3">
      <c r="AA1527" s="338">
        <f t="shared" si="23"/>
        <v>34700</v>
      </c>
    </row>
    <row r="1528" spans="27:27" x14ac:dyDescent="0.3">
      <c r="AA1528" s="338">
        <f t="shared" si="23"/>
        <v>34700</v>
      </c>
    </row>
    <row r="1529" spans="27:27" x14ac:dyDescent="0.3">
      <c r="AA1529" s="338">
        <f t="shared" si="23"/>
        <v>34700</v>
      </c>
    </row>
    <row r="1530" spans="27:27" x14ac:dyDescent="0.3">
      <c r="AA1530" s="338">
        <f t="shared" si="23"/>
        <v>34700</v>
      </c>
    </row>
    <row r="1531" spans="27:27" x14ac:dyDescent="0.3">
      <c r="AA1531" s="338">
        <f t="shared" si="23"/>
        <v>34700</v>
      </c>
    </row>
    <row r="1532" spans="27:27" x14ac:dyDescent="0.3">
      <c r="AA1532" s="338">
        <f t="shared" si="23"/>
        <v>34700</v>
      </c>
    </row>
    <row r="1533" spans="27:27" x14ac:dyDescent="0.3">
      <c r="AA1533" s="338">
        <f t="shared" si="23"/>
        <v>34700</v>
      </c>
    </row>
    <row r="1534" spans="27:27" x14ac:dyDescent="0.3">
      <c r="AA1534" s="338">
        <f t="shared" si="23"/>
        <v>34700</v>
      </c>
    </row>
    <row r="1535" spans="27:27" x14ac:dyDescent="0.3">
      <c r="AA1535" s="338">
        <f t="shared" si="23"/>
        <v>34700</v>
      </c>
    </row>
    <row r="1536" spans="27:27" x14ac:dyDescent="0.3">
      <c r="AA1536" s="338">
        <f t="shared" si="23"/>
        <v>34700</v>
      </c>
    </row>
    <row r="1537" spans="27:27" x14ac:dyDescent="0.3">
      <c r="AA1537" s="338">
        <f t="shared" ref="AA1537:AA1550" si="24">IFERROR(
IF(ISNUMBER(C1537),C1537,DATE(VALUE(RIGHT(C1537,4)),VALUE(MID(SUBSTITUTE(C1537,"/","-"),FIND("-",SUBSTITUTE(C1537,"/","-"))+1,FIND("-",SUBSTITUTE(C1537,"/","-"),FIND("-",SUBSTITUTE(C1537,"/","-"))+1)-FIND("-",SUBSTITUTE(C1537,"/","-"))-1)),VALUE(LEFT(SUBSTITUTE(C1537,"/","-"),FIND("-",SUBSTITUTE(C1537,"/","-"))-1)))),
DATE(1995,1,1)
)</f>
        <v>34700</v>
      </c>
    </row>
    <row r="1538" spans="27:27" x14ac:dyDescent="0.3">
      <c r="AA1538" s="338">
        <f t="shared" si="24"/>
        <v>34700</v>
      </c>
    </row>
    <row r="1539" spans="27:27" x14ac:dyDescent="0.3">
      <c r="AA1539" s="338">
        <f t="shared" si="24"/>
        <v>34700</v>
      </c>
    </row>
    <row r="1540" spans="27:27" x14ac:dyDescent="0.3">
      <c r="AA1540" s="338">
        <f t="shared" si="24"/>
        <v>34700</v>
      </c>
    </row>
    <row r="1541" spans="27:27" x14ac:dyDescent="0.3">
      <c r="AA1541" s="338">
        <f t="shared" si="24"/>
        <v>34700</v>
      </c>
    </row>
    <row r="1542" spans="27:27" x14ac:dyDescent="0.3">
      <c r="AA1542" s="338">
        <f t="shared" si="24"/>
        <v>34700</v>
      </c>
    </row>
    <row r="1543" spans="27:27" x14ac:dyDescent="0.3">
      <c r="AA1543" s="338">
        <f t="shared" si="24"/>
        <v>34700</v>
      </c>
    </row>
    <row r="1544" spans="27:27" x14ac:dyDescent="0.3">
      <c r="AA1544" s="338">
        <f t="shared" si="24"/>
        <v>34700</v>
      </c>
    </row>
    <row r="1545" spans="27:27" x14ac:dyDescent="0.3">
      <c r="AA1545" s="338">
        <f t="shared" si="24"/>
        <v>34700</v>
      </c>
    </row>
    <row r="1546" spans="27:27" x14ac:dyDescent="0.3">
      <c r="AA1546" s="338">
        <f t="shared" si="24"/>
        <v>34700</v>
      </c>
    </row>
    <row r="1547" spans="27:27" x14ac:dyDescent="0.3">
      <c r="AA1547" s="338">
        <f t="shared" si="24"/>
        <v>34700</v>
      </c>
    </row>
    <row r="1548" spans="27:27" x14ac:dyDescent="0.3">
      <c r="AA1548" s="338">
        <f t="shared" si="24"/>
        <v>34700</v>
      </c>
    </row>
    <row r="1549" spans="27:27" x14ac:dyDescent="0.3">
      <c r="AA1549" s="338">
        <f t="shared" si="24"/>
        <v>34700</v>
      </c>
    </row>
    <row r="1550" spans="27:27" x14ac:dyDescent="0.3">
      <c r="AA1550" s="338">
        <f t="shared" si="24"/>
        <v>34700</v>
      </c>
    </row>
    <row r="1551" spans="27:27" x14ac:dyDescent="0.3">
      <c r="AA1551" s="338"/>
    </row>
    <row r="1552" spans="27:27" x14ac:dyDescent="0.3">
      <c r="AA1552" s="338"/>
    </row>
    <row r="1553" spans="27:27" x14ac:dyDescent="0.3">
      <c r="AA1553" s="338"/>
    </row>
    <row r="1554" spans="27:27" x14ac:dyDescent="0.3">
      <c r="AA1554" s="338"/>
    </row>
    <row r="1555" spans="27:27" x14ac:dyDescent="0.3">
      <c r="AA1555" s="338"/>
    </row>
    <row r="1556" spans="27:27" x14ac:dyDescent="0.3">
      <c r="AA1556" s="338"/>
    </row>
    <row r="1557" spans="27:27" x14ac:dyDescent="0.3">
      <c r="AA1557" s="338"/>
    </row>
    <row r="1558" spans="27:27" x14ac:dyDescent="0.3">
      <c r="AA1558" s="338"/>
    </row>
  </sheetData>
  <mergeCells count="7">
    <mergeCell ref="A7:Y7"/>
    <mergeCell ref="A1:Y1"/>
    <mergeCell ref="A2:Y2"/>
    <mergeCell ref="A3:Y3"/>
    <mergeCell ref="A4:Y4"/>
    <mergeCell ref="A5:Y5"/>
    <mergeCell ref="A6:Y6"/>
  </mergeCells>
  <hyperlinks>
    <hyperlink ref="B9" r:id="rId1" display="../inter_sales/intersales_print_view.php?req_no=2108" xr:uid="{0141B5A5-2EEE-4097-B94A-240718AEB726}"/>
    <hyperlink ref="B10" r:id="rId2" display="../inter_sales/intersales_print_view.php?req_no=2111" xr:uid="{036E83A8-5EFE-4DDF-97CD-83F88787FF67}"/>
    <hyperlink ref="B11" r:id="rId3" display="../inter_sales/intersales_print_view.php?req_no=2219" xr:uid="{8068BD85-0EEC-4ECE-990C-AEBA45664FE9}"/>
    <hyperlink ref="B12" r:id="rId4" display="../inter_sales/intersales_print_view.php?req_no=2282" xr:uid="{206D6913-7431-48C3-B3D9-06BCDA76D705}"/>
    <hyperlink ref="B13" r:id="rId5" display="../inter_sales/intersales_print_view.php?req_no=2108" xr:uid="{977C6685-9553-42A5-B242-769E43156F40}"/>
    <hyperlink ref="B14" r:id="rId6" display="../inter_sales/intersales_print_view.php?req_no=2111" xr:uid="{6D459744-0834-42E1-9716-99A4636BE0FE}"/>
    <hyperlink ref="B15" r:id="rId7" display="../inter_sales/intersales_print_view.php?req_no=2230" xr:uid="{980D3212-F3FF-4D44-AD7C-FB154F377FAF}"/>
    <hyperlink ref="B16" r:id="rId8" display="../inter_sales/intersales_print_view.php?req_no=2108" xr:uid="{BD8B300E-1158-4CF0-B96E-9232CD447A2E}"/>
    <hyperlink ref="B17" r:id="rId9" display="../inter_sales/intersales_print_view.php?req_no=2111" xr:uid="{40C1CBD7-F688-437D-AEB9-8C355BFD8ACF}"/>
    <hyperlink ref="B18" r:id="rId10" display="../inter_sales/intersales_print_view.php?req_no=2219" xr:uid="{DA269399-07C7-46F9-BC89-83F8A48BE936}"/>
    <hyperlink ref="B19" r:id="rId11" display="../inter_sales/intersales_print_view.php?req_no=2282" xr:uid="{B55EE12D-B6C5-4E5B-987C-563B2A178B00}"/>
    <hyperlink ref="B20" r:id="rId12" display="../inter_sales/intersales_print_view.php?req_no=2108" xr:uid="{A80EBEBC-E9A2-4299-A6FB-201FC93F662E}"/>
    <hyperlink ref="B21" r:id="rId13" display="../inter_sales/intersales_print_view.php?req_no=2111" xr:uid="{0DD9DC38-0483-40EE-BB5B-A70766C92AFB}"/>
    <hyperlink ref="B22" r:id="rId14" display="../inter_sales/intersales_print_view.php?req_no=2230" xr:uid="{8EAF669D-8E21-4554-A8E1-AC5AFA136A54}"/>
    <hyperlink ref="B23" r:id="rId15" display="../inter_sales/intersales_print_view.php?req_no=2108" xr:uid="{556753C7-5199-4CED-B5A5-89A1B5320B3E}"/>
    <hyperlink ref="B24" r:id="rId16" display="../inter_sales/intersales_print_view.php?req_no=2111" xr:uid="{1FE42DE2-B154-47C8-AFEB-FCB7304620B5}"/>
    <hyperlink ref="B25" r:id="rId17" display="../inter_sales/intersales_print_view.php?req_no=2230" xr:uid="{E1FE3B1F-E1EE-4F7E-87F7-9CB30AE52905}"/>
    <hyperlink ref="B26" r:id="rId18" display="../inter_sales/intersales_print_view.php?req_no=2108" xr:uid="{8EC913C8-70E7-4408-9865-78AD3C59B17C}"/>
    <hyperlink ref="B27" r:id="rId19" display="../inter_sales/intersales_print_view.php?req_no=2111" xr:uid="{0B0CD827-4F67-429D-92C2-6DF363267ED3}"/>
    <hyperlink ref="B28" r:id="rId20" display="../inter_sales/intersales_print_view.php?req_no=2230" xr:uid="{4C6AADBE-E69C-4C94-829E-9D20ECD8D1D6}"/>
    <hyperlink ref="B29" r:id="rId21" display="../inter_sales/intersales_print_view.php?req_no=2117" xr:uid="{BCF17D74-B158-47CB-8BCA-164C39DE91D3}"/>
    <hyperlink ref="B30" r:id="rId22" display="../inter_sales/intersales_print_view.php?req_no=2206" xr:uid="{39298231-B049-42AF-8E2B-9409BF057C20}"/>
    <hyperlink ref="B31" r:id="rId23" display="../inter_sales/intersales_print_view.php?req_no=2283" xr:uid="{E52D3CBA-7E61-42C5-BF50-673995607A43}"/>
    <hyperlink ref="B32" r:id="rId24" display="../inter_sales/intersales_print_view.php?req_no=2117" xr:uid="{BD31DDB3-0457-4CCB-BBE6-FAFC545B2A0F}"/>
    <hyperlink ref="B33" r:id="rId25" display="../inter_sales/intersales_print_view.php?req_no=2206" xr:uid="{3FC37990-02BE-4C32-996C-525491495C34}"/>
    <hyperlink ref="B34" r:id="rId26" display="../inter_sales/intersales_print_view.php?req_no=2283" xr:uid="{D5724F8C-1598-470A-9FED-F0C2283ACD5F}"/>
    <hyperlink ref="B35" r:id="rId27" display="../inter_sales/intersales_print_view.php?req_no=2206" xr:uid="{B3BDD976-37D0-421D-B407-C727FACB4D33}"/>
    <hyperlink ref="B36" r:id="rId28" display="../inter_sales/intersales_print_view.php?req_no=2206" xr:uid="{099B81D3-F506-41A5-B687-78141D8CCA4C}"/>
    <hyperlink ref="B37" r:id="rId29" display="../inter_sales/intersales_print_view.php?req_no=2283" xr:uid="{87FEB5CA-FB2C-499B-9AC1-8434D7E5E391}"/>
    <hyperlink ref="B38" r:id="rId30" display="../inter_sales/intersales_print_view.php?req_no=2117" xr:uid="{0A28E2E2-DD82-4395-88A4-B5A563244BF7}"/>
    <hyperlink ref="B39" r:id="rId31" display="../inter_sales/intersales_print_view.php?req_no=2206" xr:uid="{A8F2B216-A33D-43E6-BE4D-52041C6B21C3}"/>
    <hyperlink ref="B40" r:id="rId32" display="../inter_sales/intersales_print_view.php?req_no=2117" xr:uid="{1C689FB1-865A-4925-9AA3-0DC6F9040B28}"/>
    <hyperlink ref="B41" r:id="rId33" display="../inter_sales/intersales_print_view.php?req_no=2206" xr:uid="{F8CB5EE1-EB38-48A7-B8AF-DCB9DFEA8EC2}"/>
    <hyperlink ref="B42" r:id="rId34" display="../inter_sales/intersales_print_view.php?req_no=2283" xr:uid="{C0F6B9E7-6955-4C18-91BB-C4C1BDC14AB1}"/>
    <hyperlink ref="B43" r:id="rId35" display="../inter_sales/intersales_print_view.php?req_no=2283" xr:uid="{07FBD96D-6A5A-4BF2-A47D-3B729483C8AA}"/>
    <hyperlink ref="B44" r:id="rId36" display="../inter_sales/intersales_print_view.php?req_no=2117" xr:uid="{F14D7213-5426-435B-AA3E-97D280086956}"/>
    <hyperlink ref="B45" r:id="rId37" display="../inter_sales/intersales_print_view.php?req_no=2206" xr:uid="{E8B90AA0-76D4-4D84-AD83-138694ABA867}"/>
    <hyperlink ref="B46" r:id="rId38" display="../inter_sales/intersales_print_view.php?req_no=2283" xr:uid="{E39FA354-BCE8-446C-92AF-0B2CB16C65C5}"/>
    <hyperlink ref="B47" r:id="rId39" display="../inter_sales/intersales_print_view.php?req_no=2108" xr:uid="{C3937C6C-FF9E-4031-ACE0-3F606001F7A7}"/>
    <hyperlink ref="B48" r:id="rId40" display="../inter_sales/intersales_print_view.php?req_no=2111" xr:uid="{4FEBA02D-332D-45DC-9FF8-350AF6B3544C}"/>
    <hyperlink ref="B49" r:id="rId41" display="../inter_sales/intersales_print_view.php?req_no=2117" xr:uid="{4FA83E5A-FF5C-4D58-B326-024C3DB02BEA}"/>
    <hyperlink ref="B50" r:id="rId42" display="../inter_sales/intersales_print_view.php?req_no=2206" xr:uid="{99532160-C88D-442F-A415-032A13EA0DFD}"/>
    <hyperlink ref="B51" r:id="rId43" display="../inter_sales/intersales_print_view.php?req_no=2219" xr:uid="{3C2D5612-752F-45E8-BDF4-CD08C1F5F329}"/>
    <hyperlink ref="B52" r:id="rId44" display="../inter_sales/intersales_print_view.php?req_no=2282" xr:uid="{82675A36-53A2-4F17-B630-47744DABC4BD}"/>
    <hyperlink ref="B53" r:id="rId45" display="../inter_sales/intersales_print_view.php?req_no=2283" xr:uid="{08A6C1FB-E3EF-4E9E-B12D-0620F6395D22}"/>
    <hyperlink ref="B54" r:id="rId46" display="../inter_sales/intersales_print_view.php?req_no=2117" xr:uid="{7789DD0C-268B-4CB6-99FF-64C413C6F63C}"/>
    <hyperlink ref="B55" r:id="rId47" display="../inter_sales/intersales_print_view.php?req_no=2206" xr:uid="{78CCBB5E-5F09-41EF-89E7-E8CB12062BE8}"/>
    <hyperlink ref="B56" r:id="rId48" display="../inter_sales/intersales_print_view.php?req_no=2283" xr:uid="{5DCD49CD-38DB-43E2-B375-A4766FEA0B23}"/>
    <hyperlink ref="B57" r:id="rId49" display="../inter_sales/intersales_print_view.php?req_no=2206" xr:uid="{D9FA6809-7683-4606-A57E-ED6A33D092C9}"/>
    <hyperlink ref="B58" r:id="rId50" display="../inter_sales/intersales_print_view.php?req_no=2283" xr:uid="{8FF08ECC-352E-460C-A20B-1F02273A9F78}"/>
    <hyperlink ref="B59" r:id="rId51" display="../inter_sales/intersales_print_view.php?req_no=2117" xr:uid="{10AC7046-F58F-4407-981D-345813CA10AA}"/>
    <hyperlink ref="B60" r:id="rId52" display="../inter_sales/intersales_print_view.php?req_no=2206" xr:uid="{54ED6179-7D77-4B22-8CD1-2D633A8EAA3F}"/>
    <hyperlink ref="B61" r:id="rId53" display="../inter_sales/intersales_print_view.php?req_no=2283" xr:uid="{E2DA7F81-8541-4352-A000-3360B9AB08A0}"/>
    <hyperlink ref="B62" r:id="rId54" display="../inter_sales/intersales_print_view.php?req_no=2117" xr:uid="{99154617-E83C-47F5-B657-1F0FC3799BFE}"/>
    <hyperlink ref="B63" r:id="rId55" display="../inter_sales/intersales_print_view.php?req_no=2206" xr:uid="{A5BAD386-2C63-4591-8777-3407265DE6CC}"/>
    <hyperlink ref="B64" r:id="rId56" display="../inter_sales/intersales_print_view.php?req_no=2283" xr:uid="{4D2FDF6C-1254-48BB-887F-43E95DBACC40}"/>
    <hyperlink ref="B65" r:id="rId57" display="../inter_sales/intersales_print_view.php?req_no=2283" xr:uid="{7D71F36E-3FCC-44E0-BE42-CC24C7F6C672}"/>
    <hyperlink ref="B66" r:id="rId58" display="../inter_sales/intersales_print_view.php?req_no=2117" xr:uid="{C7236361-65A9-4530-8BE6-85B36329F342}"/>
    <hyperlink ref="B67" r:id="rId59" display="../inter_sales/intersales_print_view.php?req_no=2206" xr:uid="{3026A738-D739-4124-8797-B0DC45CAA1B9}"/>
    <hyperlink ref="B68" r:id="rId60" display="../inter_sales/intersales_print_view.php?req_no=2283" xr:uid="{8B3217CB-DC20-49F5-844B-E124A23C7C1C}"/>
    <hyperlink ref="B69" r:id="rId61" display="../inter_sales/intersales_print_view.php?req_no=2117" xr:uid="{AFED8841-BC6F-4F75-BF4D-672E70A7D256}"/>
    <hyperlink ref="B70" r:id="rId62" display="../inter_sales/intersales_print_view.php?req_no=2206" xr:uid="{92D18026-861D-44E2-B989-7FB8899B7240}"/>
    <hyperlink ref="B71" r:id="rId63" display="../inter_sales/intersales_print_view.php?req_no=2283" xr:uid="{7A81B9B7-22F6-4E86-A5D7-E63172504134}"/>
    <hyperlink ref="B72" r:id="rId64" display="../inter_sales/intersales_print_view.php?req_no=2117" xr:uid="{6C3F4281-1C47-4BB2-91C8-33C7F9BF177A}"/>
    <hyperlink ref="B73" r:id="rId65" display="../inter_sales/intersales_print_view.php?req_no=2283" xr:uid="{16DC8255-DAFF-48C3-B6B3-06CC74C3DF31}"/>
    <hyperlink ref="B74" r:id="rId66" display="../inter_sales/intersales_print_view.php?req_no=2283" xr:uid="{17390A4B-3961-4649-BEEF-E20A4D63FF77}"/>
    <hyperlink ref="B75" r:id="rId67" display="../inter_sales/intersales_print_view.php?req_no=2283" xr:uid="{440452DC-FD9A-4566-86DC-53F8AEA69B59}"/>
    <hyperlink ref="B76" r:id="rId68" display="../inter_sales/intersales_print_view.php?req_no=2206" xr:uid="{78DC383B-601F-4698-BC92-D7EB30FE876B}"/>
    <hyperlink ref="B77" r:id="rId69" display="../inter_sales/intersales_print_view.php?req_no=2206" xr:uid="{8CCB0BAF-247A-432B-8A83-72DDF7F848E9}"/>
    <hyperlink ref="B78" r:id="rId70" display="../inter_sales/intersales_print_view.php?req_no=2283" xr:uid="{148A8646-B5D1-4949-85E3-F876C39A5E86}"/>
    <hyperlink ref="B79" r:id="rId71" display="../inter_sales/intersales_print_view.php?req_no=2117" xr:uid="{7E7AC446-5274-4E6A-A073-3D4DE8EF6CB2}"/>
    <hyperlink ref="B80" r:id="rId72" display="../inter_sales/intersales_print_view.php?req_no=2206" xr:uid="{D0001BB8-A6C1-4C88-9201-EED011DE7B09}"/>
    <hyperlink ref="B81" r:id="rId73" display="../inter_sales/intersales_print_view.php?req_no=2117" xr:uid="{A72850A7-A944-4060-B232-3E98C589AAF1}"/>
    <hyperlink ref="B82" r:id="rId74" display="../inter_sales/intersales_print_view.php?req_no=2206" xr:uid="{31273580-789B-4D26-BF50-CA4914264613}"/>
    <hyperlink ref="B83" r:id="rId75" display="../inter_sales/intersales_print_view.php?req_no=2283" xr:uid="{45D724FE-A9D6-426C-A506-7C736B870ED2}"/>
    <hyperlink ref="B84" r:id="rId76" display="../inter_sales/intersales_print_view.php?req_no=2117" xr:uid="{3FA6FCE1-6623-4DF1-9080-278EC4A61B1E}"/>
    <hyperlink ref="B85" r:id="rId77" display="../inter_sales/intersales_print_view.php?req_no=2283" xr:uid="{67F4FE56-D339-4DAF-BB4E-0ED45A33F776}"/>
    <hyperlink ref="B86" r:id="rId78" display="../inter_sales/intersales_print_view.php?req_no=2283" xr:uid="{006D01CE-2A08-4D48-9924-741C7D171A15}"/>
    <hyperlink ref="B87" r:id="rId79" display="../inter_sales/intersales_print_view.php?req_no=2283" xr:uid="{6806704E-76E9-4BA5-8026-82C897410EC0}"/>
    <hyperlink ref="B88" r:id="rId80" display="../inter_sales/intersales_print_view.php?req_no=2206" xr:uid="{237353B6-C05E-43C1-BE0F-FF39D05ACC71}"/>
    <hyperlink ref="B89" r:id="rId81" display="../inter_sales/intersales_print_view.php?req_no=2206" xr:uid="{D4A5C297-BF47-4164-A5D0-CEFD1D2FB1AD}"/>
    <hyperlink ref="B90" r:id="rId82" display="../inter_sales/intersales_print_view.php?req_no=2283" xr:uid="{D097024F-69FC-41D4-930B-A8C2295EF665}"/>
    <hyperlink ref="B91" r:id="rId83" display="../inter_sales/intersales_print_view.php?req_no=2117" xr:uid="{2394D2EF-C052-4635-B4AB-7F0B3BE17B03}"/>
    <hyperlink ref="B92" r:id="rId84" display="../inter_sales/intersales_print_view.php?req_no=2206" xr:uid="{582DB346-13FF-4890-8A93-BCBDABC7D1F0}"/>
    <hyperlink ref="B93" r:id="rId85" display="../inter_sales/intersales_print_view.php?req_no=2283" xr:uid="{F607496F-0906-4694-8DE1-CE13947BB69D}"/>
    <hyperlink ref="B94" r:id="rId86" display="../inter_sales/intersales_print_view.php?req_no=2117" xr:uid="{78702954-8433-40FB-8FC0-776D1CA7449B}"/>
    <hyperlink ref="B95" r:id="rId87" display="../inter_sales/intersales_print_view.php?req_no=2206" xr:uid="{E4908E88-EC36-41C2-82CC-44CDA7E24E1E}"/>
    <hyperlink ref="B96" r:id="rId88" display="../inter_sales/intersales_print_view.php?req_no=2283" xr:uid="{7EAB82DC-9776-4E4B-A4DB-F488E5FA4AD7}"/>
    <hyperlink ref="B97" r:id="rId89" display="../inter_sales/intersales_print_view.php?req_no=2117" xr:uid="{B4ADF90C-C689-4BAC-9D21-94EBA082B395}"/>
    <hyperlink ref="B98" r:id="rId90" display="../inter_sales/intersales_print_view.php?req_no=2206" xr:uid="{50FA1FCE-7187-42C5-99F0-9150C3078F07}"/>
    <hyperlink ref="B99" r:id="rId91" display="../inter_sales/intersales_print_view.php?req_no=2283" xr:uid="{5DBD8274-B0DE-4312-BBE9-F517B387AA7A}"/>
    <hyperlink ref="B100" r:id="rId92" display="../inter_sales/intersales_print_view.php?req_no=2117" xr:uid="{494FC8E1-FA90-4FF2-B113-C63C445E1EAC}"/>
    <hyperlink ref="B101" r:id="rId93" display="../inter_sales/intersales_print_view.php?req_no=2206" xr:uid="{3B2412C5-A27E-4225-A05A-AA2B893B0F9B}"/>
    <hyperlink ref="B102" r:id="rId94" display="../inter_sales/intersales_print_view.php?req_no=2283" xr:uid="{D5BCDF4E-E4E1-4ABC-A917-0319CB492FA5}"/>
    <hyperlink ref="B103" r:id="rId95" display="../inter_sales/intersales_print_view.php?req_no=2117" xr:uid="{14D5B5C4-9B56-4B9C-9C1A-CFD5B2FAEF59}"/>
    <hyperlink ref="B104" r:id="rId96" display="../inter_sales/intersales_print_view.php?req_no=2206" xr:uid="{6A362B8A-1029-475C-9E39-861A288CC673}"/>
    <hyperlink ref="B105" r:id="rId97" display="../inter_sales/intersales_print_view.php?req_no=2283" xr:uid="{18265043-9BBE-4504-8DA3-012D6B6B5DA8}"/>
    <hyperlink ref="B106" r:id="rId98" display="../inter_sales/intersales_print_view.php?req_no=2117" xr:uid="{7515D5C7-A9F5-4A3E-A73C-919CDCD7BD1E}"/>
    <hyperlink ref="B107" r:id="rId99" display="../inter_sales/intersales_print_view.php?req_no=2206" xr:uid="{7C890B95-D0DD-4841-82D0-5E3EA5E47E98}"/>
    <hyperlink ref="B108" r:id="rId100" display="../inter_sales/intersales_print_view.php?req_no=2283" xr:uid="{173DC327-685B-41B9-90A7-9A9AF0A51352}"/>
    <hyperlink ref="B109" r:id="rId101" display="../inter_sales/intersales_print_view.php?req_no=2117" xr:uid="{1027AB76-B476-4776-9E88-0AD4A3B50AB4}"/>
    <hyperlink ref="B110" r:id="rId102" display="../inter_sales/intersales_print_view.php?req_no=2206" xr:uid="{AFDCCAA5-85B4-4EE9-9F15-924767D02CBE}"/>
    <hyperlink ref="B111" r:id="rId103" display="../inter_sales/intersales_print_view.php?req_no=2283" xr:uid="{8B7CDBB0-79C1-424A-8FF3-9F013C395A8C}"/>
    <hyperlink ref="B112" r:id="rId104" display="../inter_sales/intersales_print_view.php?req_no=2117" xr:uid="{EB1668AA-1CAB-447E-9219-07941D6F2575}"/>
    <hyperlink ref="B113" r:id="rId105" display="../inter_sales/intersales_print_view.php?req_no=2174" xr:uid="{387DBD86-BB0A-48DB-8B48-048B3B6A3F6C}"/>
    <hyperlink ref="B114" r:id="rId106" display="../inter_sales/intersales_print_view.php?req_no=2283" xr:uid="{D41447BD-DBE4-48A2-ABFA-C642BD46D248}"/>
    <hyperlink ref="B115" r:id="rId107" display="../inter_sales/intersales_print_view.php?req_no=2117" xr:uid="{C3107308-2360-4F62-8ECC-51A9D6063624}"/>
    <hyperlink ref="B116" r:id="rId108" display="../inter_sales/intersales_print_view.php?req_no=2283" xr:uid="{CBF863FC-3DB6-4043-8B05-9458A0D96EE2}"/>
    <hyperlink ref="B117" r:id="rId109" display="../inter_sales/intersales_print_view.php?req_no=2117" xr:uid="{F9B40A8C-98DD-4625-9BC9-8CD422E0C51B}"/>
    <hyperlink ref="B118" r:id="rId110" display="../inter_sales/intersales_print_view.php?req_no=2283" xr:uid="{898BB433-0B58-40C1-ADBD-9F04FE394856}"/>
    <hyperlink ref="B119" r:id="rId111" display="../inter_sales/intersales_print_view.php?req_no=2117" xr:uid="{A8F43BEB-653F-449B-AAA4-1601B500B69B}"/>
    <hyperlink ref="B120" r:id="rId112" display="../inter_sales/intersales_print_view.php?req_no=2283" xr:uid="{1E8A795C-677C-4FBD-A955-EC763E2AFBDA}"/>
    <hyperlink ref="B121" r:id="rId113" display="../inter_sales/intersales_print_view.php?req_no=2117" xr:uid="{65F69FCC-44ED-4395-A6EC-9E8933CD0E89}"/>
    <hyperlink ref="B122" r:id="rId114" display="../inter_sales/intersales_print_view.php?req_no=2283" xr:uid="{A68EEDC6-6329-4C38-9CB3-628B5A4B92CB}"/>
    <hyperlink ref="B123" r:id="rId115" display="../inter_sales/intersales_print_view.php?req_no=2111" xr:uid="{7017F063-0A39-456A-B398-03B1246A1437}"/>
    <hyperlink ref="B124" r:id="rId116" display="../inter_sales/intersales_print_view.php?req_no=2155" xr:uid="{3BBC610F-B7B2-40A7-8C43-059ABF5D579E}"/>
    <hyperlink ref="B125" r:id="rId117" display="../inter_sales/intersales_print_view.php?req_no=2174" xr:uid="{5A20D756-90AF-4FE5-A2DC-E465F49F8CB9}"/>
    <hyperlink ref="B126" r:id="rId118" display="../inter_sales/intersales_print_view.php?req_no=2111" xr:uid="{776E8A09-E5E8-495C-9347-149F4F27C685}"/>
    <hyperlink ref="B127" r:id="rId119" display="../inter_sales/intersales_print_view.php?req_no=2155" xr:uid="{44347E53-A992-46ED-A0B1-A78D4267727F}"/>
    <hyperlink ref="B128" r:id="rId120" display="../inter_sales/intersales_print_view.php?req_no=2111" xr:uid="{DDDE3938-BDDF-456C-B530-58221C17AF28}"/>
    <hyperlink ref="B129" r:id="rId121" display="../inter_sales/intersales_print_view.php?req_no=2155" xr:uid="{7F6C97F6-F162-41D4-91F6-ACE044171104}"/>
    <hyperlink ref="B130" r:id="rId122" display="../inter_sales/intersales_print_view.php?req_no=2111" xr:uid="{36A70ADF-F05E-49CB-A358-4C07CBC563ED}"/>
    <hyperlink ref="B131" r:id="rId123" display="../inter_sales/intersales_print_view.php?req_no=2111" xr:uid="{6675EFA8-FC3F-4D3A-9CED-0DB32021C625}"/>
    <hyperlink ref="B132" r:id="rId124" display="../inter_sales/intersales_print_view.php?req_no=2155" xr:uid="{225B378E-D217-4B12-9947-B46B27FA081E}"/>
    <hyperlink ref="B133" r:id="rId125" display="../inter_sales/intersales_print_view.php?req_no=2111" xr:uid="{3A6BD5D0-8277-4A4F-B45F-80D57D6CBEDA}"/>
    <hyperlink ref="B134" r:id="rId126" display="../inter_sales/intersales_print_view.php?req_no=2155" xr:uid="{1A8BA750-FBB8-4A20-936D-F246328F61BB}"/>
    <hyperlink ref="B135" r:id="rId127" display="../inter_sales/intersales_print_view.php?req_no=2184" xr:uid="{F3188995-E662-49E1-9E22-34E64819529A}"/>
    <hyperlink ref="B136" r:id="rId128" display="../inter_sales/intersales_print_view.php?req_no=2219" xr:uid="{2124E1FD-921D-4D7A-99F1-ED98BA3E2339}"/>
    <hyperlink ref="B137" r:id="rId129" display="../inter_sales/intersales_print_view.php?req_no=2282" xr:uid="{49683CC9-2BF3-41FE-B976-44DBCB839C9D}"/>
    <hyperlink ref="B138" r:id="rId130" display="../inter_sales/intersales_print_view.php?req_no=2184" xr:uid="{F17F5EF7-07DB-4B39-A007-B5A79D603653}"/>
    <hyperlink ref="B139" r:id="rId131" display="../inter_sales/intersales_print_view.php?req_no=2219" xr:uid="{0F7360D1-4EE0-40F5-BC7A-8AE4E604A09D}"/>
    <hyperlink ref="B140" r:id="rId132" display="../inter_sales/intersales_print_view.php?req_no=2282" xr:uid="{48053C4F-B9DE-458D-AAB4-08196F92133F}"/>
    <hyperlink ref="B141" r:id="rId133" display="../inter_sales/intersales_print_view.php?req_no=2184" xr:uid="{0557F3F3-8455-4C23-BE5F-E88BF9C8669C}"/>
    <hyperlink ref="B142" r:id="rId134" display="../inter_sales/intersales_print_view.php?req_no=2219" xr:uid="{2B045C65-EFC0-488D-AC69-9B1D3DC462B7}"/>
    <hyperlink ref="B143" r:id="rId135" display="../inter_sales/intersales_print_view.php?req_no=2282" xr:uid="{77125DCC-4C71-42D1-AF3E-2ADD5F6D0EA9}"/>
    <hyperlink ref="B144" r:id="rId136" display="../inter_sales/intersales_print_view.php?req_no=2219" xr:uid="{FD6381B4-8B04-4DC2-B4EC-280037A1F6E1}"/>
    <hyperlink ref="B145" r:id="rId137" display="../inter_sales/intersales_print_view.php?req_no=2282" xr:uid="{E16FB4E0-3B83-46C1-8A1A-A172560683B5}"/>
    <hyperlink ref="B146" r:id="rId138" display="../inter_sales/intersales_print_view.php?req_no=2219" xr:uid="{20237882-B7A1-4E1C-B1DE-FC0952C4550F}"/>
    <hyperlink ref="B147" r:id="rId139" display="../inter_sales/intersales_print_view.php?req_no=2282" xr:uid="{C5A54756-C4BF-4170-A70D-C07FC09571D1}"/>
    <hyperlink ref="B148" r:id="rId140" display="../inter_sales/intersales_print_view.php?req_no=2170" xr:uid="{BC69E2A1-5F64-425B-A47E-F977EF7F88FE}"/>
    <hyperlink ref="B149" r:id="rId141" display="../inter_sales/intersales_print_view.php?req_no=2219" xr:uid="{9FE0C351-2EB4-4B56-A8C2-1010F5BC01B2}"/>
    <hyperlink ref="B150" r:id="rId142" display="../inter_sales/intersales_print_view.php?req_no=2282" xr:uid="{46007D9F-7776-4AC3-A38B-CBDB832F5BCC}"/>
    <hyperlink ref="B151" r:id="rId143" display="../inter_sales/intersales_print_view.php?req_no=2170" xr:uid="{2BF47EE1-CC49-47FB-BB9A-D3A4080D592A}"/>
    <hyperlink ref="B152" r:id="rId144" display="../inter_sales/intersales_print_view.php?req_no=2219" xr:uid="{F45A64A4-5380-4841-AF7E-10C538C42945}"/>
    <hyperlink ref="B153" r:id="rId145" display="../inter_sales/intersales_print_view.php?req_no=2282" xr:uid="{F3488201-BC8C-4A4E-AF7F-62CE7C0D47DD}"/>
    <hyperlink ref="B154" r:id="rId146" display="../inter_sales/intersales_print_view.php?req_no=2170" xr:uid="{D1CFF6AC-4D90-43D0-A588-115008033E14}"/>
    <hyperlink ref="B155" r:id="rId147" display="../inter_sales/intersales_print_view.php?req_no=2219" xr:uid="{E6ED34DF-7FF7-472D-BC7F-EFCEF061D93A}"/>
    <hyperlink ref="B156" r:id="rId148" display="../inter_sales/intersales_print_view.php?req_no=2282" xr:uid="{E90AB682-EDB7-42B3-8DB8-638373EBDF2E}"/>
    <hyperlink ref="B157" r:id="rId149" display="../inter_sales/intersales_print_view.php?req_no=2219" xr:uid="{2769C8F4-BBBE-4D95-9C4E-D788B8FEE570}"/>
    <hyperlink ref="B158" r:id="rId150" display="../inter_sales/intersales_print_view.php?req_no=2282" xr:uid="{C281041B-8DA3-46DA-9F90-16CB31E218A7}"/>
    <hyperlink ref="B159" r:id="rId151" display="../inter_sales/intersales_print_view.php?req_no=2111" xr:uid="{46113440-2DCA-4703-89FF-FDD61F315C39}"/>
    <hyperlink ref="B160" r:id="rId152" display="../inter_sales/intersales_print_view.php?req_no=2111" xr:uid="{EED22B96-6DCA-4E7A-B51A-63227C489FB6}"/>
    <hyperlink ref="B161" r:id="rId153" display="../inter_sales/intersales_print_view.php?req_no=2184" xr:uid="{C025D4B0-C3A0-4473-BAC3-33E374F0407C}"/>
    <hyperlink ref="B162" r:id="rId154" display="../inter_sales/intersales_print_view.php?req_no=2219" xr:uid="{509A5DD1-E298-4371-A00D-3E989D9104C7}"/>
    <hyperlink ref="B163" r:id="rId155" display="../inter_sales/intersales_print_view.php?req_no=2282" xr:uid="{F4680A68-2BB9-4894-81A7-3BDC72F08B1F}"/>
    <hyperlink ref="B164" r:id="rId156" display="../inter_sales/intersales_print_view.php?req_no=2111" xr:uid="{808DD556-58B5-454C-BAA7-AC28D1BB3A20}"/>
  </hyperlinks>
  <pageMargins left="0.7" right="0.7" top="0.75" bottom="0.75" header="0.3" footer="0.3"/>
  <drawing r:id="rId15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249977111117893"/>
  </sheetPr>
  <dimension ref="A1:AZ1558"/>
  <sheetViews>
    <sheetView workbookViewId="0">
      <pane ySplit="8" topLeftCell="A9" activePane="bottomLeft" state="frozen"/>
      <selection pane="bottomLeft" sqref="A1:Y155"/>
    </sheetView>
  </sheetViews>
  <sheetFormatPr defaultRowHeight="14.4" x14ac:dyDescent="0.3"/>
  <cols>
    <col min="1" max="1" width="9.109375" style="369" customWidth="1"/>
    <col min="27" max="28" width="9.44140625" bestFit="1" customWidth="1"/>
  </cols>
  <sheetData>
    <row r="1" spans="1:52" ht="45" customHeight="1" x14ac:dyDescent="0.3">
      <c r="A1" s="400" t="s">
        <v>782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2"/>
      <c r="AA1" s="338">
        <f t="shared" ref="AA1:AA64" si="0">IFERROR(
IF(ISNUMBER(C1),C1,DATE(VALUE(RIGHT(C1,4)),VALUE(MID(SUBSTITUTE(C1,"/","-"),FIND("-",SUBSTITUTE(C1,"/","-"))+1,FIND("-",SUBSTITUTE(C1,"/","-"),FIND("-",SUBSTITUTE(C1,"/","-"))+1)-FIND("-",SUBSTITUTE(C1,"/","-"))-1)),VALUE(LEFT(SUBSTITUTE(C1,"/","-"),FIND("-",SUBSTITUTE(C1,"/","-"))-1)))),
DATE(1995,1,1)
)</f>
        <v>34700</v>
      </c>
      <c r="AQ1" s="370"/>
      <c r="AR1" s="370"/>
      <c r="AS1" s="370"/>
      <c r="AT1" s="370"/>
      <c r="AU1" s="370"/>
      <c r="AV1" s="370"/>
      <c r="AW1" s="371"/>
      <c r="AX1" s="371"/>
      <c r="AY1" s="371"/>
      <c r="AZ1" s="371"/>
    </row>
    <row r="2" spans="1:52" x14ac:dyDescent="0.3">
      <c r="A2" s="391"/>
      <c r="B2" s="392"/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392"/>
      <c r="O2" s="392"/>
      <c r="P2" s="392"/>
      <c r="Q2" s="392"/>
      <c r="R2" s="392"/>
      <c r="S2" s="392"/>
      <c r="T2" s="392"/>
      <c r="U2" s="392"/>
      <c r="V2" s="392"/>
      <c r="W2" s="392"/>
      <c r="X2" s="392"/>
      <c r="Y2" s="393"/>
      <c r="AA2" s="338">
        <f t="shared" si="0"/>
        <v>34700</v>
      </c>
      <c r="AQ2" s="372"/>
      <c r="AR2" s="372"/>
      <c r="AS2" s="372"/>
      <c r="AT2" s="372"/>
      <c r="AU2" s="372"/>
      <c r="AV2" s="372"/>
      <c r="AW2" s="372"/>
      <c r="AX2" s="372"/>
      <c r="AY2" s="372"/>
      <c r="AZ2" s="372"/>
    </row>
    <row r="3" spans="1:52" ht="75" customHeight="1" x14ac:dyDescent="0.3">
      <c r="A3" s="394" t="s">
        <v>783</v>
      </c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6"/>
      <c r="AA3" s="338">
        <f t="shared" si="0"/>
        <v>34700</v>
      </c>
      <c r="AQ3" s="372"/>
      <c r="AR3" s="372"/>
      <c r="AS3" s="372"/>
      <c r="AT3" s="372"/>
      <c r="AU3" s="372"/>
      <c r="AV3" s="372"/>
      <c r="AW3" s="372"/>
      <c r="AX3" s="372"/>
      <c r="AY3" s="372"/>
      <c r="AZ3" s="372"/>
    </row>
    <row r="4" spans="1:52" ht="30.75" customHeight="1" x14ac:dyDescent="0.3">
      <c r="A4" s="391"/>
      <c r="B4" s="392"/>
      <c r="C4" s="392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2"/>
      <c r="O4" s="392"/>
      <c r="P4" s="392"/>
      <c r="Q4" s="392"/>
      <c r="R4" s="392"/>
      <c r="S4" s="392"/>
      <c r="T4" s="392"/>
      <c r="U4" s="392"/>
      <c r="V4" s="392"/>
      <c r="W4" s="392"/>
      <c r="X4" s="392"/>
      <c r="Y4" s="393"/>
      <c r="AA4" s="338">
        <f t="shared" si="0"/>
        <v>34700</v>
      </c>
      <c r="AQ4" s="372"/>
      <c r="AR4" s="372"/>
      <c r="AS4" s="372"/>
      <c r="AT4" s="372"/>
      <c r="AU4" s="372"/>
      <c r="AV4" s="372"/>
      <c r="AW4" s="372"/>
      <c r="AX4" s="372"/>
      <c r="AY4" s="372"/>
      <c r="AZ4" s="372"/>
    </row>
    <row r="5" spans="1:52" ht="75" customHeight="1" x14ac:dyDescent="0.3">
      <c r="A5" s="394" t="s">
        <v>786</v>
      </c>
      <c r="B5" s="395"/>
      <c r="C5" s="395"/>
      <c r="D5" s="395"/>
      <c r="E5" s="395"/>
      <c r="F5" s="395"/>
      <c r="G5" s="395"/>
      <c r="H5" s="395"/>
      <c r="I5" s="395"/>
      <c r="J5" s="395"/>
      <c r="K5" s="395"/>
      <c r="L5" s="395"/>
      <c r="M5" s="395"/>
      <c r="N5" s="395"/>
      <c r="O5" s="395"/>
      <c r="P5" s="395"/>
      <c r="Q5" s="395"/>
      <c r="R5" s="395"/>
      <c r="S5" s="395"/>
      <c r="T5" s="395"/>
      <c r="U5" s="395"/>
      <c r="V5" s="395"/>
      <c r="W5" s="395"/>
      <c r="X5" s="395"/>
      <c r="Y5" s="396"/>
      <c r="AA5" s="338">
        <f t="shared" si="0"/>
        <v>34700</v>
      </c>
      <c r="AQ5" s="372"/>
      <c r="AR5" s="372"/>
      <c r="AS5" s="372"/>
      <c r="AT5" s="372"/>
      <c r="AU5" s="372"/>
      <c r="AV5" s="372"/>
      <c r="AW5" s="372"/>
      <c r="AX5" s="372"/>
      <c r="AY5" s="372"/>
      <c r="AZ5" s="372"/>
    </row>
    <row r="6" spans="1:52" ht="23.25" customHeight="1" x14ac:dyDescent="0.3">
      <c r="A6" s="391"/>
      <c r="B6" s="392"/>
      <c r="C6" s="392"/>
      <c r="D6" s="392"/>
      <c r="E6" s="392"/>
      <c r="F6" s="392"/>
      <c r="G6" s="392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2"/>
      <c r="S6" s="392"/>
      <c r="T6" s="392"/>
      <c r="U6" s="392"/>
      <c r="V6" s="392"/>
      <c r="W6" s="392"/>
      <c r="X6" s="392"/>
      <c r="Y6" s="393"/>
      <c r="AA6" s="338">
        <f t="shared" si="0"/>
        <v>34700</v>
      </c>
      <c r="AQ6" s="372"/>
      <c r="AR6" s="372"/>
      <c r="AS6" s="372"/>
      <c r="AT6" s="372"/>
      <c r="AU6" s="372"/>
      <c r="AV6" s="372"/>
      <c r="AW6" s="372"/>
      <c r="AX6" s="372"/>
      <c r="AY6" s="372"/>
      <c r="AZ6" s="372"/>
    </row>
    <row r="7" spans="1:52" ht="15" customHeight="1" x14ac:dyDescent="0.3">
      <c r="A7" s="391" t="s">
        <v>785</v>
      </c>
      <c r="B7" s="392"/>
      <c r="C7" s="392"/>
      <c r="D7" s="392"/>
      <c r="E7" s="392"/>
      <c r="F7" s="392"/>
      <c r="G7" s="392"/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3"/>
      <c r="AA7" s="338">
        <f t="shared" si="0"/>
        <v>34700</v>
      </c>
      <c r="AQ7" s="372"/>
      <c r="AR7" s="372"/>
      <c r="AS7" s="372"/>
      <c r="AT7" s="372"/>
      <c r="AU7" s="372"/>
      <c r="AV7" s="372"/>
      <c r="AW7" s="372"/>
      <c r="AX7" s="372"/>
      <c r="AY7" s="372"/>
      <c r="AZ7" s="372"/>
    </row>
    <row r="8" spans="1:52" ht="23.25" customHeight="1" x14ac:dyDescent="0.3">
      <c r="A8" s="356" t="s">
        <v>0</v>
      </c>
      <c r="B8" s="356" t="s">
        <v>616</v>
      </c>
      <c r="C8" s="356" t="s">
        <v>617</v>
      </c>
      <c r="D8" s="356" t="s">
        <v>618</v>
      </c>
      <c r="E8" s="356" t="s">
        <v>619</v>
      </c>
      <c r="F8" s="356" t="s">
        <v>620</v>
      </c>
      <c r="G8" s="356" t="s">
        <v>5</v>
      </c>
      <c r="H8" s="356" t="s">
        <v>7</v>
      </c>
      <c r="I8" s="356" t="s">
        <v>621</v>
      </c>
      <c r="J8" s="356" t="s">
        <v>622</v>
      </c>
      <c r="K8" s="356" t="s">
        <v>623</v>
      </c>
      <c r="L8" s="356" t="s">
        <v>624</v>
      </c>
      <c r="M8" s="356" t="s">
        <v>625</v>
      </c>
      <c r="N8" s="356" t="s">
        <v>626</v>
      </c>
      <c r="O8" s="356" t="s">
        <v>627</v>
      </c>
      <c r="P8" s="356" t="s">
        <v>628</v>
      </c>
      <c r="Q8" s="356" t="s">
        <v>629</v>
      </c>
      <c r="R8" s="356" t="s">
        <v>630</v>
      </c>
      <c r="Y8" s="286"/>
      <c r="AA8" s="338">
        <f t="shared" si="0"/>
        <v>34700</v>
      </c>
      <c r="AQ8" s="372"/>
      <c r="AR8" s="372"/>
      <c r="AS8" s="372"/>
      <c r="AT8" s="372"/>
      <c r="AU8" s="372"/>
      <c r="AV8" s="372"/>
      <c r="AW8" s="372"/>
      <c r="AX8" s="372"/>
      <c r="AY8" s="372"/>
      <c r="AZ8" s="372"/>
    </row>
    <row r="9" spans="1:52" ht="75" customHeight="1" x14ac:dyDescent="0.3">
      <c r="A9" s="357">
        <v>1</v>
      </c>
      <c r="B9" s="380">
        <v>2118</v>
      </c>
      <c r="C9" s="355" t="s">
        <v>634</v>
      </c>
      <c r="D9" s="357"/>
      <c r="E9" s="355" t="s">
        <v>11</v>
      </c>
      <c r="F9" s="355" t="s">
        <v>640</v>
      </c>
      <c r="G9" s="355">
        <v>3101010016</v>
      </c>
      <c r="H9" s="355" t="s">
        <v>30</v>
      </c>
      <c r="I9" s="355" t="s">
        <v>14</v>
      </c>
      <c r="J9" s="355">
        <v>14000</v>
      </c>
      <c r="K9" s="358">
        <v>26874576.609999999</v>
      </c>
      <c r="L9" s="281"/>
      <c r="M9" s="355">
        <v>0</v>
      </c>
      <c r="N9" s="355">
        <v>14000</v>
      </c>
      <c r="O9" s="358">
        <v>26874576.609999999</v>
      </c>
      <c r="P9" s="355" t="s">
        <v>633</v>
      </c>
      <c r="Q9" s="355">
        <v>144</v>
      </c>
      <c r="R9" s="359">
        <v>46196.359826388885</v>
      </c>
      <c r="Y9" s="286"/>
      <c r="AA9" s="338">
        <f t="shared" si="0"/>
        <v>46194</v>
      </c>
      <c r="AQ9" s="372"/>
      <c r="AR9" s="372"/>
      <c r="AS9" s="372"/>
      <c r="AT9" s="372"/>
      <c r="AU9" s="372"/>
      <c r="AV9" s="372"/>
      <c r="AW9" s="372"/>
      <c r="AX9" s="372"/>
      <c r="AY9" s="372"/>
      <c r="AZ9" s="372"/>
    </row>
    <row r="10" spans="1:52" ht="15.75" customHeight="1" x14ac:dyDescent="0.3">
      <c r="A10" s="357">
        <v>2</v>
      </c>
      <c r="B10" s="380">
        <v>2209</v>
      </c>
      <c r="C10" s="355" t="s">
        <v>638</v>
      </c>
      <c r="D10" s="357"/>
      <c r="E10" s="355" t="s">
        <v>11</v>
      </c>
      <c r="F10" s="355" t="s">
        <v>640</v>
      </c>
      <c r="G10" s="355">
        <v>3101010016</v>
      </c>
      <c r="H10" s="355" t="s">
        <v>30</v>
      </c>
      <c r="I10" s="355" t="s">
        <v>14</v>
      </c>
      <c r="J10" s="355">
        <v>11000</v>
      </c>
      <c r="K10" s="358">
        <v>21115738.77</v>
      </c>
      <c r="L10" s="281"/>
      <c r="M10" s="355">
        <v>0</v>
      </c>
      <c r="N10" s="355">
        <v>11000</v>
      </c>
      <c r="O10" s="358">
        <v>21115738.77</v>
      </c>
      <c r="P10" s="355" t="s">
        <v>633</v>
      </c>
      <c r="Q10" s="355">
        <v>144</v>
      </c>
      <c r="R10" s="359">
        <v>46228.356990740744</v>
      </c>
      <c r="Y10" s="286"/>
      <c r="AA10" s="338">
        <f t="shared" si="0"/>
        <v>46225</v>
      </c>
      <c r="AQ10" s="372"/>
      <c r="AR10" s="372"/>
      <c r="AS10" s="372"/>
      <c r="AT10" s="372"/>
      <c r="AU10" s="372"/>
      <c r="AV10" s="372"/>
      <c r="AW10" s="372"/>
      <c r="AX10" s="372"/>
      <c r="AY10" s="372"/>
      <c r="AZ10" s="372"/>
    </row>
    <row r="11" spans="1:52" ht="75" customHeight="1" x14ac:dyDescent="0.3">
      <c r="A11" s="357">
        <v>3</v>
      </c>
      <c r="B11" s="380">
        <v>2288</v>
      </c>
      <c r="C11" s="355" t="s">
        <v>641</v>
      </c>
      <c r="D11" s="357"/>
      <c r="E11" s="355" t="s">
        <v>11</v>
      </c>
      <c r="F11" s="355" t="s">
        <v>640</v>
      </c>
      <c r="G11" s="355">
        <v>3101010016</v>
      </c>
      <c r="H11" s="355" t="s">
        <v>30</v>
      </c>
      <c r="I11" s="355" t="s">
        <v>14</v>
      </c>
      <c r="J11" s="355">
        <v>8000</v>
      </c>
      <c r="K11" s="358">
        <v>15356900.92</v>
      </c>
      <c r="L11" s="281"/>
      <c r="M11" s="355">
        <v>0</v>
      </c>
      <c r="N11" s="355">
        <v>8000</v>
      </c>
      <c r="O11" s="358">
        <v>15356900.92</v>
      </c>
      <c r="P11" s="355" t="s">
        <v>637</v>
      </c>
      <c r="Q11" s="355">
        <v>144</v>
      </c>
      <c r="R11" s="359">
        <v>46260.691643518519</v>
      </c>
      <c r="Y11" s="286"/>
      <c r="AA11" s="338">
        <f t="shared" si="0"/>
        <v>46256</v>
      </c>
      <c r="AB11" s="338"/>
      <c r="AQ11" s="372"/>
      <c r="AR11" s="372"/>
      <c r="AS11" s="372"/>
      <c r="AT11" s="372"/>
      <c r="AU11" s="372"/>
      <c r="AV11" s="372"/>
      <c r="AW11" s="372"/>
      <c r="AX11" s="372"/>
      <c r="AY11" s="372"/>
      <c r="AZ11" s="372"/>
    </row>
    <row r="12" spans="1:52" ht="75" customHeight="1" x14ac:dyDescent="0.3">
      <c r="A12" s="357">
        <v>4</v>
      </c>
      <c r="B12" s="380">
        <v>2209</v>
      </c>
      <c r="C12" s="355" t="s">
        <v>638</v>
      </c>
      <c r="D12" s="357"/>
      <c r="E12" s="355" t="s">
        <v>11</v>
      </c>
      <c r="F12" s="355" t="s">
        <v>640</v>
      </c>
      <c r="G12" s="355">
        <v>3101010017</v>
      </c>
      <c r="H12" s="355" t="s">
        <v>31</v>
      </c>
      <c r="I12" s="355" t="s">
        <v>14</v>
      </c>
      <c r="J12" s="355">
        <v>1500</v>
      </c>
      <c r="K12" s="358">
        <v>3046328.54</v>
      </c>
      <c r="L12" s="281"/>
      <c r="M12" s="355">
        <v>0</v>
      </c>
      <c r="N12" s="355">
        <v>1500</v>
      </c>
      <c r="O12" s="358">
        <v>3046328.54</v>
      </c>
      <c r="P12" s="355" t="s">
        <v>633</v>
      </c>
      <c r="Q12" s="355">
        <v>144</v>
      </c>
      <c r="R12" s="359">
        <v>46228.356990740744</v>
      </c>
      <c r="Y12" s="286"/>
      <c r="AA12" s="338">
        <f t="shared" si="0"/>
        <v>46225</v>
      </c>
      <c r="AB12" s="338"/>
      <c r="AQ12" s="372"/>
      <c r="AR12" s="372"/>
      <c r="AS12" s="372"/>
      <c r="AT12" s="372"/>
      <c r="AU12" s="372"/>
      <c r="AV12" s="372"/>
      <c r="AW12" s="372"/>
      <c r="AX12" s="372"/>
      <c r="AY12" s="372"/>
      <c r="AZ12" s="372"/>
    </row>
    <row r="13" spans="1:52" ht="75" customHeight="1" x14ac:dyDescent="0.3">
      <c r="A13" s="357">
        <v>5</v>
      </c>
      <c r="B13" s="380">
        <v>2288</v>
      </c>
      <c r="C13" s="355" t="s">
        <v>641</v>
      </c>
      <c r="D13" s="357"/>
      <c r="E13" s="355" t="s">
        <v>11</v>
      </c>
      <c r="F13" s="355" t="s">
        <v>640</v>
      </c>
      <c r="G13" s="355">
        <v>3101010017</v>
      </c>
      <c r="H13" s="355" t="s">
        <v>31</v>
      </c>
      <c r="I13" s="355" t="s">
        <v>14</v>
      </c>
      <c r="J13" s="355">
        <v>3000</v>
      </c>
      <c r="K13" s="358">
        <v>6092657.0800000001</v>
      </c>
      <c r="L13" s="281"/>
      <c r="M13" s="355">
        <v>0</v>
      </c>
      <c r="N13" s="355">
        <v>3000</v>
      </c>
      <c r="O13" s="358">
        <v>6092657.0800000001</v>
      </c>
      <c r="P13" s="355" t="s">
        <v>637</v>
      </c>
      <c r="Q13" s="355">
        <v>144</v>
      </c>
      <c r="R13" s="359">
        <v>46260.691643518519</v>
      </c>
      <c r="Y13" s="286"/>
      <c r="AA13" s="338">
        <f t="shared" si="0"/>
        <v>46256</v>
      </c>
      <c r="AB13" s="338"/>
      <c r="AQ13" s="372"/>
      <c r="AR13" s="372"/>
      <c r="AS13" s="372"/>
      <c r="AT13" s="372"/>
      <c r="AU13" s="372"/>
      <c r="AV13" s="372"/>
      <c r="AW13" s="372"/>
      <c r="AX13" s="372"/>
      <c r="AY13" s="372"/>
      <c r="AZ13" s="372"/>
    </row>
    <row r="14" spans="1:52" ht="75" customHeight="1" x14ac:dyDescent="0.3">
      <c r="A14" s="357">
        <v>6</v>
      </c>
      <c r="B14" s="380">
        <v>2118</v>
      </c>
      <c r="C14" s="355" t="s">
        <v>634</v>
      </c>
      <c r="D14" s="357"/>
      <c r="E14" s="355" t="s">
        <v>11</v>
      </c>
      <c r="F14" s="355" t="s">
        <v>640</v>
      </c>
      <c r="G14" s="355">
        <v>3101010018</v>
      </c>
      <c r="H14" s="355" t="s">
        <v>32</v>
      </c>
      <c r="I14" s="355" t="s">
        <v>14</v>
      </c>
      <c r="J14" s="355">
        <v>2000</v>
      </c>
      <c r="K14" s="358">
        <v>2486567.17</v>
      </c>
      <c r="L14" s="281"/>
      <c r="M14" s="355">
        <v>0</v>
      </c>
      <c r="N14" s="355">
        <v>2000</v>
      </c>
      <c r="O14" s="358">
        <v>2486567.17</v>
      </c>
      <c r="P14" s="355" t="s">
        <v>633</v>
      </c>
      <c r="Q14" s="355">
        <v>144</v>
      </c>
      <c r="R14" s="359">
        <v>46196.359826388885</v>
      </c>
      <c r="Y14" s="286"/>
      <c r="AA14" s="338">
        <f t="shared" si="0"/>
        <v>46194</v>
      </c>
      <c r="AB14" s="338"/>
      <c r="AQ14" s="372"/>
      <c r="AR14" s="372"/>
      <c r="AS14" s="372"/>
      <c r="AT14" s="372"/>
      <c r="AU14" s="372"/>
      <c r="AV14" s="372"/>
      <c r="AW14" s="372"/>
      <c r="AX14" s="372"/>
      <c r="AY14" s="372"/>
      <c r="AZ14" s="372"/>
    </row>
    <row r="15" spans="1:52" ht="75" customHeight="1" x14ac:dyDescent="0.3">
      <c r="A15" s="357">
        <v>7</v>
      </c>
      <c r="B15" s="380">
        <v>2209</v>
      </c>
      <c r="C15" s="355" t="s">
        <v>638</v>
      </c>
      <c r="D15" s="357"/>
      <c r="E15" s="355" t="s">
        <v>11</v>
      </c>
      <c r="F15" s="355" t="s">
        <v>640</v>
      </c>
      <c r="G15" s="355">
        <v>3101010018</v>
      </c>
      <c r="H15" s="355" t="s">
        <v>32</v>
      </c>
      <c r="I15" s="355" t="s">
        <v>14</v>
      </c>
      <c r="J15" s="355">
        <v>2500</v>
      </c>
      <c r="K15" s="358">
        <v>3108208.97</v>
      </c>
      <c r="L15" s="281"/>
      <c r="M15" s="355">
        <v>0</v>
      </c>
      <c r="N15" s="355">
        <v>2500</v>
      </c>
      <c r="O15" s="358">
        <v>3108208.97</v>
      </c>
      <c r="P15" s="355" t="s">
        <v>633</v>
      </c>
      <c r="Q15" s="355">
        <v>144</v>
      </c>
      <c r="R15" s="359">
        <v>46228.356990740744</v>
      </c>
      <c r="Y15" s="286"/>
      <c r="AA15" s="338">
        <f t="shared" si="0"/>
        <v>46225</v>
      </c>
      <c r="AB15" s="338"/>
      <c r="AQ15" s="372"/>
      <c r="AR15" s="372"/>
      <c r="AS15" s="372"/>
      <c r="AT15" s="372"/>
      <c r="AU15" s="372"/>
      <c r="AV15" s="372"/>
      <c r="AW15" s="372"/>
      <c r="AX15" s="372"/>
      <c r="AY15" s="372"/>
      <c r="AZ15" s="372"/>
    </row>
    <row r="16" spans="1:52" ht="75" customHeight="1" x14ac:dyDescent="0.3">
      <c r="A16" s="357">
        <v>8</v>
      </c>
      <c r="B16" s="380">
        <v>2288</v>
      </c>
      <c r="C16" s="355" t="s">
        <v>641</v>
      </c>
      <c r="D16" s="357"/>
      <c r="E16" s="355" t="s">
        <v>11</v>
      </c>
      <c r="F16" s="355" t="s">
        <v>640</v>
      </c>
      <c r="G16" s="355">
        <v>3101010018</v>
      </c>
      <c r="H16" s="355" t="s">
        <v>32</v>
      </c>
      <c r="I16" s="355" t="s">
        <v>14</v>
      </c>
      <c r="J16" s="355">
        <v>3000</v>
      </c>
      <c r="K16" s="358">
        <v>3729850.76</v>
      </c>
      <c r="L16" s="281"/>
      <c r="M16" s="355">
        <v>0</v>
      </c>
      <c r="N16" s="355">
        <v>3000</v>
      </c>
      <c r="O16" s="358">
        <v>3729850.76</v>
      </c>
      <c r="P16" s="355" t="s">
        <v>637</v>
      </c>
      <c r="Q16" s="355">
        <v>144</v>
      </c>
      <c r="R16" s="359">
        <v>46260.691643518519</v>
      </c>
      <c r="Y16" s="286"/>
      <c r="AA16" s="338">
        <f t="shared" si="0"/>
        <v>46256</v>
      </c>
      <c r="AB16" s="338"/>
      <c r="AQ16" s="372"/>
      <c r="AR16" s="372"/>
      <c r="AS16" s="372"/>
      <c r="AT16" s="372"/>
      <c r="AU16" s="372"/>
      <c r="AV16" s="372"/>
      <c r="AW16" s="372"/>
      <c r="AX16" s="372"/>
      <c r="AY16" s="372"/>
      <c r="AZ16" s="372"/>
    </row>
    <row r="17" spans="1:52" ht="60" customHeight="1" x14ac:dyDescent="0.3">
      <c r="A17" s="357">
        <v>9</v>
      </c>
      <c r="B17" s="380">
        <v>2116</v>
      </c>
      <c r="C17" s="355" t="s">
        <v>634</v>
      </c>
      <c r="D17" s="360">
        <v>1526714869</v>
      </c>
      <c r="E17" s="355" t="s">
        <v>11</v>
      </c>
      <c r="F17" s="355" t="s">
        <v>640</v>
      </c>
      <c r="G17" s="355">
        <v>3101010070</v>
      </c>
      <c r="H17" s="355" t="s">
        <v>83</v>
      </c>
      <c r="I17" s="355" t="s">
        <v>14</v>
      </c>
      <c r="J17" s="355">
        <v>24</v>
      </c>
      <c r="K17" s="358">
        <v>8639.5499999999993</v>
      </c>
      <c r="L17" s="355">
        <v>18.8</v>
      </c>
      <c r="M17" s="358">
        <v>6767.65</v>
      </c>
      <c r="N17" s="355">
        <v>5.2</v>
      </c>
      <c r="O17" s="358">
        <v>1871.9</v>
      </c>
      <c r="P17" s="355" t="s">
        <v>633</v>
      </c>
      <c r="Q17" s="355">
        <v>144</v>
      </c>
      <c r="R17" s="359">
        <v>46196.359456018516</v>
      </c>
      <c r="Y17" s="286"/>
      <c r="AA17" s="338">
        <f t="shared" si="0"/>
        <v>46194</v>
      </c>
      <c r="AB17" s="338"/>
      <c r="AQ17" s="372"/>
      <c r="AR17" s="372"/>
      <c r="AS17" s="372"/>
      <c r="AT17" s="372"/>
      <c r="AU17" s="372"/>
      <c r="AV17" s="372"/>
      <c r="AW17" s="372"/>
      <c r="AX17" s="372"/>
      <c r="AY17" s="372"/>
      <c r="AZ17" s="372"/>
    </row>
    <row r="18" spans="1:52" ht="60" customHeight="1" x14ac:dyDescent="0.3">
      <c r="A18" s="357">
        <v>10</v>
      </c>
      <c r="B18" s="380">
        <v>2203</v>
      </c>
      <c r="C18" s="355" t="s">
        <v>638</v>
      </c>
      <c r="D18" s="355">
        <v>15788</v>
      </c>
      <c r="E18" s="355" t="s">
        <v>11</v>
      </c>
      <c r="F18" s="355" t="s">
        <v>640</v>
      </c>
      <c r="G18" s="355">
        <v>3101010070</v>
      </c>
      <c r="H18" s="355" t="s">
        <v>83</v>
      </c>
      <c r="I18" s="355" t="s">
        <v>14</v>
      </c>
      <c r="J18" s="355">
        <v>22</v>
      </c>
      <c r="K18" s="358">
        <v>7919.59</v>
      </c>
      <c r="L18" s="355">
        <v>10.4</v>
      </c>
      <c r="M18" s="358">
        <v>3743.8</v>
      </c>
      <c r="N18" s="355">
        <v>11.6</v>
      </c>
      <c r="O18" s="358">
        <v>4175.78</v>
      </c>
      <c r="P18" s="355" t="s">
        <v>633</v>
      </c>
      <c r="Q18" s="355">
        <v>144</v>
      </c>
      <c r="R18" s="359">
        <v>46228.355081018519</v>
      </c>
      <c r="Y18" s="286"/>
      <c r="AA18" s="338">
        <f t="shared" si="0"/>
        <v>46225</v>
      </c>
      <c r="AB18" s="338"/>
      <c r="AQ18" s="372"/>
      <c r="AR18" s="372"/>
      <c r="AS18" s="372"/>
      <c r="AT18" s="372"/>
      <c r="AU18" s="372"/>
      <c r="AV18" s="372"/>
      <c r="AW18" s="372"/>
      <c r="AX18" s="372"/>
      <c r="AY18" s="372"/>
      <c r="AZ18" s="372"/>
    </row>
    <row r="19" spans="1:52" ht="60" customHeight="1" x14ac:dyDescent="0.3">
      <c r="A19" s="357">
        <v>11</v>
      </c>
      <c r="B19" s="380">
        <v>2287</v>
      </c>
      <c r="C19" s="355" t="s">
        <v>641</v>
      </c>
      <c r="D19" s="357"/>
      <c r="E19" s="355" t="s">
        <v>11</v>
      </c>
      <c r="F19" s="355" t="s">
        <v>640</v>
      </c>
      <c r="G19" s="355">
        <v>3101010070</v>
      </c>
      <c r="H19" s="355" t="s">
        <v>83</v>
      </c>
      <c r="I19" s="355" t="s">
        <v>14</v>
      </c>
      <c r="J19" s="355">
        <v>15</v>
      </c>
      <c r="K19" s="358">
        <v>5399.72</v>
      </c>
      <c r="L19" s="281"/>
      <c r="M19" s="355">
        <v>0</v>
      </c>
      <c r="N19" s="355">
        <v>15</v>
      </c>
      <c r="O19" s="358">
        <v>5399.72</v>
      </c>
      <c r="P19" s="355" t="s">
        <v>637</v>
      </c>
      <c r="Q19" s="355">
        <v>144</v>
      </c>
      <c r="R19" s="359">
        <v>46260.691400462965</v>
      </c>
      <c r="Y19" s="286"/>
      <c r="AA19" s="338">
        <f t="shared" si="0"/>
        <v>46256</v>
      </c>
      <c r="AB19" s="338"/>
      <c r="AQ19" s="372"/>
      <c r="AR19" s="372"/>
      <c r="AS19" s="372"/>
      <c r="AT19" s="372"/>
      <c r="AU19" s="372"/>
      <c r="AV19" s="372"/>
      <c r="AW19" s="372"/>
      <c r="AX19" s="372"/>
      <c r="AY19" s="372"/>
      <c r="AZ19" s="372"/>
    </row>
    <row r="20" spans="1:52" ht="75" customHeight="1" x14ac:dyDescent="0.3">
      <c r="A20" s="357">
        <v>12</v>
      </c>
      <c r="B20" s="380">
        <v>2116</v>
      </c>
      <c r="C20" s="355" t="s">
        <v>634</v>
      </c>
      <c r="D20" s="360">
        <v>1.47891468614936E+99</v>
      </c>
      <c r="E20" s="355" t="s">
        <v>11</v>
      </c>
      <c r="F20" s="355" t="s">
        <v>640</v>
      </c>
      <c r="G20" s="355">
        <v>3101010071</v>
      </c>
      <c r="H20" s="355" t="s">
        <v>84</v>
      </c>
      <c r="I20" s="355" t="s">
        <v>41</v>
      </c>
      <c r="J20" s="355">
        <v>130200</v>
      </c>
      <c r="K20" s="358">
        <v>387203.48</v>
      </c>
      <c r="L20" s="355">
        <v>91802</v>
      </c>
      <c r="M20" s="358">
        <v>273011.15999999997</v>
      </c>
      <c r="N20" s="355">
        <v>38398</v>
      </c>
      <c r="O20" s="358">
        <v>114192.31</v>
      </c>
      <c r="P20" s="355" t="s">
        <v>633</v>
      </c>
      <c r="Q20" s="355">
        <v>144</v>
      </c>
      <c r="R20" s="359">
        <v>46196.359456018516</v>
      </c>
      <c r="Y20" s="286"/>
      <c r="AA20" s="338">
        <f t="shared" si="0"/>
        <v>46194</v>
      </c>
      <c r="AB20" s="338"/>
      <c r="AQ20" s="372"/>
      <c r="AR20" s="372"/>
      <c r="AS20" s="372"/>
      <c r="AT20" s="372"/>
      <c r="AU20" s="372"/>
      <c r="AV20" s="372"/>
      <c r="AW20" s="372"/>
      <c r="AX20" s="372"/>
      <c r="AY20" s="372"/>
      <c r="AZ20" s="372"/>
    </row>
    <row r="21" spans="1:52" ht="75" customHeight="1" x14ac:dyDescent="0.3">
      <c r="A21" s="357">
        <v>13</v>
      </c>
      <c r="B21" s="380">
        <v>2203</v>
      </c>
      <c r="C21" s="355" t="s">
        <v>638</v>
      </c>
      <c r="D21" s="360">
        <v>1.55941579015633E+94</v>
      </c>
      <c r="E21" s="355" t="s">
        <v>11</v>
      </c>
      <c r="F21" s="355" t="s">
        <v>640</v>
      </c>
      <c r="G21" s="355">
        <v>3101010071</v>
      </c>
      <c r="H21" s="355" t="s">
        <v>84</v>
      </c>
      <c r="I21" s="355" t="s">
        <v>41</v>
      </c>
      <c r="J21" s="355">
        <v>120750</v>
      </c>
      <c r="K21" s="358">
        <v>359100</v>
      </c>
      <c r="L21" s="355">
        <v>75795</v>
      </c>
      <c r="M21" s="358">
        <v>225407.74</v>
      </c>
      <c r="N21" s="355">
        <v>44955</v>
      </c>
      <c r="O21" s="358">
        <v>133692.26</v>
      </c>
      <c r="P21" s="355" t="s">
        <v>633</v>
      </c>
      <c r="Q21" s="355">
        <v>144</v>
      </c>
      <c r="R21" s="359">
        <v>46228.355081018519</v>
      </c>
      <c r="Y21" s="286"/>
      <c r="AA21" s="338">
        <f t="shared" si="0"/>
        <v>46225</v>
      </c>
      <c r="AB21" s="338"/>
      <c r="AQ21" s="372"/>
      <c r="AR21" s="372"/>
      <c r="AS21" s="372"/>
      <c r="AT21" s="372"/>
      <c r="AU21" s="372"/>
      <c r="AV21" s="372"/>
      <c r="AW21" s="372"/>
      <c r="AX21" s="372"/>
      <c r="AY21" s="372"/>
      <c r="AZ21" s="372"/>
    </row>
    <row r="22" spans="1:52" ht="75" customHeight="1" x14ac:dyDescent="0.3">
      <c r="A22" s="357">
        <v>14</v>
      </c>
      <c r="B22" s="380">
        <v>2287</v>
      </c>
      <c r="C22" s="355" t="s">
        <v>641</v>
      </c>
      <c r="D22" s="357"/>
      <c r="E22" s="355" t="s">
        <v>11</v>
      </c>
      <c r="F22" s="355" t="s">
        <v>640</v>
      </c>
      <c r="G22" s="355">
        <v>3101010071</v>
      </c>
      <c r="H22" s="355" t="s">
        <v>84</v>
      </c>
      <c r="I22" s="355" t="s">
        <v>41</v>
      </c>
      <c r="J22" s="355">
        <v>84000</v>
      </c>
      <c r="K22" s="358">
        <v>249808.7</v>
      </c>
      <c r="L22" s="281"/>
      <c r="M22" s="355">
        <v>0</v>
      </c>
      <c r="N22" s="355">
        <v>84000</v>
      </c>
      <c r="O22" s="358">
        <v>249808.7</v>
      </c>
      <c r="P22" s="355" t="s">
        <v>637</v>
      </c>
      <c r="Q22" s="355">
        <v>144</v>
      </c>
      <c r="R22" s="359">
        <v>46260.691400462965</v>
      </c>
      <c r="Y22" s="286"/>
      <c r="AA22" s="338">
        <f t="shared" si="0"/>
        <v>46256</v>
      </c>
      <c r="AB22" s="338"/>
      <c r="AQ22" s="372"/>
      <c r="AR22" s="372"/>
      <c r="AS22" s="372"/>
      <c r="AT22" s="372"/>
      <c r="AU22" s="372"/>
      <c r="AV22" s="372"/>
      <c r="AW22" s="372"/>
      <c r="AX22" s="372"/>
      <c r="AY22" s="372"/>
      <c r="AZ22" s="372"/>
    </row>
    <row r="23" spans="1:52" ht="75" customHeight="1" x14ac:dyDescent="0.3">
      <c r="A23" s="357">
        <v>15</v>
      </c>
      <c r="B23" s="380">
        <v>2116</v>
      </c>
      <c r="C23" s="355" t="s">
        <v>634</v>
      </c>
      <c r="D23" s="360">
        <v>151951515415225</v>
      </c>
      <c r="E23" s="355" t="s">
        <v>11</v>
      </c>
      <c r="F23" s="355" t="s">
        <v>640</v>
      </c>
      <c r="G23" s="355">
        <v>3101010072</v>
      </c>
      <c r="H23" s="355" t="s">
        <v>85</v>
      </c>
      <c r="I23" s="355" t="s">
        <v>41</v>
      </c>
      <c r="J23" s="355">
        <v>5775</v>
      </c>
      <c r="K23" s="358">
        <v>20036.740000000002</v>
      </c>
      <c r="L23" s="355">
        <v>3457.8</v>
      </c>
      <c r="M23" s="358">
        <v>11997.06</v>
      </c>
      <c r="N23" s="355">
        <v>2317.1999999999998</v>
      </c>
      <c r="O23" s="358">
        <v>8039.68</v>
      </c>
      <c r="P23" s="355" t="s">
        <v>633</v>
      </c>
      <c r="Q23" s="355">
        <v>144</v>
      </c>
      <c r="R23" s="359">
        <v>46196.359456018516</v>
      </c>
      <c r="Y23" s="286"/>
      <c r="AA23" s="338">
        <f t="shared" si="0"/>
        <v>46194</v>
      </c>
      <c r="AB23" s="338"/>
      <c r="AQ23" s="372"/>
      <c r="AR23" s="372"/>
      <c r="AS23" s="372"/>
      <c r="AT23" s="372"/>
      <c r="AU23" s="372"/>
      <c r="AV23" s="372"/>
      <c r="AW23" s="372"/>
      <c r="AX23" s="372"/>
      <c r="AY23" s="372"/>
      <c r="AZ23" s="372"/>
    </row>
    <row r="24" spans="1:52" ht="75" customHeight="1" x14ac:dyDescent="0.3">
      <c r="A24" s="357">
        <v>16</v>
      </c>
      <c r="B24" s="380">
        <v>2203</v>
      </c>
      <c r="C24" s="355" t="s">
        <v>638</v>
      </c>
      <c r="D24" s="355">
        <v>15365</v>
      </c>
      <c r="E24" s="355" t="s">
        <v>11</v>
      </c>
      <c r="F24" s="355" t="s">
        <v>640</v>
      </c>
      <c r="G24" s="355">
        <v>3101010072</v>
      </c>
      <c r="H24" s="355" t="s">
        <v>85</v>
      </c>
      <c r="I24" s="355" t="s">
        <v>41</v>
      </c>
      <c r="J24" s="355">
        <v>10500</v>
      </c>
      <c r="K24" s="358">
        <v>36430.43</v>
      </c>
      <c r="L24" s="355">
        <v>9526</v>
      </c>
      <c r="M24" s="358">
        <v>33051.08</v>
      </c>
      <c r="N24" s="355">
        <v>974</v>
      </c>
      <c r="O24" s="358">
        <v>3379.36</v>
      </c>
      <c r="P24" s="355" t="s">
        <v>633</v>
      </c>
      <c r="Q24" s="355">
        <v>144</v>
      </c>
      <c r="R24" s="359">
        <v>46228.355081018519</v>
      </c>
      <c r="Y24" s="286"/>
      <c r="AA24" s="338">
        <f t="shared" si="0"/>
        <v>46225</v>
      </c>
      <c r="AB24" s="338"/>
      <c r="AQ24" s="372"/>
      <c r="AR24" s="372"/>
      <c r="AS24" s="372"/>
      <c r="AT24" s="372"/>
      <c r="AU24" s="372"/>
      <c r="AV24" s="372"/>
      <c r="AW24" s="372"/>
      <c r="AX24" s="372"/>
      <c r="AY24" s="372"/>
      <c r="AZ24" s="372"/>
    </row>
    <row r="25" spans="1:52" ht="75" customHeight="1" x14ac:dyDescent="0.3">
      <c r="A25" s="357">
        <v>17</v>
      </c>
      <c r="B25" s="380">
        <v>2287</v>
      </c>
      <c r="C25" s="355" t="s">
        <v>641</v>
      </c>
      <c r="D25" s="357"/>
      <c r="E25" s="355" t="s">
        <v>11</v>
      </c>
      <c r="F25" s="355" t="s">
        <v>640</v>
      </c>
      <c r="G25" s="355">
        <v>3101010072</v>
      </c>
      <c r="H25" s="355" t="s">
        <v>85</v>
      </c>
      <c r="I25" s="355" t="s">
        <v>41</v>
      </c>
      <c r="J25" s="355">
        <v>21000</v>
      </c>
      <c r="K25" s="358">
        <v>72860.87</v>
      </c>
      <c r="L25" s="281"/>
      <c r="M25" s="355">
        <v>0</v>
      </c>
      <c r="N25" s="355">
        <v>21000</v>
      </c>
      <c r="O25" s="358">
        <v>72860.87</v>
      </c>
      <c r="P25" s="355" t="s">
        <v>637</v>
      </c>
      <c r="Q25" s="355">
        <v>144</v>
      </c>
      <c r="R25" s="359">
        <v>46260.691400462965</v>
      </c>
      <c r="Y25" s="286"/>
      <c r="AA25" s="338">
        <f t="shared" si="0"/>
        <v>46256</v>
      </c>
      <c r="AB25" s="338"/>
      <c r="AQ25" s="372"/>
      <c r="AR25" s="372"/>
      <c r="AS25" s="372"/>
      <c r="AT25" s="372"/>
      <c r="AU25" s="372"/>
      <c r="AV25" s="372"/>
      <c r="AW25" s="372"/>
      <c r="AX25" s="372"/>
      <c r="AY25" s="372"/>
      <c r="AZ25" s="372"/>
    </row>
    <row r="26" spans="1:52" ht="45" customHeight="1" x14ac:dyDescent="0.3">
      <c r="A26" s="357">
        <v>18</v>
      </c>
      <c r="B26" s="380">
        <v>2116</v>
      </c>
      <c r="C26" s="355" t="s">
        <v>634</v>
      </c>
      <c r="D26" s="360">
        <v>146501513115034</v>
      </c>
      <c r="E26" s="355" t="s">
        <v>11</v>
      </c>
      <c r="F26" s="355" t="s">
        <v>640</v>
      </c>
      <c r="G26" s="355">
        <v>3101010073</v>
      </c>
      <c r="H26" s="355" t="s">
        <v>86</v>
      </c>
      <c r="I26" s="355" t="s">
        <v>41</v>
      </c>
      <c r="J26" s="355">
        <v>136500</v>
      </c>
      <c r="K26" s="358">
        <v>23739.13</v>
      </c>
      <c r="L26" s="355">
        <v>136500</v>
      </c>
      <c r="M26" s="358">
        <v>23739.13</v>
      </c>
      <c r="N26" s="355">
        <v>0</v>
      </c>
      <c r="O26" s="355">
        <v>0</v>
      </c>
      <c r="P26" s="355" t="s">
        <v>633</v>
      </c>
      <c r="Q26" s="355">
        <v>144</v>
      </c>
      <c r="R26" s="359">
        <v>46196.359456018516</v>
      </c>
      <c r="Y26" s="286"/>
      <c r="AA26" s="338">
        <f t="shared" si="0"/>
        <v>46194</v>
      </c>
      <c r="AB26" s="338"/>
      <c r="AQ26" s="372"/>
      <c r="AR26" s="372"/>
      <c r="AS26" s="372"/>
      <c r="AT26" s="372"/>
      <c r="AU26" s="372"/>
      <c r="AV26" s="372"/>
      <c r="AW26" s="373"/>
      <c r="AX26" s="372"/>
      <c r="AY26" s="372"/>
      <c r="AZ26" s="372"/>
    </row>
    <row r="27" spans="1:52" ht="45" customHeight="1" x14ac:dyDescent="0.3">
      <c r="A27" s="357">
        <v>19</v>
      </c>
      <c r="B27" s="380">
        <v>2203</v>
      </c>
      <c r="C27" s="355" t="s">
        <v>638</v>
      </c>
      <c r="D27" s="360">
        <v>1.5487157331567899E+24</v>
      </c>
      <c r="E27" s="355" t="s">
        <v>11</v>
      </c>
      <c r="F27" s="355" t="s">
        <v>640</v>
      </c>
      <c r="G27" s="355">
        <v>3101010073</v>
      </c>
      <c r="H27" s="355" t="s">
        <v>86</v>
      </c>
      <c r="I27" s="355" t="s">
        <v>41</v>
      </c>
      <c r="J27" s="355">
        <v>131250</v>
      </c>
      <c r="K27" s="358">
        <v>22826.09</v>
      </c>
      <c r="L27" s="355">
        <v>131249</v>
      </c>
      <c r="M27" s="358">
        <v>22825.91</v>
      </c>
      <c r="N27" s="355">
        <v>1</v>
      </c>
      <c r="O27" s="355">
        <v>0.17</v>
      </c>
      <c r="P27" s="355" t="s">
        <v>633</v>
      </c>
      <c r="Q27" s="355">
        <v>144</v>
      </c>
      <c r="R27" s="359">
        <v>46228.355081018519</v>
      </c>
      <c r="Y27" s="286"/>
      <c r="AA27" s="338">
        <f t="shared" si="0"/>
        <v>46225</v>
      </c>
      <c r="AB27" s="338"/>
      <c r="AQ27" s="372"/>
      <c r="AR27" s="372"/>
      <c r="AS27" s="372"/>
      <c r="AT27" s="372"/>
      <c r="AU27" s="372"/>
      <c r="AV27" s="372"/>
      <c r="AW27" s="372"/>
      <c r="AX27" s="372"/>
      <c r="AY27" s="372"/>
      <c r="AZ27" s="372"/>
    </row>
    <row r="28" spans="1:52" ht="45" customHeight="1" x14ac:dyDescent="0.3">
      <c r="A28" s="357">
        <v>20</v>
      </c>
      <c r="B28" s="380">
        <v>2287</v>
      </c>
      <c r="C28" s="355" t="s">
        <v>641</v>
      </c>
      <c r="D28" s="357"/>
      <c r="E28" s="355" t="s">
        <v>11</v>
      </c>
      <c r="F28" s="355" t="s">
        <v>640</v>
      </c>
      <c r="G28" s="355">
        <v>3101010073</v>
      </c>
      <c r="H28" s="355" t="s">
        <v>86</v>
      </c>
      <c r="I28" s="355" t="s">
        <v>41</v>
      </c>
      <c r="J28" s="355">
        <v>70000</v>
      </c>
      <c r="K28" s="358">
        <v>12173.91</v>
      </c>
      <c r="L28" s="281"/>
      <c r="M28" s="355">
        <v>0</v>
      </c>
      <c r="N28" s="355">
        <v>70000</v>
      </c>
      <c r="O28" s="358">
        <v>12173.91</v>
      </c>
      <c r="P28" s="355" t="s">
        <v>637</v>
      </c>
      <c r="Q28" s="355">
        <v>144</v>
      </c>
      <c r="R28" s="359">
        <v>46260.691400462965</v>
      </c>
      <c r="Y28" s="286"/>
      <c r="AA28" s="338">
        <f t="shared" si="0"/>
        <v>46256</v>
      </c>
      <c r="AB28" s="338"/>
      <c r="AQ28" s="372"/>
      <c r="AR28" s="372"/>
      <c r="AS28" s="372"/>
      <c r="AT28" s="372"/>
      <c r="AU28" s="372"/>
      <c r="AV28" s="372"/>
      <c r="AW28" s="373"/>
      <c r="AX28" s="372"/>
      <c r="AY28" s="372"/>
      <c r="AZ28" s="372"/>
    </row>
    <row r="29" spans="1:52" ht="105" customHeight="1" x14ac:dyDescent="0.3">
      <c r="A29" s="357">
        <v>21</v>
      </c>
      <c r="B29" s="380">
        <v>2116</v>
      </c>
      <c r="C29" s="355" t="s">
        <v>634</v>
      </c>
      <c r="D29" s="360">
        <v>1.4901152691487E+24</v>
      </c>
      <c r="E29" s="355" t="s">
        <v>11</v>
      </c>
      <c r="F29" s="355" t="s">
        <v>640</v>
      </c>
      <c r="G29" s="355">
        <v>3101010074</v>
      </c>
      <c r="H29" s="355" t="s">
        <v>87</v>
      </c>
      <c r="I29" s="355" t="s">
        <v>14</v>
      </c>
      <c r="J29" s="355">
        <v>176</v>
      </c>
      <c r="K29" s="358">
        <v>30800</v>
      </c>
      <c r="L29" s="355">
        <v>126.9</v>
      </c>
      <c r="M29" s="358">
        <v>22207.5</v>
      </c>
      <c r="N29" s="355">
        <v>49.1</v>
      </c>
      <c r="O29" s="358">
        <v>8592.5</v>
      </c>
      <c r="P29" s="355" t="s">
        <v>633</v>
      </c>
      <c r="Q29" s="355">
        <v>144</v>
      </c>
      <c r="R29" s="359">
        <v>46196.359456018516</v>
      </c>
      <c r="Y29" s="286"/>
      <c r="AA29" s="338">
        <f t="shared" si="0"/>
        <v>46194</v>
      </c>
      <c r="AB29" s="338"/>
      <c r="AQ29" s="372"/>
      <c r="AR29" s="372"/>
      <c r="AS29" s="372"/>
      <c r="AT29" s="372"/>
      <c r="AU29" s="372"/>
      <c r="AV29" s="372"/>
      <c r="AW29" s="372"/>
      <c r="AX29" s="372"/>
      <c r="AY29" s="372"/>
      <c r="AZ29" s="372"/>
    </row>
    <row r="30" spans="1:52" ht="105" customHeight="1" x14ac:dyDescent="0.3">
      <c r="A30" s="357">
        <v>22</v>
      </c>
      <c r="B30" s="380">
        <v>2203</v>
      </c>
      <c r="C30" s="355" t="s">
        <v>638</v>
      </c>
      <c r="D30" s="360">
        <v>1.56861559415634E+19</v>
      </c>
      <c r="E30" s="355" t="s">
        <v>11</v>
      </c>
      <c r="F30" s="355" t="s">
        <v>640</v>
      </c>
      <c r="G30" s="355">
        <v>3101010074</v>
      </c>
      <c r="H30" s="355" t="s">
        <v>87</v>
      </c>
      <c r="I30" s="355" t="s">
        <v>14</v>
      </c>
      <c r="J30" s="355">
        <v>168</v>
      </c>
      <c r="K30" s="358">
        <v>29400</v>
      </c>
      <c r="L30" s="355">
        <v>160.19999999999999</v>
      </c>
      <c r="M30" s="358">
        <v>28035</v>
      </c>
      <c r="N30" s="355">
        <v>7.8</v>
      </c>
      <c r="O30" s="358">
        <v>1365</v>
      </c>
      <c r="P30" s="355" t="s">
        <v>633</v>
      </c>
      <c r="Q30" s="355">
        <v>144</v>
      </c>
      <c r="R30" s="359">
        <v>46228.355081018519</v>
      </c>
      <c r="Y30" s="286"/>
      <c r="AA30" s="338">
        <f t="shared" si="0"/>
        <v>46225</v>
      </c>
      <c r="AB30" s="338"/>
      <c r="AQ30" s="372"/>
      <c r="AR30" s="372"/>
      <c r="AS30" s="372"/>
      <c r="AT30" s="372"/>
      <c r="AU30" s="372"/>
      <c r="AV30" s="372"/>
      <c r="AW30" s="372"/>
      <c r="AX30" s="372"/>
      <c r="AY30" s="372"/>
      <c r="AZ30" s="372"/>
    </row>
    <row r="31" spans="1:52" ht="105" customHeight="1" x14ac:dyDescent="0.3">
      <c r="A31" s="357">
        <v>23</v>
      </c>
      <c r="B31" s="380">
        <v>2287</v>
      </c>
      <c r="C31" s="355" t="s">
        <v>641</v>
      </c>
      <c r="D31" s="357"/>
      <c r="E31" s="355" t="s">
        <v>11</v>
      </c>
      <c r="F31" s="355" t="s">
        <v>640</v>
      </c>
      <c r="G31" s="355">
        <v>3101010074</v>
      </c>
      <c r="H31" s="355" t="s">
        <v>87</v>
      </c>
      <c r="I31" s="355" t="s">
        <v>14</v>
      </c>
      <c r="J31" s="355">
        <v>126</v>
      </c>
      <c r="K31" s="358">
        <v>22050</v>
      </c>
      <c r="L31" s="281"/>
      <c r="M31" s="355">
        <v>0</v>
      </c>
      <c r="N31" s="355">
        <v>126</v>
      </c>
      <c r="O31" s="358">
        <v>22050</v>
      </c>
      <c r="P31" s="355" t="s">
        <v>637</v>
      </c>
      <c r="Q31" s="355">
        <v>144</v>
      </c>
      <c r="R31" s="359">
        <v>46260.691400462965</v>
      </c>
      <c r="Y31" s="286"/>
      <c r="AA31" s="338">
        <f t="shared" si="0"/>
        <v>46256</v>
      </c>
      <c r="AB31" s="338"/>
      <c r="AQ31" s="372"/>
      <c r="AR31" s="372"/>
      <c r="AS31" s="372"/>
      <c r="AT31" s="372"/>
      <c r="AU31" s="372"/>
      <c r="AV31" s="372"/>
      <c r="AW31" s="372"/>
      <c r="AX31" s="372"/>
      <c r="AY31" s="372"/>
      <c r="AZ31" s="372"/>
    </row>
    <row r="32" spans="1:52" ht="75" customHeight="1" x14ac:dyDescent="0.3">
      <c r="A32" s="357">
        <v>24</v>
      </c>
      <c r="B32" s="380">
        <v>2116</v>
      </c>
      <c r="C32" s="355" t="s">
        <v>634</v>
      </c>
      <c r="D32" s="355">
        <v>14731</v>
      </c>
      <c r="E32" s="355" t="s">
        <v>11</v>
      </c>
      <c r="F32" s="355" t="s">
        <v>640</v>
      </c>
      <c r="G32" s="355">
        <v>3101010075</v>
      </c>
      <c r="H32" s="355" t="s">
        <v>88</v>
      </c>
      <c r="I32" s="355" t="s">
        <v>14</v>
      </c>
      <c r="J32" s="355">
        <v>30</v>
      </c>
      <c r="K32" s="358">
        <v>5250.15</v>
      </c>
      <c r="L32" s="355">
        <v>20.2</v>
      </c>
      <c r="M32" s="358">
        <v>3535.1</v>
      </c>
      <c r="N32" s="355">
        <v>9.8000000000000007</v>
      </c>
      <c r="O32" s="358">
        <v>1715.05</v>
      </c>
      <c r="P32" s="355" t="s">
        <v>633</v>
      </c>
      <c r="Q32" s="355">
        <v>144</v>
      </c>
      <c r="R32" s="359">
        <v>46196.359456018516</v>
      </c>
      <c r="Y32" s="286"/>
      <c r="AA32" s="338">
        <f t="shared" si="0"/>
        <v>46194</v>
      </c>
      <c r="AB32" s="338"/>
      <c r="AQ32" s="374"/>
      <c r="AR32" s="374"/>
      <c r="AS32" s="374"/>
      <c r="AT32" s="374"/>
      <c r="AU32" s="374"/>
      <c r="AV32" s="374"/>
      <c r="AW32" s="374"/>
      <c r="AX32" s="374"/>
      <c r="AY32" s="375"/>
      <c r="AZ32" s="375"/>
    </row>
    <row r="33" spans="1:28" ht="75" customHeight="1" x14ac:dyDescent="0.3">
      <c r="A33" s="357">
        <v>25</v>
      </c>
      <c r="B33" s="380">
        <v>2203</v>
      </c>
      <c r="C33" s="355" t="s">
        <v>638</v>
      </c>
      <c r="D33" s="360">
        <v>158251585415872</v>
      </c>
      <c r="E33" s="355" t="s">
        <v>11</v>
      </c>
      <c r="F33" s="355" t="s">
        <v>640</v>
      </c>
      <c r="G33" s="355">
        <v>3101010075</v>
      </c>
      <c r="H33" s="355" t="s">
        <v>88</v>
      </c>
      <c r="I33" s="355" t="s">
        <v>14</v>
      </c>
      <c r="J33" s="355">
        <v>84</v>
      </c>
      <c r="K33" s="358">
        <v>14700.43</v>
      </c>
      <c r="L33" s="355">
        <v>84</v>
      </c>
      <c r="M33" s="358">
        <v>14700.43</v>
      </c>
      <c r="N33" s="355">
        <v>0</v>
      </c>
      <c r="O33" s="355">
        <v>0</v>
      </c>
      <c r="P33" s="355" t="s">
        <v>633</v>
      </c>
      <c r="Q33" s="355">
        <v>144</v>
      </c>
      <c r="R33" s="359">
        <v>46228.355081018519</v>
      </c>
      <c r="Y33" s="286"/>
      <c r="AA33" s="338">
        <f t="shared" si="0"/>
        <v>46225</v>
      </c>
      <c r="AB33" s="338"/>
    </row>
    <row r="34" spans="1:28" ht="75" customHeight="1" x14ac:dyDescent="0.3">
      <c r="A34" s="357">
        <v>26</v>
      </c>
      <c r="B34" s="380">
        <v>2287</v>
      </c>
      <c r="C34" s="355" t="s">
        <v>641</v>
      </c>
      <c r="D34" s="357"/>
      <c r="E34" s="355" t="s">
        <v>11</v>
      </c>
      <c r="F34" s="355" t="s">
        <v>640</v>
      </c>
      <c r="G34" s="355">
        <v>3101010075</v>
      </c>
      <c r="H34" s="355" t="s">
        <v>88</v>
      </c>
      <c r="I34" s="355" t="s">
        <v>14</v>
      </c>
      <c r="J34" s="355">
        <v>20</v>
      </c>
      <c r="K34" s="358">
        <v>3500.1</v>
      </c>
      <c r="L34" s="281"/>
      <c r="M34" s="355">
        <v>0</v>
      </c>
      <c r="N34" s="355">
        <v>20</v>
      </c>
      <c r="O34" s="358">
        <v>3500.1</v>
      </c>
      <c r="P34" s="355" t="s">
        <v>637</v>
      </c>
      <c r="Q34" s="355">
        <v>144</v>
      </c>
      <c r="R34" s="359">
        <v>46260.691400462965</v>
      </c>
      <c r="Y34" s="286"/>
      <c r="AA34" s="338">
        <f t="shared" si="0"/>
        <v>46256</v>
      </c>
      <c r="AB34" s="338"/>
    </row>
    <row r="35" spans="1:28" ht="75" customHeight="1" x14ac:dyDescent="0.3">
      <c r="A35" s="357">
        <v>27</v>
      </c>
      <c r="B35" s="380">
        <v>2287</v>
      </c>
      <c r="C35" s="355" t="s">
        <v>641</v>
      </c>
      <c r="D35" s="357"/>
      <c r="E35" s="355" t="s">
        <v>11</v>
      </c>
      <c r="F35" s="355" t="s">
        <v>640</v>
      </c>
      <c r="G35" s="355">
        <v>3101010076</v>
      </c>
      <c r="H35" s="355" t="s">
        <v>89</v>
      </c>
      <c r="I35" s="355" t="s">
        <v>14</v>
      </c>
      <c r="J35" s="355">
        <v>168</v>
      </c>
      <c r="K35" s="358">
        <v>29400</v>
      </c>
      <c r="L35" s="281"/>
      <c r="M35" s="355">
        <v>0</v>
      </c>
      <c r="N35" s="355">
        <v>168</v>
      </c>
      <c r="O35" s="358">
        <v>29400</v>
      </c>
      <c r="P35" s="355" t="s">
        <v>637</v>
      </c>
      <c r="Q35" s="355">
        <v>144</v>
      </c>
      <c r="R35" s="359">
        <v>46260.691400462965</v>
      </c>
      <c r="Y35" s="286"/>
      <c r="AA35" s="338">
        <f t="shared" si="0"/>
        <v>46256</v>
      </c>
      <c r="AB35" s="338"/>
    </row>
    <row r="36" spans="1:28" ht="90" customHeight="1" x14ac:dyDescent="0.3">
      <c r="A36" s="357">
        <v>28</v>
      </c>
      <c r="B36" s="380">
        <v>2116</v>
      </c>
      <c r="C36" s="355" t="s">
        <v>634</v>
      </c>
      <c r="D36" s="360">
        <v>1.4756152251478899E+99</v>
      </c>
      <c r="E36" s="355" t="s">
        <v>11</v>
      </c>
      <c r="F36" s="355" t="s">
        <v>640</v>
      </c>
      <c r="G36" s="355">
        <v>3101010077</v>
      </c>
      <c r="H36" s="355" t="s">
        <v>90</v>
      </c>
      <c r="I36" s="355" t="s">
        <v>14</v>
      </c>
      <c r="J36" s="355">
        <v>1749</v>
      </c>
      <c r="K36" s="358">
        <v>306009.55</v>
      </c>
      <c r="L36" s="355">
        <v>1651.5</v>
      </c>
      <c r="M36" s="358">
        <v>288950.7</v>
      </c>
      <c r="N36" s="355">
        <v>97.5</v>
      </c>
      <c r="O36" s="358">
        <v>17058.849999999999</v>
      </c>
      <c r="P36" s="355" t="s">
        <v>633</v>
      </c>
      <c r="Q36" s="355">
        <v>144</v>
      </c>
      <c r="R36" s="359">
        <v>46196.359456018516</v>
      </c>
      <c r="Y36" s="286"/>
      <c r="AA36" s="338">
        <f t="shared" si="0"/>
        <v>46194</v>
      </c>
      <c r="AB36" s="338"/>
    </row>
    <row r="37" spans="1:28" ht="90" customHeight="1" x14ac:dyDescent="0.3">
      <c r="A37" s="357">
        <v>29</v>
      </c>
      <c r="B37" s="380">
        <v>2203</v>
      </c>
      <c r="C37" s="355" t="s">
        <v>638</v>
      </c>
      <c r="D37" s="360">
        <v>1.58091588915656E+99</v>
      </c>
      <c r="E37" s="355" t="s">
        <v>11</v>
      </c>
      <c r="F37" s="355" t="s">
        <v>640</v>
      </c>
      <c r="G37" s="355">
        <v>3101010077</v>
      </c>
      <c r="H37" s="355" t="s">
        <v>90</v>
      </c>
      <c r="I37" s="355" t="s">
        <v>14</v>
      </c>
      <c r="J37" s="355">
        <v>1500</v>
      </c>
      <c r="K37" s="358">
        <v>262443.87</v>
      </c>
      <c r="L37" s="355">
        <v>1335.2</v>
      </c>
      <c r="M37" s="358">
        <v>233610.04</v>
      </c>
      <c r="N37" s="355">
        <v>164.8</v>
      </c>
      <c r="O37" s="358">
        <v>28833.83</v>
      </c>
      <c r="P37" s="355" t="s">
        <v>633</v>
      </c>
      <c r="Q37" s="355">
        <v>144</v>
      </c>
      <c r="R37" s="359">
        <v>46228.355081018519</v>
      </c>
      <c r="Y37" s="286"/>
      <c r="AA37" s="338">
        <f t="shared" si="0"/>
        <v>46225</v>
      </c>
      <c r="AB37" s="338"/>
    </row>
    <row r="38" spans="1:28" ht="90" customHeight="1" x14ac:dyDescent="0.3">
      <c r="A38" s="357">
        <v>30</v>
      </c>
      <c r="B38" s="380">
        <v>2287</v>
      </c>
      <c r="C38" s="355" t="s">
        <v>641</v>
      </c>
      <c r="D38" s="357"/>
      <c r="E38" s="355" t="s">
        <v>11</v>
      </c>
      <c r="F38" s="355" t="s">
        <v>640</v>
      </c>
      <c r="G38" s="355">
        <v>3101010077</v>
      </c>
      <c r="H38" s="355" t="s">
        <v>90</v>
      </c>
      <c r="I38" s="355" t="s">
        <v>14</v>
      </c>
      <c r="J38" s="355">
        <v>1380</v>
      </c>
      <c r="K38" s="358">
        <v>241448.36</v>
      </c>
      <c r="L38" s="281"/>
      <c r="M38" s="355">
        <v>0</v>
      </c>
      <c r="N38" s="355">
        <v>1380</v>
      </c>
      <c r="O38" s="358">
        <v>241448.36</v>
      </c>
      <c r="P38" s="355" t="s">
        <v>637</v>
      </c>
      <c r="Q38" s="355">
        <v>144</v>
      </c>
      <c r="R38" s="359">
        <v>46260.691400462965</v>
      </c>
      <c r="Y38" s="286"/>
      <c r="AA38" s="338">
        <f t="shared" si="0"/>
        <v>46256</v>
      </c>
      <c r="AB38" s="338"/>
    </row>
    <row r="39" spans="1:28" ht="30" customHeight="1" x14ac:dyDescent="0.3">
      <c r="A39" s="357">
        <v>31</v>
      </c>
      <c r="B39" s="380">
        <v>2115</v>
      </c>
      <c r="C39" s="355" t="s">
        <v>634</v>
      </c>
      <c r="D39" s="360">
        <v>1.52801537615378E+34</v>
      </c>
      <c r="E39" s="355" t="s">
        <v>11</v>
      </c>
      <c r="F39" s="355" t="s">
        <v>640</v>
      </c>
      <c r="G39" s="355">
        <v>3101010078</v>
      </c>
      <c r="H39" s="355" t="s">
        <v>91</v>
      </c>
      <c r="I39" s="355" t="s">
        <v>41</v>
      </c>
      <c r="J39" s="355">
        <v>93450</v>
      </c>
      <c r="K39" s="358">
        <v>962941.3</v>
      </c>
      <c r="L39" s="355">
        <v>28410</v>
      </c>
      <c r="M39" s="358">
        <v>292746.52</v>
      </c>
      <c r="N39" s="355">
        <v>65040</v>
      </c>
      <c r="O39" s="358">
        <v>670194.78</v>
      </c>
      <c r="P39" s="355" t="s">
        <v>633</v>
      </c>
      <c r="Q39" s="355">
        <v>144</v>
      </c>
      <c r="R39" s="359">
        <v>46196.359201388892</v>
      </c>
      <c r="Y39" s="286"/>
      <c r="AA39" s="338">
        <f t="shared" si="0"/>
        <v>46194</v>
      </c>
      <c r="AB39" s="338"/>
    </row>
    <row r="40" spans="1:28" ht="30" customHeight="1" x14ac:dyDescent="0.3">
      <c r="A40" s="357">
        <v>32</v>
      </c>
      <c r="B40" s="380">
        <v>2202</v>
      </c>
      <c r="C40" s="355" t="s">
        <v>638</v>
      </c>
      <c r="D40" s="360">
        <v>1.55821584115753E+69</v>
      </c>
      <c r="E40" s="355" t="s">
        <v>11</v>
      </c>
      <c r="F40" s="355" t="s">
        <v>640</v>
      </c>
      <c r="G40" s="355">
        <v>3101010078</v>
      </c>
      <c r="H40" s="355" t="s">
        <v>91</v>
      </c>
      <c r="I40" s="355" t="s">
        <v>41</v>
      </c>
      <c r="J40" s="355">
        <v>94500</v>
      </c>
      <c r="K40" s="358">
        <v>973760.87</v>
      </c>
      <c r="L40" s="355">
        <v>86435</v>
      </c>
      <c r="M40" s="358">
        <v>890656.3</v>
      </c>
      <c r="N40" s="355">
        <v>8065</v>
      </c>
      <c r="O40" s="358">
        <v>83104.570000000007</v>
      </c>
      <c r="P40" s="355" t="s">
        <v>633</v>
      </c>
      <c r="Q40" s="355">
        <v>144</v>
      </c>
      <c r="R40" s="359">
        <v>46228.35497685185</v>
      </c>
      <c r="Y40" s="286"/>
      <c r="AA40" s="338">
        <f t="shared" si="0"/>
        <v>46225</v>
      </c>
      <c r="AB40" s="338"/>
    </row>
    <row r="41" spans="1:28" ht="30" customHeight="1" x14ac:dyDescent="0.3">
      <c r="A41" s="357">
        <v>33</v>
      </c>
      <c r="B41" s="380">
        <v>2285</v>
      </c>
      <c r="C41" s="355" t="s">
        <v>641</v>
      </c>
      <c r="D41" s="357"/>
      <c r="E41" s="355" t="s">
        <v>11</v>
      </c>
      <c r="F41" s="355" t="s">
        <v>640</v>
      </c>
      <c r="G41" s="355">
        <v>3101010078</v>
      </c>
      <c r="H41" s="355" t="s">
        <v>91</v>
      </c>
      <c r="I41" s="355" t="s">
        <v>41</v>
      </c>
      <c r="J41" s="355">
        <v>84000</v>
      </c>
      <c r="K41" s="358">
        <v>865565.22</v>
      </c>
      <c r="L41" s="281"/>
      <c r="M41" s="355">
        <v>0</v>
      </c>
      <c r="N41" s="355">
        <v>84000</v>
      </c>
      <c r="O41" s="358">
        <v>865565.22</v>
      </c>
      <c r="P41" s="355" t="s">
        <v>637</v>
      </c>
      <c r="Q41" s="355">
        <v>144</v>
      </c>
      <c r="R41" s="359">
        <v>46260.691041666665</v>
      </c>
      <c r="Y41" s="286"/>
      <c r="AA41" s="338">
        <f t="shared" si="0"/>
        <v>46256</v>
      </c>
      <c r="AB41" s="338"/>
    </row>
    <row r="42" spans="1:28" ht="30" customHeight="1" x14ac:dyDescent="0.3">
      <c r="A42" s="357">
        <v>34</v>
      </c>
      <c r="B42" s="380">
        <v>2115</v>
      </c>
      <c r="C42" s="355" t="s">
        <v>634</v>
      </c>
      <c r="D42" s="360">
        <v>153461469215313</v>
      </c>
      <c r="E42" s="355" t="s">
        <v>11</v>
      </c>
      <c r="F42" s="355" t="s">
        <v>640</v>
      </c>
      <c r="G42" s="355">
        <v>3101010080</v>
      </c>
      <c r="H42" s="355" t="s">
        <v>93</v>
      </c>
      <c r="I42" s="355" t="s">
        <v>41</v>
      </c>
      <c r="J42" s="355">
        <v>46725</v>
      </c>
      <c r="K42" s="358">
        <v>43880.87</v>
      </c>
      <c r="L42" s="355">
        <v>26686</v>
      </c>
      <c r="M42" s="358">
        <v>25061.63</v>
      </c>
      <c r="N42" s="355">
        <v>20039</v>
      </c>
      <c r="O42" s="358">
        <v>18819.23</v>
      </c>
      <c r="P42" s="355" t="s">
        <v>633</v>
      </c>
      <c r="Q42" s="355">
        <v>144</v>
      </c>
      <c r="R42" s="359">
        <v>46196.359201388892</v>
      </c>
      <c r="Y42" s="286"/>
      <c r="AA42" s="338">
        <f t="shared" si="0"/>
        <v>46194</v>
      </c>
      <c r="AB42" s="338"/>
    </row>
    <row r="43" spans="1:28" ht="30" customHeight="1" x14ac:dyDescent="0.3">
      <c r="A43" s="357">
        <v>35</v>
      </c>
      <c r="B43" s="380">
        <v>2202</v>
      </c>
      <c r="C43" s="355" t="s">
        <v>638</v>
      </c>
      <c r="D43" s="355">
        <v>15915</v>
      </c>
      <c r="E43" s="355" t="s">
        <v>11</v>
      </c>
      <c r="F43" s="355" t="s">
        <v>640</v>
      </c>
      <c r="G43" s="355">
        <v>3101010080</v>
      </c>
      <c r="H43" s="355" t="s">
        <v>93</v>
      </c>
      <c r="I43" s="355" t="s">
        <v>41</v>
      </c>
      <c r="J43" s="355">
        <v>47250</v>
      </c>
      <c r="K43" s="358">
        <v>44373.91</v>
      </c>
      <c r="L43" s="355">
        <v>20300</v>
      </c>
      <c r="M43" s="358">
        <v>19064.349999999999</v>
      </c>
      <c r="N43" s="355">
        <v>26950</v>
      </c>
      <c r="O43" s="358">
        <v>25309.57</v>
      </c>
      <c r="P43" s="355" t="s">
        <v>633</v>
      </c>
      <c r="Q43" s="355">
        <v>144</v>
      </c>
      <c r="R43" s="359">
        <v>46228.35497685185</v>
      </c>
      <c r="Y43" s="286"/>
      <c r="AA43" s="338">
        <f t="shared" si="0"/>
        <v>46225</v>
      </c>
      <c r="AB43" s="338"/>
    </row>
    <row r="44" spans="1:28" ht="30" customHeight="1" x14ac:dyDescent="0.3">
      <c r="A44" s="357">
        <v>36</v>
      </c>
      <c r="B44" s="380">
        <v>2285</v>
      </c>
      <c r="C44" s="355" t="s">
        <v>641</v>
      </c>
      <c r="D44" s="357"/>
      <c r="E44" s="355" t="s">
        <v>11</v>
      </c>
      <c r="F44" s="355" t="s">
        <v>640</v>
      </c>
      <c r="G44" s="355">
        <v>3101010080</v>
      </c>
      <c r="H44" s="355" t="s">
        <v>93</v>
      </c>
      <c r="I44" s="355" t="s">
        <v>41</v>
      </c>
      <c r="J44" s="355">
        <v>42000</v>
      </c>
      <c r="K44" s="358">
        <v>39443.480000000003</v>
      </c>
      <c r="L44" s="281"/>
      <c r="M44" s="355">
        <v>0</v>
      </c>
      <c r="N44" s="355">
        <v>42000</v>
      </c>
      <c r="O44" s="358">
        <v>39443.480000000003</v>
      </c>
      <c r="P44" s="355" t="s">
        <v>637</v>
      </c>
      <c r="Q44" s="355">
        <v>144</v>
      </c>
      <c r="R44" s="359">
        <v>46260.691041666665</v>
      </c>
      <c r="Y44" s="286"/>
      <c r="AA44" s="338">
        <f t="shared" si="0"/>
        <v>46256</v>
      </c>
      <c r="AB44" s="338"/>
    </row>
    <row r="45" spans="1:28" ht="60" customHeight="1" x14ac:dyDescent="0.3">
      <c r="A45" s="357">
        <v>37</v>
      </c>
      <c r="B45" s="380">
        <v>2115</v>
      </c>
      <c r="C45" s="355" t="s">
        <v>634</v>
      </c>
      <c r="D45" s="360">
        <v>146921481014890</v>
      </c>
      <c r="E45" s="355" t="s">
        <v>11</v>
      </c>
      <c r="F45" s="355" t="s">
        <v>640</v>
      </c>
      <c r="G45" s="355">
        <v>3101010081</v>
      </c>
      <c r="H45" s="355" t="s">
        <v>94</v>
      </c>
      <c r="I45" s="355" t="s">
        <v>41</v>
      </c>
      <c r="J45" s="355">
        <v>126000</v>
      </c>
      <c r="K45" s="358">
        <v>42730.43</v>
      </c>
      <c r="L45" s="355">
        <v>27348</v>
      </c>
      <c r="M45" s="358">
        <v>9274.5400000000009</v>
      </c>
      <c r="N45" s="355">
        <v>98652</v>
      </c>
      <c r="O45" s="358">
        <v>33455.9</v>
      </c>
      <c r="P45" s="355" t="s">
        <v>633</v>
      </c>
      <c r="Q45" s="355">
        <v>144</v>
      </c>
      <c r="R45" s="359">
        <v>46196.359201388892</v>
      </c>
      <c r="Y45" s="286"/>
      <c r="AA45" s="338">
        <f t="shared" si="0"/>
        <v>46194</v>
      </c>
      <c r="AB45" s="338"/>
    </row>
    <row r="46" spans="1:28" ht="60" customHeight="1" x14ac:dyDescent="0.3">
      <c r="A46" s="357">
        <v>38</v>
      </c>
      <c r="B46" s="380">
        <v>2202</v>
      </c>
      <c r="C46" s="355" t="s">
        <v>638</v>
      </c>
      <c r="D46" s="360">
        <v>159151558315462</v>
      </c>
      <c r="E46" s="355" t="s">
        <v>11</v>
      </c>
      <c r="F46" s="355" t="s">
        <v>640</v>
      </c>
      <c r="G46" s="355">
        <v>3101010081</v>
      </c>
      <c r="H46" s="355" t="s">
        <v>94</v>
      </c>
      <c r="I46" s="355" t="s">
        <v>41</v>
      </c>
      <c r="J46" s="355">
        <v>110250</v>
      </c>
      <c r="K46" s="358">
        <v>37389.129999999997</v>
      </c>
      <c r="L46" s="355">
        <v>87900</v>
      </c>
      <c r="M46" s="358">
        <v>29809.56</v>
      </c>
      <c r="N46" s="355">
        <v>22350</v>
      </c>
      <c r="O46" s="358">
        <v>7579.57</v>
      </c>
      <c r="P46" s="355" t="s">
        <v>633</v>
      </c>
      <c r="Q46" s="355">
        <v>144</v>
      </c>
      <c r="R46" s="359">
        <v>46228.35497685185</v>
      </c>
      <c r="Y46" s="286"/>
      <c r="AA46" s="338">
        <f t="shared" si="0"/>
        <v>46225</v>
      </c>
      <c r="AB46" s="338"/>
    </row>
    <row r="47" spans="1:28" ht="60" customHeight="1" x14ac:dyDescent="0.3">
      <c r="A47" s="357">
        <v>39</v>
      </c>
      <c r="B47" s="380">
        <v>2285</v>
      </c>
      <c r="C47" s="355" t="s">
        <v>641</v>
      </c>
      <c r="D47" s="357"/>
      <c r="E47" s="355" t="s">
        <v>11</v>
      </c>
      <c r="F47" s="355" t="s">
        <v>640</v>
      </c>
      <c r="G47" s="355">
        <v>3101010081</v>
      </c>
      <c r="H47" s="355" t="s">
        <v>94</v>
      </c>
      <c r="I47" s="355" t="s">
        <v>41</v>
      </c>
      <c r="J47" s="355">
        <v>63000</v>
      </c>
      <c r="K47" s="358">
        <v>21365.22</v>
      </c>
      <c r="L47" s="281"/>
      <c r="M47" s="355">
        <v>0</v>
      </c>
      <c r="N47" s="355">
        <v>63000</v>
      </c>
      <c r="O47" s="358">
        <v>21365.22</v>
      </c>
      <c r="P47" s="355" t="s">
        <v>637</v>
      </c>
      <c r="Q47" s="355">
        <v>144</v>
      </c>
      <c r="R47" s="359">
        <v>46260.691041666665</v>
      </c>
      <c r="Y47" s="286"/>
      <c r="AA47" s="338">
        <f t="shared" si="0"/>
        <v>46256</v>
      </c>
      <c r="AB47" s="338"/>
    </row>
    <row r="48" spans="1:28" ht="60" customHeight="1" x14ac:dyDescent="0.3">
      <c r="A48" s="357">
        <v>40</v>
      </c>
      <c r="B48" s="380">
        <v>2115</v>
      </c>
      <c r="C48" s="355" t="s">
        <v>634</v>
      </c>
      <c r="D48" s="357"/>
      <c r="E48" s="355" t="s">
        <v>11</v>
      </c>
      <c r="F48" s="355" t="s">
        <v>640</v>
      </c>
      <c r="G48" s="355">
        <v>3101010083</v>
      </c>
      <c r="H48" s="355" t="s">
        <v>95</v>
      </c>
      <c r="I48" s="355" t="s">
        <v>41</v>
      </c>
      <c r="J48" s="355">
        <v>21000</v>
      </c>
      <c r="K48" s="358">
        <v>5295.6</v>
      </c>
      <c r="L48" s="281"/>
      <c r="M48" s="355">
        <v>0</v>
      </c>
      <c r="N48" s="355">
        <v>21000</v>
      </c>
      <c r="O48" s="358">
        <v>5295.6</v>
      </c>
      <c r="P48" s="355" t="s">
        <v>633</v>
      </c>
      <c r="Q48" s="355">
        <v>144</v>
      </c>
      <c r="R48" s="359">
        <v>46196.359201388892</v>
      </c>
      <c r="Y48" s="286"/>
      <c r="AA48" s="338">
        <f t="shared" si="0"/>
        <v>46194</v>
      </c>
      <c r="AB48" s="338"/>
    </row>
    <row r="49" spans="1:28" ht="60" customHeight="1" x14ac:dyDescent="0.3">
      <c r="A49" s="357">
        <v>41</v>
      </c>
      <c r="B49" s="380">
        <v>2202</v>
      </c>
      <c r="C49" s="355" t="s">
        <v>638</v>
      </c>
      <c r="D49" s="357"/>
      <c r="E49" s="355" t="s">
        <v>11</v>
      </c>
      <c r="F49" s="355" t="s">
        <v>640</v>
      </c>
      <c r="G49" s="355">
        <v>3101010083</v>
      </c>
      <c r="H49" s="355" t="s">
        <v>95</v>
      </c>
      <c r="I49" s="355" t="s">
        <v>41</v>
      </c>
      <c r="J49" s="355">
        <v>36750</v>
      </c>
      <c r="K49" s="358">
        <v>9267.2900000000009</v>
      </c>
      <c r="L49" s="281"/>
      <c r="M49" s="355">
        <v>0</v>
      </c>
      <c r="N49" s="355">
        <v>36750</v>
      </c>
      <c r="O49" s="358">
        <v>9267.2900000000009</v>
      </c>
      <c r="P49" s="355" t="s">
        <v>633</v>
      </c>
      <c r="Q49" s="355">
        <v>144</v>
      </c>
      <c r="R49" s="359">
        <v>46228.35497685185</v>
      </c>
      <c r="Y49" s="286"/>
      <c r="AA49" s="338">
        <f t="shared" si="0"/>
        <v>46225</v>
      </c>
      <c r="AB49" s="338"/>
    </row>
    <row r="50" spans="1:28" ht="60" customHeight="1" x14ac:dyDescent="0.3">
      <c r="A50" s="357">
        <v>42</v>
      </c>
      <c r="B50" s="380">
        <v>2285</v>
      </c>
      <c r="C50" s="355" t="s">
        <v>641</v>
      </c>
      <c r="D50" s="357"/>
      <c r="E50" s="355" t="s">
        <v>11</v>
      </c>
      <c r="F50" s="355" t="s">
        <v>640</v>
      </c>
      <c r="G50" s="355">
        <v>3101010083</v>
      </c>
      <c r="H50" s="355" t="s">
        <v>95</v>
      </c>
      <c r="I50" s="355" t="s">
        <v>41</v>
      </c>
      <c r="J50" s="355">
        <v>31500</v>
      </c>
      <c r="K50" s="358">
        <v>7943.39</v>
      </c>
      <c r="L50" s="281"/>
      <c r="M50" s="355">
        <v>0</v>
      </c>
      <c r="N50" s="355">
        <v>31500</v>
      </c>
      <c r="O50" s="358">
        <v>7943.39</v>
      </c>
      <c r="P50" s="355" t="s">
        <v>637</v>
      </c>
      <c r="Q50" s="355">
        <v>144</v>
      </c>
      <c r="R50" s="359">
        <v>46260.691041666665</v>
      </c>
      <c r="Y50" s="286"/>
      <c r="AA50" s="338">
        <f t="shared" si="0"/>
        <v>46256</v>
      </c>
      <c r="AB50" s="338"/>
    </row>
    <row r="51" spans="1:28" ht="30" customHeight="1" x14ac:dyDescent="0.3">
      <c r="A51" s="357">
        <v>43</v>
      </c>
      <c r="B51" s="380">
        <v>2115</v>
      </c>
      <c r="C51" s="355" t="s">
        <v>634</v>
      </c>
      <c r="D51" s="357"/>
      <c r="E51" s="355" t="s">
        <v>11</v>
      </c>
      <c r="F51" s="355" t="s">
        <v>640</v>
      </c>
      <c r="G51" s="355">
        <v>3101010084</v>
      </c>
      <c r="H51" s="355" t="s">
        <v>96</v>
      </c>
      <c r="I51" s="355" t="s">
        <v>41</v>
      </c>
      <c r="J51" s="355">
        <v>46725</v>
      </c>
      <c r="K51" s="358">
        <v>9345</v>
      </c>
      <c r="L51" s="281"/>
      <c r="M51" s="355">
        <v>0</v>
      </c>
      <c r="N51" s="355">
        <v>46725</v>
      </c>
      <c r="O51" s="358">
        <v>9345</v>
      </c>
      <c r="P51" s="355" t="s">
        <v>633</v>
      </c>
      <c r="Q51" s="355">
        <v>144</v>
      </c>
      <c r="R51" s="359">
        <v>46196.359201388892</v>
      </c>
      <c r="Y51" s="286"/>
      <c r="AA51" s="338">
        <f t="shared" si="0"/>
        <v>46194</v>
      </c>
      <c r="AB51" s="338"/>
    </row>
    <row r="52" spans="1:28" ht="30" customHeight="1" x14ac:dyDescent="0.3">
      <c r="A52" s="357">
        <v>44</v>
      </c>
      <c r="B52" s="380">
        <v>2202</v>
      </c>
      <c r="C52" s="355" t="s">
        <v>638</v>
      </c>
      <c r="D52" s="360">
        <v>154711550515915</v>
      </c>
      <c r="E52" s="355" t="s">
        <v>11</v>
      </c>
      <c r="F52" s="355" t="s">
        <v>640</v>
      </c>
      <c r="G52" s="355">
        <v>3101010084</v>
      </c>
      <c r="H52" s="355" t="s">
        <v>96</v>
      </c>
      <c r="I52" s="355" t="s">
        <v>41</v>
      </c>
      <c r="J52" s="355">
        <v>47250</v>
      </c>
      <c r="K52" s="358">
        <v>9450</v>
      </c>
      <c r="L52" s="355">
        <v>41302</v>
      </c>
      <c r="M52" s="358">
        <v>8260.4</v>
      </c>
      <c r="N52" s="355">
        <v>5948</v>
      </c>
      <c r="O52" s="358">
        <v>1189.5999999999999</v>
      </c>
      <c r="P52" s="355" t="s">
        <v>633</v>
      </c>
      <c r="Q52" s="355">
        <v>144</v>
      </c>
      <c r="R52" s="359">
        <v>46228.35497685185</v>
      </c>
      <c r="Y52" s="286"/>
      <c r="AA52" s="338">
        <f t="shared" si="0"/>
        <v>46225</v>
      </c>
      <c r="AB52" s="338"/>
    </row>
    <row r="53" spans="1:28" ht="30" customHeight="1" x14ac:dyDescent="0.3">
      <c r="A53" s="357">
        <v>45</v>
      </c>
      <c r="B53" s="380">
        <v>2285</v>
      </c>
      <c r="C53" s="355" t="s">
        <v>641</v>
      </c>
      <c r="D53" s="357"/>
      <c r="E53" s="355" t="s">
        <v>11</v>
      </c>
      <c r="F53" s="355" t="s">
        <v>640</v>
      </c>
      <c r="G53" s="355">
        <v>3101010084</v>
      </c>
      <c r="H53" s="355" t="s">
        <v>96</v>
      </c>
      <c r="I53" s="355" t="s">
        <v>41</v>
      </c>
      <c r="J53" s="355">
        <v>42000</v>
      </c>
      <c r="K53" s="358">
        <v>8400</v>
      </c>
      <c r="L53" s="281"/>
      <c r="M53" s="355">
        <v>0</v>
      </c>
      <c r="N53" s="355">
        <v>42000</v>
      </c>
      <c r="O53" s="358">
        <v>8400</v>
      </c>
      <c r="P53" s="355" t="s">
        <v>637</v>
      </c>
      <c r="Q53" s="355">
        <v>144</v>
      </c>
      <c r="R53" s="359">
        <v>46260.691041666665</v>
      </c>
      <c r="Y53" s="286"/>
      <c r="AA53" s="338">
        <f t="shared" si="0"/>
        <v>46256</v>
      </c>
      <c r="AB53" s="338"/>
    </row>
    <row r="54" spans="1:28" ht="30" customHeight="1" x14ac:dyDescent="0.3">
      <c r="A54" s="357">
        <v>46</v>
      </c>
      <c r="B54" s="380">
        <v>2115</v>
      </c>
      <c r="C54" s="355" t="s">
        <v>634</v>
      </c>
      <c r="D54" s="360">
        <v>1537815345</v>
      </c>
      <c r="E54" s="355" t="s">
        <v>11</v>
      </c>
      <c r="F54" s="355" t="s">
        <v>640</v>
      </c>
      <c r="G54" s="355">
        <v>3101010085</v>
      </c>
      <c r="H54" s="355" t="s">
        <v>97</v>
      </c>
      <c r="I54" s="355" t="s">
        <v>41</v>
      </c>
      <c r="J54" s="355">
        <v>40000</v>
      </c>
      <c r="K54" s="358">
        <v>93913.05</v>
      </c>
      <c r="L54" s="355">
        <v>15150</v>
      </c>
      <c r="M54" s="358">
        <v>35569.57</v>
      </c>
      <c r="N54" s="355">
        <v>24850</v>
      </c>
      <c r="O54" s="358">
        <v>58343.48</v>
      </c>
      <c r="P54" s="355" t="s">
        <v>633</v>
      </c>
      <c r="Q54" s="355">
        <v>144</v>
      </c>
      <c r="R54" s="359">
        <v>46196.359201388892</v>
      </c>
      <c r="Y54" s="286"/>
      <c r="AA54" s="338">
        <f t="shared" si="0"/>
        <v>46194</v>
      </c>
      <c r="AB54" s="338"/>
    </row>
    <row r="55" spans="1:28" ht="30" customHeight="1" x14ac:dyDescent="0.3">
      <c r="A55" s="357">
        <v>47</v>
      </c>
      <c r="B55" s="380">
        <v>2202</v>
      </c>
      <c r="C55" s="355" t="s">
        <v>638</v>
      </c>
      <c r="D55" s="355">
        <v>15583</v>
      </c>
      <c r="E55" s="355" t="s">
        <v>11</v>
      </c>
      <c r="F55" s="355" t="s">
        <v>640</v>
      </c>
      <c r="G55" s="355">
        <v>3101010085</v>
      </c>
      <c r="H55" s="355" t="s">
        <v>97</v>
      </c>
      <c r="I55" s="355" t="s">
        <v>41</v>
      </c>
      <c r="J55" s="355">
        <v>20000</v>
      </c>
      <c r="K55" s="358">
        <v>46956.52</v>
      </c>
      <c r="L55" s="355">
        <v>20000</v>
      </c>
      <c r="M55" s="358">
        <v>46956.52</v>
      </c>
      <c r="N55" s="355">
        <v>0</v>
      </c>
      <c r="O55" s="355">
        <v>0</v>
      </c>
      <c r="P55" s="355" t="s">
        <v>633</v>
      </c>
      <c r="Q55" s="355">
        <v>144</v>
      </c>
      <c r="R55" s="359">
        <v>46228.35497685185</v>
      </c>
      <c r="Y55" s="286"/>
      <c r="AA55" s="338">
        <f t="shared" si="0"/>
        <v>46225</v>
      </c>
      <c r="AB55" s="338"/>
    </row>
    <row r="56" spans="1:28" ht="30" customHeight="1" x14ac:dyDescent="0.3">
      <c r="A56" s="357">
        <v>48</v>
      </c>
      <c r="B56" s="380">
        <v>2285</v>
      </c>
      <c r="C56" s="355" t="s">
        <v>641</v>
      </c>
      <c r="D56" s="357"/>
      <c r="E56" s="355" t="s">
        <v>11</v>
      </c>
      <c r="F56" s="355" t="s">
        <v>640</v>
      </c>
      <c r="G56" s="355">
        <v>3101010085</v>
      </c>
      <c r="H56" s="355" t="s">
        <v>97</v>
      </c>
      <c r="I56" s="355" t="s">
        <v>41</v>
      </c>
      <c r="J56" s="355">
        <v>42000</v>
      </c>
      <c r="K56" s="358">
        <v>98608.7</v>
      </c>
      <c r="L56" s="281"/>
      <c r="M56" s="355">
        <v>0</v>
      </c>
      <c r="N56" s="355">
        <v>42000</v>
      </c>
      <c r="O56" s="358">
        <v>98608.7</v>
      </c>
      <c r="P56" s="355" t="s">
        <v>637</v>
      </c>
      <c r="Q56" s="355">
        <v>144</v>
      </c>
      <c r="R56" s="359">
        <v>46260.691041666665</v>
      </c>
      <c r="Y56" s="286"/>
      <c r="AA56" s="338">
        <f t="shared" si="0"/>
        <v>46256</v>
      </c>
      <c r="AB56" s="338"/>
    </row>
    <row r="57" spans="1:28" ht="45" customHeight="1" x14ac:dyDescent="0.3">
      <c r="A57" s="357">
        <v>49</v>
      </c>
      <c r="B57" s="380">
        <v>2115</v>
      </c>
      <c r="C57" s="355" t="s">
        <v>634</v>
      </c>
      <c r="D57" s="360">
        <v>1.5378153301534501E+19</v>
      </c>
      <c r="E57" s="355" t="s">
        <v>11</v>
      </c>
      <c r="F57" s="355" t="s">
        <v>640</v>
      </c>
      <c r="G57" s="355">
        <v>3101010086</v>
      </c>
      <c r="H57" s="355" t="s">
        <v>98</v>
      </c>
      <c r="I57" s="355" t="s">
        <v>41</v>
      </c>
      <c r="J57" s="355">
        <v>93450</v>
      </c>
      <c r="K57" s="358">
        <v>60945.68</v>
      </c>
      <c r="L57" s="355">
        <v>18748</v>
      </c>
      <c r="M57" s="358">
        <v>12226.96</v>
      </c>
      <c r="N57" s="355">
        <v>74702</v>
      </c>
      <c r="O57" s="358">
        <v>48718.71</v>
      </c>
      <c r="P57" s="355" t="s">
        <v>633</v>
      </c>
      <c r="Q57" s="355">
        <v>144</v>
      </c>
      <c r="R57" s="359">
        <v>46196.359201388892</v>
      </c>
      <c r="Y57" s="286"/>
      <c r="AA57" s="338">
        <f t="shared" si="0"/>
        <v>46194</v>
      </c>
      <c r="AB57" s="338"/>
    </row>
    <row r="58" spans="1:28" ht="45" customHeight="1" x14ac:dyDescent="0.3">
      <c r="A58" s="357">
        <v>50</v>
      </c>
      <c r="B58" s="380">
        <v>2202</v>
      </c>
      <c r="C58" s="355" t="s">
        <v>638</v>
      </c>
      <c r="D58" s="360">
        <v>1.54621567215425E+19</v>
      </c>
      <c r="E58" s="355" t="s">
        <v>11</v>
      </c>
      <c r="F58" s="355" t="s">
        <v>640</v>
      </c>
      <c r="G58" s="355">
        <v>3101010086</v>
      </c>
      <c r="H58" s="355" t="s">
        <v>98</v>
      </c>
      <c r="I58" s="355" t="s">
        <v>41</v>
      </c>
      <c r="J58" s="355">
        <v>94500</v>
      </c>
      <c r="K58" s="358">
        <v>61630.46</v>
      </c>
      <c r="L58" s="355">
        <v>74652</v>
      </c>
      <c r="M58" s="358">
        <v>48686.11</v>
      </c>
      <c r="N58" s="355">
        <v>19848</v>
      </c>
      <c r="O58" s="358">
        <v>12944.35</v>
      </c>
      <c r="P58" s="355" t="s">
        <v>633</v>
      </c>
      <c r="Q58" s="355">
        <v>144</v>
      </c>
      <c r="R58" s="359">
        <v>46228.35497685185</v>
      </c>
      <c r="Y58" s="286"/>
      <c r="AA58" s="338">
        <f t="shared" si="0"/>
        <v>46225</v>
      </c>
      <c r="AB58" s="338"/>
    </row>
    <row r="59" spans="1:28" ht="45" customHeight="1" x14ac:dyDescent="0.3">
      <c r="A59" s="357">
        <v>51</v>
      </c>
      <c r="B59" s="380">
        <v>2285</v>
      </c>
      <c r="C59" s="355" t="s">
        <v>641</v>
      </c>
      <c r="D59" s="357"/>
      <c r="E59" s="355" t="s">
        <v>11</v>
      </c>
      <c r="F59" s="355" t="s">
        <v>640</v>
      </c>
      <c r="G59" s="355">
        <v>3101010086</v>
      </c>
      <c r="H59" s="355" t="s">
        <v>98</v>
      </c>
      <c r="I59" s="355" t="s">
        <v>41</v>
      </c>
      <c r="J59" s="355">
        <v>84000</v>
      </c>
      <c r="K59" s="358">
        <v>54782.63</v>
      </c>
      <c r="L59" s="281"/>
      <c r="M59" s="355">
        <v>0</v>
      </c>
      <c r="N59" s="355">
        <v>84000</v>
      </c>
      <c r="O59" s="358">
        <v>54782.63</v>
      </c>
      <c r="P59" s="355" t="s">
        <v>637</v>
      </c>
      <c r="Q59" s="355">
        <v>144</v>
      </c>
      <c r="R59" s="359">
        <v>46260.691041666665</v>
      </c>
      <c r="Y59" s="286"/>
      <c r="AA59" s="338">
        <f t="shared" si="0"/>
        <v>46256</v>
      </c>
      <c r="AB59" s="338"/>
    </row>
    <row r="60" spans="1:28" ht="60" customHeight="1" x14ac:dyDescent="0.3">
      <c r="A60" s="357">
        <v>52</v>
      </c>
      <c r="B60" s="380">
        <v>2118</v>
      </c>
      <c r="C60" s="355" t="s">
        <v>634</v>
      </c>
      <c r="D60" s="360">
        <v>1511615206</v>
      </c>
      <c r="E60" s="355" t="s">
        <v>11</v>
      </c>
      <c r="F60" s="355" t="s">
        <v>640</v>
      </c>
      <c r="G60" s="355">
        <v>3101010090</v>
      </c>
      <c r="H60" s="355" t="s">
        <v>100</v>
      </c>
      <c r="I60" s="355" t="s">
        <v>37</v>
      </c>
      <c r="J60" s="355">
        <v>43500</v>
      </c>
      <c r="K60" s="358">
        <v>444279.53</v>
      </c>
      <c r="L60" s="355">
        <v>39700</v>
      </c>
      <c r="M60" s="358">
        <v>405468.91</v>
      </c>
      <c r="N60" s="355">
        <v>3800</v>
      </c>
      <c r="O60" s="358">
        <v>38810.629999999997</v>
      </c>
      <c r="P60" s="355" t="s">
        <v>633</v>
      </c>
      <c r="Q60" s="355">
        <v>144</v>
      </c>
      <c r="R60" s="359">
        <v>46196.359826388885</v>
      </c>
      <c r="Y60" s="286"/>
      <c r="AA60" s="338">
        <f t="shared" si="0"/>
        <v>46194</v>
      </c>
      <c r="AB60" s="338"/>
    </row>
    <row r="61" spans="1:28" ht="60" customHeight="1" x14ac:dyDescent="0.3">
      <c r="A61" s="357">
        <v>53</v>
      </c>
      <c r="B61" s="380">
        <v>2209</v>
      </c>
      <c r="C61" s="355" t="s">
        <v>638</v>
      </c>
      <c r="D61" s="360">
        <v>1559915372</v>
      </c>
      <c r="E61" s="355" t="s">
        <v>11</v>
      </c>
      <c r="F61" s="355" t="s">
        <v>640</v>
      </c>
      <c r="G61" s="355">
        <v>3101010090</v>
      </c>
      <c r="H61" s="355" t="s">
        <v>100</v>
      </c>
      <c r="I61" s="355" t="s">
        <v>37</v>
      </c>
      <c r="J61" s="355">
        <v>43200</v>
      </c>
      <c r="K61" s="358">
        <v>441215.54</v>
      </c>
      <c r="L61" s="355">
        <v>29100</v>
      </c>
      <c r="M61" s="358">
        <v>297207.69</v>
      </c>
      <c r="N61" s="355">
        <v>14100</v>
      </c>
      <c r="O61" s="358">
        <v>144007.85</v>
      </c>
      <c r="P61" s="355" t="s">
        <v>633</v>
      </c>
      <c r="Q61" s="355">
        <v>144</v>
      </c>
      <c r="R61" s="359">
        <v>46228.356990740744</v>
      </c>
      <c r="Y61" s="286"/>
      <c r="AA61" s="338">
        <f t="shared" si="0"/>
        <v>46225</v>
      </c>
      <c r="AB61" s="338"/>
    </row>
    <row r="62" spans="1:28" ht="60" customHeight="1" x14ac:dyDescent="0.3">
      <c r="A62" s="357">
        <v>54</v>
      </c>
      <c r="B62" s="380">
        <v>2288</v>
      </c>
      <c r="C62" s="355" t="s">
        <v>641</v>
      </c>
      <c r="D62" s="357"/>
      <c r="E62" s="355" t="s">
        <v>11</v>
      </c>
      <c r="F62" s="355" t="s">
        <v>640</v>
      </c>
      <c r="G62" s="355">
        <v>3101010090</v>
      </c>
      <c r="H62" s="355" t="s">
        <v>100</v>
      </c>
      <c r="I62" s="355" t="s">
        <v>37</v>
      </c>
      <c r="J62" s="355">
        <v>38400</v>
      </c>
      <c r="K62" s="358">
        <v>392191.59</v>
      </c>
      <c r="L62" s="281"/>
      <c r="M62" s="355">
        <v>0</v>
      </c>
      <c r="N62" s="355">
        <v>38400</v>
      </c>
      <c r="O62" s="358">
        <v>392191.59</v>
      </c>
      <c r="P62" s="355" t="s">
        <v>637</v>
      </c>
      <c r="Q62" s="355">
        <v>144</v>
      </c>
      <c r="R62" s="359">
        <v>46260.691643518519</v>
      </c>
      <c r="Y62" s="286"/>
      <c r="AA62" s="338">
        <f t="shared" si="0"/>
        <v>46256</v>
      </c>
      <c r="AB62" s="338"/>
    </row>
    <row r="63" spans="1:28" ht="75" customHeight="1" x14ac:dyDescent="0.3">
      <c r="A63" s="357">
        <v>55</v>
      </c>
      <c r="B63" s="380">
        <v>2119</v>
      </c>
      <c r="C63" s="355" t="s">
        <v>634</v>
      </c>
      <c r="D63" s="360">
        <v>1.4839153701518701E+94</v>
      </c>
      <c r="E63" s="355" t="s">
        <v>11</v>
      </c>
      <c r="F63" s="355" t="s">
        <v>640</v>
      </c>
      <c r="G63" s="355">
        <v>3101010107</v>
      </c>
      <c r="H63" s="355" t="s">
        <v>104</v>
      </c>
      <c r="I63" s="355" t="s">
        <v>41</v>
      </c>
      <c r="J63" s="355">
        <v>50000</v>
      </c>
      <c r="K63" s="358">
        <v>2670869.5699999998</v>
      </c>
      <c r="L63" s="355">
        <v>47667</v>
      </c>
      <c r="M63" s="358">
        <v>2546246.79</v>
      </c>
      <c r="N63" s="355">
        <v>2333</v>
      </c>
      <c r="O63" s="358">
        <v>124622.77</v>
      </c>
      <c r="P63" s="355" t="s">
        <v>633</v>
      </c>
      <c r="Q63" s="355">
        <v>144</v>
      </c>
      <c r="R63" s="359">
        <v>46196.359895833331</v>
      </c>
      <c r="Y63" s="286"/>
      <c r="AA63" s="338">
        <f t="shared" si="0"/>
        <v>46194</v>
      </c>
      <c r="AB63" s="338"/>
    </row>
    <row r="64" spans="1:28" ht="75" customHeight="1" x14ac:dyDescent="0.3">
      <c r="A64" s="357">
        <v>56</v>
      </c>
      <c r="B64" s="380">
        <v>2204</v>
      </c>
      <c r="C64" s="355" t="s">
        <v>638</v>
      </c>
      <c r="D64" s="360">
        <v>1.5575155861563501E+29</v>
      </c>
      <c r="E64" s="355" t="s">
        <v>11</v>
      </c>
      <c r="F64" s="355" t="s">
        <v>640</v>
      </c>
      <c r="G64" s="355">
        <v>3101010107</v>
      </c>
      <c r="H64" s="355" t="s">
        <v>104</v>
      </c>
      <c r="I64" s="355" t="s">
        <v>41</v>
      </c>
      <c r="J64" s="355">
        <v>50000</v>
      </c>
      <c r="K64" s="358">
        <v>2670869.5699999998</v>
      </c>
      <c r="L64" s="355">
        <v>26500</v>
      </c>
      <c r="M64" s="358">
        <v>1415560.87</v>
      </c>
      <c r="N64" s="355">
        <v>23500</v>
      </c>
      <c r="O64" s="358">
        <v>1255308.7</v>
      </c>
      <c r="P64" s="355" t="s">
        <v>633</v>
      </c>
      <c r="Q64" s="355">
        <v>144</v>
      </c>
      <c r="R64" s="359">
        <v>46228.355150462965</v>
      </c>
      <c r="Y64" s="286"/>
      <c r="AA64" s="338">
        <f t="shared" si="0"/>
        <v>46225</v>
      </c>
      <c r="AB64" s="338"/>
    </row>
    <row r="65" spans="1:28" ht="75" customHeight="1" x14ac:dyDescent="0.3">
      <c r="A65" s="357">
        <v>57</v>
      </c>
      <c r="B65" s="380">
        <v>2286</v>
      </c>
      <c r="C65" s="355" t="s">
        <v>641</v>
      </c>
      <c r="D65" s="357"/>
      <c r="E65" s="355" t="s">
        <v>11</v>
      </c>
      <c r="F65" s="355" t="s">
        <v>640</v>
      </c>
      <c r="G65" s="355">
        <v>3101010107</v>
      </c>
      <c r="H65" s="355" t="s">
        <v>104</v>
      </c>
      <c r="I65" s="355" t="s">
        <v>41</v>
      </c>
      <c r="J65" s="355">
        <v>40000</v>
      </c>
      <c r="K65" s="358">
        <v>2136695.65</v>
      </c>
      <c r="L65" s="281"/>
      <c r="M65" s="355">
        <v>0</v>
      </c>
      <c r="N65" s="355">
        <v>40000</v>
      </c>
      <c r="O65" s="358">
        <v>2136695.65</v>
      </c>
      <c r="P65" s="355" t="s">
        <v>637</v>
      </c>
      <c r="Q65" s="355">
        <v>144</v>
      </c>
      <c r="R65" s="359">
        <v>46260.691111111111</v>
      </c>
      <c r="Y65" s="286"/>
      <c r="AA65" s="338">
        <f t="shared" ref="AA65:AA128" si="1">IFERROR(
IF(ISNUMBER(C65),C65,DATE(VALUE(RIGHT(C65,4)),VALUE(MID(SUBSTITUTE(C65,"/","-"),FIND("-",SUBSTITUTE(C65,"/","-"))+1,FIND("-",SUBSTITUTE(C65,"/","-"),FIND("-",SUBSTITUTE(C65,"/","-"))+1)-FIND("-",SUBSTITUTE(C65,"/","-"))-1)),VALUE(LEFT(SUBSTITUTE(C65,"/","-"),FIND("-",SUBSTITUTE(C65,"/","-"))-1)))),
DATE(1995,1,1)
)</f>
        <v>46256</v>
      </c>
      <c r="AB65" s="338"/>
    </row>
    <row r="66" spans="1:28" ht="45" customHeight="1" x14ac:dyDescent="0.3">
      <c r="A66" s="357">
        <v>58</v>
      </c>
      <c r="B66" s="380">
        <v>2285</v>
      </c>
      <c r="C66" s="355" t="s">
        <v>641</v>
      </c>
      <c r="D66" s="357"/>
      <c r="E66" s="355" t="s">
        <v>11</v>
      </c>
      <c r="F66" s="355" t="s">
        <v>640</v>
      </c>
      <c r="G66" s="355">
        <v>3101010110</v>
      </c>
      <c r="H66" s="355" t="s">
        <v>107</v>
      </c>
      <c r="I66" s="355" t="s">
        <v>41</v>
      </c>
      <c r="J66" s="355">
        <v>31500</v>
      </c>
      <c r="K66" s="358">
        <v>7943.1</v>
      </c>
      <c r="L66" s="281"/>
      <c r="M66" s="355">
        <v>0</v>
      </c>
      <c r="N66" s="355">
        <v>31500</v>
      </c>
      <c r="O66" s="358">
        <v>7943.1</v>
      </c>
      <c r="P66" s="355" t="s">
        <v>637</v>
      </c>
      <c r="Q66" s="355">
        <v>144</v>
      </c>
      <c r="R66" s="359">
        <v>46260.691041666665</v>
      </c>
      <c r="Y66" s="286"/>
      <c r="AA66" s="338">
        <f t="shared" si="1"/>
        <v>46256</v>
      </c>
      <c r="AB66" s="338"/>
    </row>
    <row r="67" spans="1:28" ht="75" customHeight="1" x14ac:dyDescent="0.3">
      <c r="A67" s="357">
        <v>59</v>
      </c>
      <c r="B67" s="380">
        <v>2118</v>
      </c>
      <c r="C67" s="355" t="s">
        <v>634</v>
      </c>
      <c r="D67" s="355">
        <v>15652</v>
      </c>
      <c r="E67" s="355" t="s">
        <v>11</v>
      </c>
      <c r="F67" s="355" t="s">
        <v>640</v>
      </c>
      <c r="G67" s="355">
        <v>3101010111</v>
      </c>
      <c r="H67" s="355" t="s">
        <v>108</v>
      </c>
      <c r="I67" s="355" t="s">
        <v>37</v>
      </c>
      <c r="J67" s="355">
        <v>14700</v>
      </c>
      <c r="K67" s="358">
        <v>149919.66</v>
      </c>
      <c r="L67" s="355">
        <v>1600</v>
      </c>
      <c r="M67" s="358">
        <v>16317.79</v>
      </c>
      <c r="N67" s="355">
        <v>13100</v>
      </c>
      <c r="O67" s="358">
        <v>133601.87</v>
      </c>
      <c r="P67" s="355" t="s">
        <v>633</v>
      </c>
      <c r="Q67" s="355">
        <v>144</v>
      </c>
      <c r="R67" s="359">
        <v>46196.359826388885</v>
      </c>
      <c r="Y67" s="286"/>
      <c r="AA67" s="338">
        <f t="shared" si="1"/>
        <v>46194</v>
      </c>
      <c r="AB67" s="338"/>
    </row>
    <row r="68" spans="1:28" ht="75" customHeight="1" x14ac:dyDescent="0.3">
      <c r="A68" s="357">
        <v>60</v>
      </c>
      <c r="B68" s="380">
        <v>2209</v>
      </c>
      <c r="C68" s="355" t="s">
        <v>638</v>
      </c>
      <c r="D68" s="360">
        <v>1563815651</v>
      </c>
      <c r="E68" s="355" t="s">
        <v>11</v>
      </c>
      <c r="F68" s="355" t="s">
        <v>640</v>
      </c>
      <c r="G68" s="355">
        <v>3101010111</v>
      </c>
      <c r="H68" s="355" t="s">
        <v>108</v>
      </c>
      <c r="I68" s="355" t="s">
        <v>37</v>
      </c>
      <c r="J68" s="355">
        <v>14400</v>
      </c>
      <c r="K68" s="358">
        <v>146860.07</v>
      </c>
      <c r="L68" s="355">
        <v>14400</v>
      </c>
      <c r="M68" s="358">
        <v>146860.07</v>
      </c>
      <c r="N68" s="355">
        <v>0</v>
      </c>
      <c r="O68" s="355">
        <v>0</v>
      </c>
      <c r="P68" s="355" t="s">
        <v>633</v>
      </c>
      <c r="Q68" s="355">
        <v>144</v>
      </c>
      <c r="R68" s="359">
        <v>46228.356990740744</v>
      </c>
      <c r="Y68" s="286"/>
      <c r="AA68" s="338">
        <f t="shared" si="1"/>
        <v>46225</v>
      </c>
      <c r="AB68" s="338"/>
    </row>
    <row r="69" spans="1:28" ht="75" customHeight="1" x14ac:dyDescent="0.3">
      <c r="A69" s="357">
        <v>61</v>
      </c>
      <c r="B69" s="380">
        <v>2288</v>
      </c>
      <c r="C69" s="355" t="s">
        <v>641</v>
      </c>
      <c r="D69" s="357"/>
      <c r="E69" s="355" t="s">
        <v>11</v>
      </c>
      <c r="F69" s="355" t="s">
        <v>640</v>
      </c>
      <c r="G69" s="355">
        <v>3101010111</v>
      </c>
      <c r="H69" s="355" t="s">
        <v>108</v>
      </c>
      <c r="I69" s="355" t="s">
        <v>37</v>
      </c>
      <c r="J69" s="355">
        <v>12900</v>
      </c>
      <c r="K69" s="358">
        <v>131562.15</v>
      </c>
      <c r="L69" s="281"/>
      <c r="M69" s="355">
        <v>0</v>
      </c>
      <c r="N69" s="355">
        <v>12900</v>
      </c>
      <c r="O69" s="358">
        <v>131562.15</v>
      </c>
      <c r="P69" s="355" t="s">
        <v>637</v>
      </c>
      <c r="Q69" s="355">
        <v>144</v>
      </c>
      <c r="R69" s="359">
        <v>46260.691643518519</v>
      </c>
      <c r="Y69" s="286"/>
      <c r="AA69" s="338">
        <f t="shared" si="1"/>
        <v>46256</v>
      </c>
      <c r="AB69" s="338"/>
    </row>
    <row r="70" spans="1:28" ht="60" customHeight="1" x14ac:dyDescent="0.3">
      <c r="A70" s="357">
        <v>62</v>
      </c>
      <c r="B70" s="380">
        <v>2118</v>
      </c>
      <c r="C70" s="355" t="s">
        <v>634</v>
      </c>
      <c r="D70" s="360">
        <v>1.47121520615692E+24</v>
      </c>
      <c r="E70" s="355" t="s">
        <v>11</v>
      </c>
      <c r="F70" s="355" t="s">
        <v>640</v>
      </c>
      <c r="G70" s="355">
        <v>3101010112</v>
      </c>
      <c r="H70" s="355" t="s">
        <v>109</v>
      </c>
      <c r="I70" s="355" t="s">
        <v>37</v>
      </c>
      <c r="J70" s="355">
        <v>43500</v>
      </c>
      <c r="K70" s="358">
        <v>443822</v>
      </c>
      <c r="L70" s="355">
        <v>33600</v>
      </c>
      <c r="M70" s="358">
        <v>342814.23</v>
      </c>
      <c r="N70" s="355">
        <v>9900</v>
      </c>
      <c r="O70" s="358">
        <v>101007.76</v>
      </c>
      <c r="P70" s="355" t="s">
        <v>633</v>
      </c>
      <c r="Q70" s="355">
        <v>144</v>
      </c>
      <c r="R70" s="359">
        <v>46196.359826388885</v>
      </c>
      <c r="Y70" s="286"/>
      <c r="AA70" s="338">
        <f t="shared" si="1"/>
        <v>46194</v>
      </c>
      <c r="AB70" s="338"/>
    </row>
    <row r="71" spans="1:28" ht="60" customHeight="1" x14ac:dyDescent="0.3">
      <c r="A71" s="357">
        <v>63</v>
      </c>
      <c r="B71" s="380">
        <v>2209</v>
      </c>
      <c r="C71" s="355" t="s">
        <v>638</v>
      </c>
      <c r="D71" s="360">
        <v>155991569115372</v>
      </c>
      <c r="E71" s="355" t="s">
        <v>11</v>
      </c>
      <c r="F71" s="355" t="s">
        <v>640</v>
      </c>
      <c r="G71" s="355">
        <v>3101010112</v>
      </c>
      <c r="H71" s="355" t="s">
        <v>109</v>
      </c>
      <c r="I71" s="355" t="s">
        <v>37</v>
      </c>
      <c r="J71" s="355">
        <v>43200</v>
      </c>
      <c r="K71" s="358">
        <v>440761.16</v>
      </c>
      <c r="L71" s="355">
        <v>43200</v>
      </c>
      <c r="M71" s="358">
        <v>440761.16</v>
      </c>
      <c r="N71" s="355">
        <v>0</v>
      </c>
      <c r="O71" s="355">
        <v>0</v>
      </c>
      <c r="P71" s="355" t="s">
        <v>633</v>
      </c>
      <c r="Q71" s="355">
        <v>144</v>
      </c>
      <c r="R71" s="359">
        <v>46228.356990740744</v>
      </c>
      <c r="Y71" s="286"/>
      <c r="AA71" s="338">
        <f t="shared" si="1"/>
        <v>46225</v>
      </c>
      <c r="AB71" s="338"/>
    </row>
    <row r="72" spans="1:28" ht="60" customHeight="1" x14ac:dyDescent="0.3">
      <c r="A72" s="357">
        <v>64</v>
      </c>
      <c r="B72" s="380">
        <v>2288</v>
      </c>
      <c r="C72" s="355" t="s">
        <v>641</v>
      </c>
      <c r="D72" s="357"/>
      <c r="E72" s="355" t="s">
        <v>11</v>
      </c>
      <c r="F72" s="355" t="s">
        <v>640</v>
      </c>
      <c r="G72" s="355">
        <v>3101010112</v>
      </c>
      <c r="H72" s="355" t="s">
        <v>109</v>
      </c>
      <c r="I72" s="355" t="s">
        <v>37</v>
      </c>
      <c r="J72" s="355">
        <v>38400</v>
      </c>
      <c r="K72" s="358">
        <v>391787.69</v>
      </c>
      <c r="L72" s="281"/>
      <c r="M72" s="355">
        <v>0</v>
      </c>
      <c r="N72" s="355">
        <v>38400</v>
      </c>
      <c r="O72" s="358">
        <v>391787.69</v>
      </c>
      <c r="P72" s="355" t="s">
        <v>637</v>
      </c>
      <c r="Q72" s="355">
        <v>144</v>
      </c>
      <c r="R72" s="359">
        <v>46260.691643518519</v>
      </c>
      <c r="Y72" s="286"/>
      <c r="AA72" s="338">
        <f t="shared" si="1"/>
        <v>46256</v>
      </c>
      <c r="AB72" s="338"/>
    </row>
    <row r="73" spans="1:28" ht="75" customHeight="1" x14ac:dyDescent="0.3">
      <c r="A73" s="357">
        <v>65</v>
      </c>
      <c r="B73" s="380">
        <v>2260</v>
      </c>
      <c r="C73" s="361">
        <v>46364</v>
      </c>
      <c r="D73" s="355">
        <v>15868</v>
      </c>
      <c r="E73" s="355" t="s">
        <v>11</v>
      </c>
      <c r="F73" s="355" t="s">
        <v>640</v>
      </c>
      <c r="G73" s="355">
        <v>3101010119</v>
      </c>
      <c r="H73" s="355" t="s">
        <v>115</v>
      </c>
      <c r="I73" s="355" t="s">
        <v>41</v>
      </c>
      <c r="J73" s="355">
        <v>2000</v>
      </c>
      <c r="K73" s="358">
        <v>115356.52</v>
      </c>
      <c r="L73" s="355">
        <v>785</v>
      </c>
      <c r="M73" s="358">
        <v>45277.43</v>
      </c>
      <c r="N73" s="355">
        <v>1215</v>
      </c>
      <c r="O73" s="358">
        <v>70079.09</v>
      </c>
      <c r="P73" s="355" t="s">
        <v>633</v>
      </c>
      <c r="Q73" s="355">
        <v>144</v>
      </c>
      <c r="R73" s="359">
        <v>46250.337650462963</v>
      </c>
      <c r="Y73" s="286"/>
      <c r="AA73" s="338">
        <f t="shared" si="1"/>
        <v>46364</v>
      </c>
      <c r="AB73" s="338"/>
    </row>
    <row r="74" spans="1:28" ht="60" customHeight="1" x14ac:dyDescent="0.3">
      <c r="A74" s="357">
        <v>66</v>
      </c>
      <c r="B74" s="380">
        <v>2203</v>
      </c>
      <c r="C74" s="355" t="s">
        <v>638</v>
      </c>
      <c r="D74" s="357"/>
      <c r="E74" s="355" t="s">
        <v>11</v>
      </c>
      <c r="F74" s="355" t="s">
        <v>640</v>
      </c>
      <c r="G74" s="355">
        <v>3101010130</v>
      </c>
      <c r="H74" s="355" t="s">
        <v>127</v>
      </c>
      <c r="I74" s="355" t="s">
        <v>14</v>
      </c>
      <c r="J74" s="355">
        <v>20</v>
      </c>
      <c r="K74" s="358">
        <v>3730.01</v>
      </c>
      <c r="L74" s="281"/>
      <c r="M74" s="355">
        <v>0</v>
      </c>
      <c r="N74" s="355">
        <v>20</v>
      </c>
      <c r="O74" s="358">
        <v>3730.01</v>
      </c>
      <c r="P74" s="355" t="s">
        <v>633</v>
      </c>
      <c r="Q74" s="355">
        <v>144</v>
      </c>
      <c r="R74" s="359">
        <v>46228.355081018519</v>
      </c>
      <c r="Y74" s="286"/>
      <c r="AA74" s="338">
        <f t="shared" si="1"/>
        <v>46225</v>
      </c>
      <c r="AB74" s="338"/>
    </row>
    <row r="75" spans="1:28" ht="45" customHeight="1" x14ac:dyDescent="0.3">
      <c r="A75" s="357">
        <v>67</v>
      </c>
      <c r="B75" s="380">
        <v>2110</v>
      </c>
      <c r="C75" s="355" t="s">
        <v>631</v>
      </c>
      <c r="D75" s="357"/>
      <c r="E75" s="355" t="s">
        <v>11</v>
      </c>
      <c r="F75" s="355" t="s">
        <v>640</v>
      </c>
      <c r="G75" s="355">
        <v>3102010001</v>
      </c>
      <c r="H75" s="355" t="s">
        <v>140</v>
      </c>
      <c r="I75" s="355" t="s">
        <v>41</v>
      </c>
      <c r="J75" s="355">
        <v>3200</v>
      </c>
      <c r="K75" s="358">
        <v>158413.91</v>
      </c>
      <c r="L75" s="281"/>
      <c r="M75" s="355">
        <v>0</v>
      </c>
      <c r="N75" s="355">
        <v>3200</v>
      </c>
      <c r="O75" s="358">
        <v>158413.91</v>
      </c>
      <c r="P75" s="355" t="s">
        <v>633</v>
      </c>
      <c r="Q75" s="355">
        <v>144</v>
      </c>
      <c r="R75" s="359">
        <v>46193.792939814812</v>
      </c>
      <c r="Y75" s="286"/>
      <c r="AA75" s="338">
        <f t="shared" si="1"/>
        <v>46193</v>
      </c>
      <c r="AB75" s="338"/>
    </row>
    <row r="76" spans="1:28" ht="45" customHeight="1" x14ac:dyDescent="0.3">
      <c r="A76" s="357">
        <v>68</v>
      </c>
      <c r="B76" s="380">
        <v>2114</v>
      </c>
      <c r="C76" s="355" t="s">
        <v>634</v>
      </c>
      <c r="D76" s="360">
        <v>1.50461506514993E+24</v>
      </c>
      <c r="E76" s="355" t="s">
        <v>11</v>
      </c>
      <c r="F76" s="355" t="s">
        <v>640</v>
      </c>
      <c r="G76" s="355">
        <v>3102010001</v>
      </c>
      <c r="H76" s="355" t="s">
        <v>140</v>
      </c>
      <c r="I76" s="355" t="s">
        <v>41</v>
      </c>
      <c r="J76" s="355">
        <v>6200</v>
      </c>
      <c r="K76" s="358">
        <v>306926.96000000002</v>
      </c>
      <c r="L76" s="355">
        <v>3941</v>
      </c>
      <c r="M76" s="358">
        <v>195096.63</v>
      </c>
      <c r="N76" s="355">
        <v>2259</v>
      </c>
      <c r="O76" s="358">
        <v>111830.32</v>
      </c>
      <c r="P76" s="355" t="s">
        <v>633</v>
      </c>
      <c r="Q76" s="355">
        <v>144</v>
      </c>
      <c r="R76" s="359">
        <v>46196.359039351853</v>
      </c>
      <c r="Y76" s="286"/>
      <c r="AA76" s="338">
        <f t="shared" si="1"/>
        <v>46194</v>
      </c>
      <c r="AB76" s="338"/>
    </row>
    <row r="77" spans="1:28" ht="45" customHeight="1" x14ac:dyDescent="0.3">
      <c r="A77" s="357">
        <v>69</v>
      </c>
      <c r="B77" s="380">
        <v>2211</v>
      </c>
      <c r="C77" s="355" t="s">
        <v>638</v>
      </c>
      <c r="D77" s="360">
        <v>1.5639156691558101E+19</v>
      </c>
      <c r="E77" s="355" t="s">
        <v>11</v>
      </c>
      <c r="F77" s="355" t="s">
        <v>640</v>
      </c>
      <c r="G77" s="355">
        <v>3102010001</v>
      </c>
      <c r="H77" s="355" t="s">
        <v>140</v>
      </c>
      <c r="I77" s="355" t="s">
        <v>41</v>
      </c>
      <c r="J77" s="355">
        <v>5500</v>
      </c>
      <c r="K77" s="358">
        <v>272273.90999999997</v>
      </c>
      <c r="L77" s="355">
        <v>3860</v>
      </c>
      <c r="M77" s="358">
        <v>191086.78</v>
      </c>
      <c r="N77" s="355">
        <v>1640</v>
      </c>
      <c r="O77" s="358">
        <v>81187.13</v>
      </c>
      <c r="P77" s="355" t="s">
        <v>633</v>
      </c>
      <c r="Q77" s="355">
        <v>144</v>
      </c>
      <c r="R77" s="359">
        <v>46228.357233796298</v>
      </c>
      <c r="Y77" s="286"/>
      <c r="AA77" s="338">
        <f t="shared" si="1"/>
        <v>46225</v>
      </c>
      <c r="AB77" s="338"/>
    </row>
    <row r="78" spans="1:28" ht="45" customHeight="1" x14ac:dyDescent="0.3">
      <c r="A78" s="357">
        <v>70</v>
      </c>
      <c r="B78" s="380">
        <v>2291</v>
      </c>
      <c r="C78" s="355" t="s">
        <v>641</v>
      </c>
      <c r="D78" s="357"/>
      <c r="E78" s="355" t="s">
        <v>11</v>
      </c>
      <c r="F78" s="355" t="s">
        <v>640</v>
      </c>
      <c r="G78" s="355">
        <v>3102010001</v>
      </c>
      <c r="H78" s="355" t="s">
        <v>140</v>
      </c>
      <c r="I78" s="355" t="s">
        <v>41</v>
      </c>
      <c r="J78" s="355">
        <v>5775</v>
      </c>
      <c r="K78" s="358">
        <v>285887.61</v>
      </c>
      <c r="L78" s="281"/>
      <c r="M78" s="355">
        <v>0</v>
      </c>
      <c r="N78" s="355">
        <v>5775</v>
      </c>
      <c r="O78" s="358">
        <v>285887.61</v>
      </c>
      <c r="P78" s="355" t="s">
        <v>637</v>
      </c>
      <c r="Q78" s="355">
        <v>144</v>
      </c>
      <c r="R78" s="359">
        <v>46260.691932870373</v>
      </c>
      <c r="Y78" s="286"/>
      <c r="AA78" s="338">
        <f t="shared" si="1"/>
        <v>46256</v>
      </c>
      <c r="AB78" s="338"/>
    </row>
    <row r="79" spans="1:28" ht="60" customHeight="1" x14ac:dyDescent="0.3">
      <c r="A79" s="357">
        <v>71</v>
      </c>
      <c r="B79" s="380">
        <v>2110</v>
      </c>
      <c r="C79" s="355" t="s">
        <v>631</v>
      </c>
      <c r="D79" s="357"/>
      <c r="E79" s="355" t="s">
        <v>11</v>
      </c>
      <c r="F79" s="355" t="s">
        <v>640</v>
      </c>
      <c r="G79" s="355">
        <v>3102010002</v>
      </c>
      <c r="H79" s="355" t="s">
        <v>141</v>
      </c>
      <c r="I79" s="355" t="s">
        <v>41</v>
      </c>
      <c r="J79" s="355">
        <v>3200</v>
      </c>
      <c r="K79" s="358">
        <v>105585.12</v>
      </c>
      <c r="L79" s="281"/>
      <c r="M79" s="355">
        <v>0</v>
      </c>
      <c r="N79" s="355">
        <v>3200</v>
      </c>
      <c r="O79" s="358">
        <v>105585.12</v>
      </c>
      <c r="P79" s="355" t="s">
        <v>633</v>
      </c>
      <c r="Q79" s="355">
        <v>144</v>
      </c>
      <c r="R79" s="359">
        <v>46193.792939814812</v>
      </c>
      <c r="Y79" s="286"/>
      <c r="AA79" s="338">
        <f t="shared" si="1"/>
        <v>46193</v>
      </c>
      <c r="AB79" s="338"/>
    </row>
    <row r="80" spans="1:28" ht="60" customHeight="1" x14ac:dyDescent="0.3">
      <c r="A80" s="357">
        <v>72</v>
      </c>
      <c r="B80" s="380">
        <v>2114</v>
      </c>
      <c r="C80" s="355" t="s">
        <v>634</v>
      </c>
      <c r="D80" s="360">
        <v>1.5281150211508999E+34</v>
      </c>
      <c r="E80" s="355" t="s">
        <v>11</v>
      </c>
      <c r="F80" s="355" t="s">
        <v>640</v>
      </c>
      <c r="G80" s="355">
        <v>3102010002</v>
      </c>
      <c r="H80" s="355" t="s">
        <v>141</v>
      </c>
      <c r="I80" s="355" t="s">
        <v>41</v>
      </c>
      <c r="J80" s="355">
        <v>6200</v>
      </c>
      <c r="K80" s="358">
        <v>204571.18</v>
      </c>
      <c r="L80" s="355">
        <v>5008</v>
      </c>
      <c r="M80" s="358">
        <v>165240.72</v>
      </c>
      <c r="N80" s="355">
        <v>1192</v>
      </c>
      <c r="O80" s="358">
        <v>39330.46</v>
      </c>
      <c r="P80" s="355" t="s">
        <v>633</v>
      </c>
      <c r="Q80" s="355">
        <v>144</v>
      </c>
      <c r="R80" s="359">
        <v>46196.359039351853</v>
      </c>
      <c r="Y80" s="286"/>
      <c r="AA80" s="338">
        <f t="shared" si="1"/>
        <v>46194</v>
      </c>
      <c r="AB80" s="338"/>
    </row>
    <row r="81" spans="1:28" ht="60" customHeight="1" x14ac:dyDescent="0.3">
      <c r="A81" s="357">
        <v>73</v>
      </c>
      <c r="B81" s="380">
        <v>2211</v>
      </c>
      <c r="C81" s="355" t="s">
        <v>638</v>
      </c>
      <c r="D81" s="360">
        <v>1.56691579915705E+19</v>
      </c>
      <c r="E81" s="355" t="s">
        <v>11</v>
      </c>
      <c r="F81" s="355" t="s">
        <v>640</v>
      </c>
      <c r="G81" s="355">
        <v>3102010002</v>
      </c>
      <c r="H81" s="355" t="s">
        <v>141</v>
      </c>
      <c r="I81" s="355" t="s">
        <v>41</v>
      </c>
      <c r="J81" s="355">
        <v>5500</v>
      </c>
      <c r="K81" s="358">
        <v>181474.43</v>
      </c>
      <c r="L81" s="355">
        <v>4461</v>
      </c>
      <c r="M81" s="358">
        <v>147192.26</v>
      </c>
      <c r="N81" s="355">
        <v>1039</v>
      </c>
      <c r="O81" s="358">
        <v>34282.17</v>
      </c>
      <c r="P81" s="355" t="s">
        <v>633</v>
      </c>
      <c r="Q81" s="355">
        <v>144</v>
      </c>
      <c r="R81" s="359">
        <v>46228.357233796298</v>
      </c>
      <c r="Y81" s="286"/>
      <c r="AA81" s="338">
        <f t="shared" si="1"/>
        <v>46225</v>
      </c>
      <c r="AB81" s="338"/>
    </row>
    <row r="82" spans="1:28" ht="60" customHeight="1" x14ac:dyDescent="0.3">
      <c r="A82" s="357">
        <v>74</v>
      </c>
      <c r="B82" s="380">
        <v>2291</v>
      </c>
      <c r="C82" s="355" t="s">
        <v>641</v>
      </c>
      <c r="D82" s="357"/>
      <c r="E82" s="355" t="s">
        <v>11</v>
      </c>
      <c r="F82" s="355" t="s">
        <v>640</v>
      </c>
      <c r="G82" s="355">
        <v>3102010002</v>
      </c>
      <c r="H82" s="355" t="s">
        <v>141</v>
      </c>
      <c r="I82" s="355" t="s">
        <v>41</v>
      </c>
      <c r="J82" s="355">
        <v>5775</v>
      </c>
      <c r="K82" s="358">
        <v>190548.15</v>
      </c>
      <c r="L82" s="281"/>
      <c r="M82" s="355">
        <v>0</v>
      </c>
      <c r="N82" s="355">
        <v>5775</v>
      </c>
      <c r="O82" s="358">
        <v>190548.15</v>
      </c>
      <c r="P82" s="355" t="s">
        <v>637</v>
      </c>
      <c r="Q82" s="355">
        <v>144</v>
      </c>
      <c r="R82" s="359">
        <v>46260.691932870373</v>
      </c>
      <c r="Y82" s="286"/>
      <c r="AA82" s="338">
        <f t="shared" si="1"/>
        <v>46256</v>
      </c>
      <c r="AB82" s="338"/>
    </row>
    <row r="83" spans="1:28" ht="60" customHeight="1" x14ac:dyDescent="0.3">
      <c r="A83" s="357">
        <v>75</v>
      </c>
      <c r="B83" s="380">
        <v>2110</v>
      </c>
      <c r="C83" s="355" t="s">
        <v>631</v>
      </c>
      <c r="D83" s="360">
        <v>1.4995152291519799E+19</v>
      </c>
      <c r="E83" s="355" t="s">
        <v>11</v>
      </c>
      <c r="F83" s="355" t="s">
        <v>640</v>
      </c>
      <c r="G83" s="355">
        <v>3102010003</v>
      </c>
      <c r="H83" s="355" t="s">
        <v>142</v>
      </c>
      <c r="I83" s="355" t="s">
        <v>41</v>
      </c>
      <c r="J83" s="355">
        <v>10000</v>
      </c>
      <c r="K83" s="358">
        <v>33477.69</v>
      </c>
      <c r="L83" s="355">
        <v>7352</v>
      </c>
      <c r="M83" s="358">
        <v>24612.799999999999</v>
      </c>
      <c r="N83" s="355">
        <v>2648</v>
      </c>
      <c r="O83" s="358">
        <v>8864.89</v>
      </c>
      <c r="P83" s="355" t="s">
        <v>633</v>
      </c>
      <c r="Q83" s="355">
        <v>144</v>
      </c>
      <c r="R83" s="359">
        <v>46193.792939814812</v>
      </c>
      <c r="Y83" s="286"/>
      <c r="AA83" s="338">
        <f t="shared" si="1"/>
        <v>46193</v>
      </c>
      <c r="AB83" s="338"/>
    </row>
    <row r="84" spans="1:28" ht="60" customHeight="1" x14ac:dyDescent="0.3">
      <c r="A84" s="357">
        <v>76</v>
      </c>
      <c r="B84" s="380">
        <v>2114</v>
      </c>
      <c r="C84" s="355" t="s">
        <v>634</v>
      </c>
      <c r="D84" s="355">
        <v>14993</v>
      </c>
      <c r="E84" s="355" t="s">
        <v>11</v>
      </c>
      <c r="F84" s="355" t="s">
        <v>640</v>
      </c>
      <c r="G84" s="355">
        <v>3102010003</v>
      </c>
      <c r="H84" s="355" t="s">
        <v>142</v>
      </c>
      <c r="I84" s="355" t="s">
        <v>41</v>
      </c>
      <c r="J84" s="355">
        <v>19</v>
      </c>
      <c r="K84" s="355">
        <v>63.61</v>
      </c>
      <c r="L84" s="355">
        <v>19</v>
      </c>
      <c r="M84" s="355">
        <v>63.61</v>
      </c>
      <c r="N84" s="355">
        <v>0</v>
      </c>
      <c r="O84" s="355">
        <v>0</v>
      </c>
      <c r="P84" s="355" t="s">
        <v>633</v>
      </c>
      <c r="Q84" s="355">
        <v>144</v>
      </c>
      <c r="R84" s="359">
        <v>46196.359039351853</v>
      </c>
      <c r="Y84" s="286"/>
      <c r="AA84" s="338">
        <f t="shared" si="1"/>
        <v>46194</v>
      </c>
      <c r="AB84" s="338"/>
    </row>
    <row r="85" spans="1:28" ht="60" customHeight="1" x14ac:dyDescent="0.3">
      <c r="A85" s="357">
        <v>77</v>
      </c>
      <c r="B85" s="380">
        <v>2152</v>
      </c>
      <c r="C85" s="361">
        <v>46060</v>
      </c>
      <c r="D85" s="355">
        <v>15023</v>
      </c>
      <c r="E85" s="355" t="s">
        <v>11</v>
      </c>
      <c r="F85" s="355" t="s">
        <v>640</v>
      </c>
      <c r="G85" s="355">
        <v>3102010003</v>
      </c>
      <c r="H85" s="355" t="s">
        <v>142</v>
      </c>
      <c r="I85" s="355" t="s">
        <v>41</v>
      </c>
      <c r="J85" s="355">
        <v>3000</v>
      </c>
      <c r="K85" s="358">
        <v>10043.31</v>
      </c>
      <c r="L85" s="355">
        <v>1800</v>
      </c>
      <c r="M85" s="358">
        <v>6025.99</v>
      </c>
      <c r="N85" s="355">
        <v>1200</v>
      </c>
      <c r="O85" s="358">
        <v>4017.32</v>
      </c>
      <c r="P85" s="355" t="s">
        <v>633</v>
      </c>
      <c r="Q85" s="355">
        <v>144</v>
      </c>
      <c r="R85" s="359">
        <v>46209.823888888888</v>
      </c>
      <c r="Y85" s="286"/>
      <c r="AA85" s="338">
        <f t="shared" si="1"/>
        <v>46060</v>
      </c>
      <c r="AB85" s="338"/>
    </row>
    <row r="86" spans="1:28" ht="60" customHeight="1" x14ac:dyDescent="0.3">
      <c r="A86" s="357">
        <v>78</v>
      </c>
      <c r="B86" s="380">
        <v>2211</v>
      </c>
      <c r="C86" s="355" t="s">
        <v>638</v>
      </c>
      <c r="D86" s="360">
        <v>1.56161558115614E+29</v>
      </c>
      <c r="E86" s="355" t="s">
        <v>11</v>
      </c>
      <c r="F86" s="355" t="s">
        <v>640</v>
      </c>
      <c r="G86" s="355">
        <v>3102010003</v>
      </c>
      <c r="H86" s="355" t="s">
        <v>142</v>
      </c>
      <c r="I86" s="355" t="s">
        <v>41</v>
      </c>
      <c r="J86" s="355">
        <v>18000</v>
      </c>
      <c r="K86" s="358">
        <v>60259.85</v>
      </c>
      <c r="L86" s="355">
        <v>16482</v>
      </c>
      <c r="M86" s="358">
        <v>55177.94</v>
      </c>
      <c r="N86" s="355">
        <v>1518</v>
      </c>
      <c r="O86" s="358">
        <v>5081.91</v>
      </c>
      <c r="P86" s="355" t="s">
        <v>633</v>
      </c>
      <c r="Q86" s="355">
        <v>144</v>
      </c>
      <c r="R86" s="359">
        <v>46228.357233796298</v>
      </c>
      <c r="Y86" s="286"/>
      <c r="AA86" s="338">
        <f t="shared" si="1"/>
        <v>46225</v>
      </c>
      <c r="AB86" s="338"/>
    </row>
    <row r="87" spans="1:28" ht="60" customHeight="1" x14ac:dyDescent="0.3">
      <c r="A87" s="357">
        <v>79</v>
      </c>
      <c r="B87" s="380">
        <v>2291</v>
      </c>
      <c r="C87" s="355" t="s">
        <v>641</v>
      </c>
      <c r="D87" s="357"/>
      <c r="E87" s="355" t="s">
        <v>11</v>
      </c>
      <c r="F87" s="355" t="s">
        <v>640</v>
      </c>
      <c r="G87" s="355">
        <v>3102010003</v>
      </c>
      <c r="H87" s="355" t="s">
        <v>142</v>
      </c>
      <c r="I87" s="355" t="s">
        <v>41</v>
      </c>
      <c r="J87" s="355">
        <v>17325</v>
      </c>
      <c r="K87" s="358">
        <v>58000.11</v>
      </c>
      <c r="L87" s="281"/>
      <c r="M87" s="355">
        <v>0</v>
      </c>
      <c r="N87" s="355">
        <v>17325</v>
      </c>
      <c r="O87" s="358">
        <v>58000.11</v>
      </c>
      <c r="P87" s="355" t="s">
        <v>637</v>
      </c>
      <c r="Q87" s="355">
        <v>144</v>
      </c>
      <c r="R87" s="359">
        <v>46260.691932870373</v>
      </c>
      <c r="Y87" s="286"/>
      <c r="AA87" s="338">
        <f t="shared" si="1"/>
        <v>46256</v>
      </c>
      <c r="AB87" s="338"/>
    </row>
    <row r="88" spans="1:28" ht="60" customHeight="1" x14ac:dyDescent="0.3">
      <c r="A88" s="357">
        <v>80</v>
      </c>
      <c r="B88" s="380">
        <v>2110</v>
      </c>
      <c r="C88" s="355" t="s">
        <v>631</v>
      </c>
      <c r="D88" s="360">
        <v>1575414405</v>
      </c>
      <c r="E88" s="355" t="s">
        <v>11</v>
      </c>
      <c r="F88" s="355" t="s">
        <v>640</v>
      </c>
      <c r="G88" s="355">
        <v>3102010004</v>
      </c>
      <c r="H88" s="355" t="s">
        <v>143</v>
      </c>
      <c r="I88" s="355" t="s">
        <v>41</v>
      </c>
      <c r="J88" s="355">
        <v>3200</v>
      </c>
      <c r="K88" s="358">
        <v>34253.910000000003</v>
      </c>
      <c r="L88" s="355">
        <v>2108</v>
      </c>
      <c r="M88" s="358">
        <v>22564.76</v>
      </c>
      <c r="N88" s="355">
        <v>1092</v>
      </c>
      <c r="O88" s="358">
        <v>11689.15</v>
      </c>
      <c r="P88" s="355" t="s">
        <v>633</v>
      </c>
      <c r="Q88" s="355">
        <v>144</v>
      </c>
      <c r="R88" s="359">
        <v>46193.792939814812</v>
      </c>
      <c r="Y88" s="286"/>
      <c r="AA88" s="338">
        <f t="shared" si="1"/>
        <v>46193</v>
      </c>
      <c r="AB88" s="338"/>
    </row>
    <row r="89" spans="1:28" ht="60" customHeight="1" x14ac:dyDescent="0.3">
      <c r="A89" s="357">
        <v>81</v>
      </c>
      <c r="B89" s="380">
        <v>2114</v>
      </c>
      <c r="C89" s="355" t="s">
        <v>634</v>
      </c>
      <c r="D89" s="360">
        <v>1.5708149931502099E+24</v>
      </c>
      <c r="E89" s="355" t="s">
        <v>11</v>
      </c>
      <c r="F89" s="355" t="s">
        <v>640</v>
      </c>
      <c r="G89" s="355">
        <v>3102010004</v>
      </c>
      <c r="H89" s="355" t="s">
        <v>143</v>
      </c>
      <c r="I89" s="355" t="s">
        <v>41</v>
      </c>
      <c r="J89" s="355">
        <v>6200</v>
      </c>
      <c r="K89" s="358">
        <v>66366.960000000006</v>
      </c>
      <c r="L89" s="355">
        <v>4375</v>
      </c>
      <c r="M89" s="358">
        <v>46831.519999999997</v>
      </c>
      <c r="N89" s="355">
        <v>1825</v>
      </c>
      <c r="O89" s="358">
        <v>19535.43</v>
      </c>
      <c r="P89" s="355" t="s">
        <v>633</v>
      </c>
      <c r="Q89" s="355">
        <v>144</v>
      </c>
      <c r="R89" s="359">
        <v>46196.359039351853</v>
      </c>
      <c r="Y89" s="286"/>
      <c r="AA89" s="338">
        <f t="shared" si="1"/>
        <v>46194</v>
      </c>
      <c r="AB89" s="338"/>
    </row>
    <row r="90" spans="1:28" ht="60" customHeight="1" x14ac:dyDescent="0.3">
      <c r="A90" s="357">
        <v>82</v>
      </c>
      <c r="B90" s="380">
        <v>2211</v>
      </c>
      <c r="C90" s="355" t="s">
        <v>638</v>
      </c>
      <c r="D90" s="360">
        <v>1.5532156691563901E+24</v>
      </c>
      <c r="E90" s="355" t="s">
        <v>11</v>
      </c>
      <c r="F90" s="355" t="s">
        <v>640</v>
      </c>
      <c r="G90" s="355">
        <v>3102010004</v>
      </c>
      <c r="H90" s="355" t="s">
        <v>143</v>
      </c>
      <c r="I90" s="355" t="s">
        <v>41</v>
      </c>
      <c r="J90" s="355">
        <v>5500</v>
      </c>
      <c r="K90" s="358">
        <v>58873.91</v>
      </c>
      <c r="L90" s="355">
        <v>5500</v>
      </c>
      <c r="M90" s="358">
        <v>58873.91</v>
      </c>
      <c r="N90" s="355">
        <v>0</v>
      </c>
      <c r="O90" s="355">
        <v>0</v>
      </c>
      <c r="P90" s="355" t="s">
        <v>633</v>
      </c>
      <c r="Q90" s="355">
        <v>144</v>
      </c>
      <c r="R90" s="359">
        <v>46228.357233796298</v>
      </c>
      <c r="Y90" s="286"/>
      <c r="AA90" s="338">
        <f t="shared" si="1"/>
        <v>46225</v>
      </c>
      <c r="AB90" s="338"/>
    </row>
    <row r="91" spans="1:28" ht="60" customHeight="1" x14ac:dyDescent="0.3">
      <c r="A91" s="357">
        <v>83</v>
      </c>
      <c r="B91" s="380">
        <v>2291</v>
      </c>
      <c r="C91" s="355" t="s">
        <v>641</v>
      </c>
      <c r="D91" s="357"/>
      <c r="E91" s="355" t="s">
        <v>11</v>
      </c>
      <c r="F91" s="355" t="s">
        <v>640</v>
      </c>
      <c r="G91" s="355">
        <v>3102010004</v>
      </c>
      <c r="H91" s="355" t="s">
        <v>143</v>
      </c>
      <c r="I91" s="355" t="s">
        <v>41</v>
      </c>
      <c r="J91" s="355">
        <v>5775</v>
      </c>
      <c r="K91" s="358">
        <v>61817.61</v>
      </c>
      <c r="L91" s="281"/>
      <c r="M91" s="355">
        <v>0</v>
      </c>
      <c r="N91" s="355">
        <v>5775</v>
      </c>
      <c r="O91" s="358">
        <v>61817.61</v>
      </c>
      <c r="P91" s="355" t="s">
        <v>637</v>
      </c>
      <c r="Q91" s="355">
        <v>144</v>
      </c>
      <c r="R91" s="359">
        <v>46260.691932870373</v>
      </c>
      <c r="Y91" s="286"/>
      <c r="AA91" s="338">
        <f t="shared" si="1"/>
        <v>46256</v>
      </c>
      <c r="AB91" s="338"/>
    </row>
    <row r="92" spans="1:28" ht="60" customHeight="1" x14ac:dyDescent="0.3">
      <c r="A92" s="357">
        <v>84</v>
      </c>
      <c r="B92" s="380">
        <v>2110</v>
      </c>
      <c r="C92" s="355" t="s">
        <v>631</v>
      </c>
      <c r="D92" s="355">
        <v>15843</v>
      </c>
      <c r="E92" s="355" t="s">
        <v>11</v>
      </c>
      <c r="F92" s="355" t="s">
        <v>640</v>
      </c>
      <c r="G92" s="355">
        <v>3102010005</v>
      </c>
      <c r="H92" s="355" t="s">
        <v>144</v>
      </c>
      <c r="I92" s="355" t="s">
        <v>41</v>
      </c>
      <c r="J92" s="355">
        <v>3000</v>
      </c>
      <c r="K92" s="358">
        <v>27290.400000000001</v>
      </c>
      <c r="L92" s="355">
        <v>3000</v>
      </c>
      <c r="M92" s="358">
        <v>27290.400000000001</v>
      </c>
      <c r="N92" s="355">
        <v>0</v>
      </c>
      <c r="O92" s="355">
        <v>0</v>
      </c>
      <c r="P92" s="355" t="s">
        <v>633</v>
      </c>
      <c r="Q92" s="355">
        <v>144</v>
      </c>
      <c r="R92" s="359">
        <v>46193.792939814812</v>
      </c>
      <c r="Y92" s="286"/>
      <c r="AA92" s="338">
        <f t="shared" si="1"/>
        <v>46193</v>
      </c>
      <c r="AB92" s="338"/>
    </row>
    <row r="93" spans="1:28" ht="60" customHeight="1" x14ac:dyDescent="0.3">
      <c r="A93" s="357">
        <v>85</v>
      </c>
      <c r="B93" s="380">
        <v>2114</v>
      </c>
      <c r="C93" s="355" t="s">
        <v>634</v>
      </c>
      <c r="D93" s="360">
        <v>153151533115021</v>
      </c>
      <c r="E93" s="355" t="s">
        <v>11</v>
      </c>
      <c r="F93" s="355" t="s">
        <v>640</v>
      </c>
      <c r="G93" s="355">
        <v>3102010005</v>
      </c>
      <c r="H93" s="355" t="s">
        <v>144</v>
      </c>
      <c r="I93" s="355" t="s">
        <v>41</v>
      </c>
      <c r="J93" s="355">
        <v>6200</v>
      </c>
      <c r="K93" s="358">
        <v>56400.17</v>
      </c>
      <c r="L93" s="355">
        <v>6200</v>
      </c>
      <c r="M93" s="358">
        <v>56400.17</v>
      </c>
      <c r="N93" s="355">
        <v>0</v>
      </c>
      <c r="O93" s="355">
        <v>0</v>
      </c>
      <c r="P93" s="355" t="s">
        <v>633</v>
      </c>
      <c r="Q93" s="355">
        <v>144</v>
      </c>
      <c r="R93" s="359">
        <v>46196.359039351853</v>
      </c>
      <c r="Y93" s="286"/>
      <c r="AA93" s="338">
        <f t="shared" si="1"/>
        <v>46194</v>
      </c>
      <c r="AB93" s="338"/>
    </row>
    <row r="94" spans="1:28" ht="60" customHeight="1" x14ac:dyDescent="0.3">
      <c r="A94" s="357">
        <v>86</v>
      </c>
      <c r="B94" s="380">
        <v>2211</v>
      </c>
      <c r="C94" s="355" t="s">
        <v>638</v>
      </c>
      <c r="D94" s="360">
        <v>153321581015863</v>
      </c>
      <c r="E94" s="355" t="s">
        <v>11</v>
      </c>
      <c r="F94" s="355" t="s">
        <v>640</v>
      </c>
      <c r="G94" s="355">
        <v>3102010005</v>
      </c>
      <c r="H94" s="355" t="s">
        <v>144</v>
      </c>
      <c r="I94" s="355" t="s">
        <v>41</v>
      </c>
      <c r="J94" s="355">
        <v>5500</v>
      </c>
      <c r="K94" s="358">
        <v>50032.41</v>
      </c>
      <c r="L94" s="355">
        <v>1500</v>
      </c>
      <c r="M94" s="358">
        <v>13645.2</v>
      </c>
      <c r="N94" s="355">
        <v>4000</v>
      </c>
      <c r="O94" s="358">
        <v>36387.199999999997</v>
      </c>
      <c r="P94" s="355" t="s">
        <v>633</v>
      </c>
      <c r="Q94" s="355">
        <v>144</v>
      </c>
      <c r="R94" s="359">
        <v>46228.357233796298</v>
      </c>
      <c r="Y94" s="286"/>
      <c r="AA94" s="338">
        <f t="shared" si="1"/>
        <v>46225</v>
      </c>
      <c r="AB94" s="338"/>
    </row>
    <row r="95" spans="1:28" ht="60" customHeight="1" x14ac:dyDescent="0.3">
      <c r="A95" s="357">
        <v>87</v>
      </c>
      <c r="B95" s="380">
        <v>2291</v>
      </c>
      <c r="C95" s="355" t="s">
        <v>641</v>
      </c>
      <c r="D95" s="357"/>
      <c r="E95" s="355" t="s">
        <v>11</v>
      </c>
      <c r="F95" s="355" t="s">
        <v>640</v>
      </c>
      <c r="G95" s="355">
        <v>3102010005</v>
      </c>
      <c r="H95" s="355" t="s">
        <v>144</v>
      </c>
      <c r="I95" s="355" t="s">
        <v>41</v>
      </c>
      <c r="J95" s="355">
        <v>5775</v>
      </c>
      <c r="K95" s="358">
        <v>52534.03</v>
      </c>
      <c r="L95" s="281"/>
      <c r="M95" s="355">
        <v>0</v>
      </c>
      <c r="N95" s="355">
        <v>5775</v>
      </c>
      <c r="O95" s="358">
        <v>52534.03</v>
      </c>
      <c r="P95" s="355" t="s">
        <v>637</v>
      </c>
      <c r="Q95" s="355">
        <v>144</v>
      </c>
      <c r="R95" s="359">
        <v>46260.691932870373</v>
      </c>
      <c r="Y95" s="286"/>
      <c r="AA95" s="338">
        <f t="shared" si="1"/>
        <v>46256</v>
      </c>
      <c r="AB95" s="338"/>
    </row>
    <row r="96" spans="1:28" ht="90" customHeight="1" x14ac:dyDescent="0.3">
      <c r="A96" s="357">
        <v>88</v>
      </c>
      <c r="B96" s="380">
        <v>2110</v>
      </c>
      <c r="C96" s="355" t="s">
        <v>631</v>
      </c>
      <c r="D96" s="360">
        <v>1440514690</v>
      </c>
      <c r="E96" s="355" t="s">
        <v>11</v>
      </c>
      <c r="F96" s="355" t="s">
        <v>640</v>
      </c>
      <c r="G96" s="355">
        <v>3102010006</v>
      </c>
      <c r="H96" s="355" t="s">
        <v>145</v>
      </c>
      <c r="I96" s="355" t="s">
        <v>41</v>
      </c>
      <c r="J96" s="355">
        <v>6500</v>
      </c>
      <c r="K96" s="358">
        <v>17578.259999999998</v>
      </c>
      <c r="L96" s="355">
        <v>5318</v>
      </c>
      <c r="M96" s="358">
        <v>14381.72</v>
      </c>
      <c r="N96" s="355">
        <v>1182</v>
      </c>
      <c r="O96" s="358">
        <v>3196.54</v>
      </c>
      <c r="P96" s="355" t="s">
        <v>633</v>
      </c>
      <c r="Q96" s="355">
        <v>144</v>
      </c>
      <c r="R96" s="359">
        <v>46193.792939814812</v>
      </c>
      <c r="Y96" s="286"/>
      <c r="AA96" s="338">
        <f t="shared" si="1"/>
        <v>46193</v>
      </c>
      <c r="AB96" s="338"/>
    </row>
    <row r="97" spans="1:28" ht="90" customHeight="1" x14ac:dyDescent="0.3">
      <c r="A97" s="357">
        <v>89</v>
      </c>
      <c r="B97" s="380">
        <v>2114</v>
      </c>
      <c r="C97" s="355" t="s">
        <v>634</v>
      </c>
      <c r="D97" s="360">
        <v>1.50211531415086E+19</v>
      </c>
      <c r="E97" s="355" t="s">
        <v>11</v>
      </c>
      <c r="F97" s="355" t="s">
        <v>640</v>
      </c>
      <c r="G97" s="355">
        <v>3102010006</v>
      </c>
      <c r="H97" s="355" t="s">
        <v>145</v>
      </c>
      <c r="I97" s="355" t="s">
        <v>41</v>
      </c>
      <c r="J97" s="355">
        <v>15500</v>
      </c>
      <c r="K97" s="358">
        <v>41917.39</v>
      </c>
      <c r="L97" s="355">
        <v>7106</v>
      </c>
      <c r="M97" s="358">
        <v>19217.099999999999</v>
      </c>
      <c r="N97" s="355">
        <v>8394</v>
      </c>
      <c r="O97" s="358">
        <v>22700.3</v>
      </c>
      <c r="P97" s="355" t="s">
        <v>633</v>
      </c>
      <c r="Q97" s="355">
        <v>144</v>
      </c>
      <c r="R97" s="359">
        <v>46196.359039351853</v>
      </c>
      <c r="Y97" s="286"/>
      <c r="AA97" s="338">
        <f t="shared" si="1"/>
        <v>46194</v>
      </c>
      <c r="AB97" s="338"/>
    </row>
    <row r="98" spans="1:28" ht="90" customHeight="1" x14ac:dyDescent="0.3">
      <c r="A98" s="357">
        <v>90</v>
      </c>
      <c r="B98" s="380">
        <v>2211</v>
      </c>
      <c r="C98" s="355" t="s">
        <v>638</v>
      </c>
      <c r="D98" s="360">
        <v>1.54241547215377E+24</v>
      </c>
      <c r="E98" s="355" t="s">
        <v>11</v>
      </c>
      <c r="F98" s="355" t="s">
        <v>640</v>
      </c>
      <c r="G98" s="355">
        <v>3102010006</v>
      </c>
      <c r="H98" s="355" t="s">
        <v>145</v>
      </c>
      <c r="I98" s="355" t="s">
        <v>41</v>
      </c>
      <c r="J98" s="355">
        <v>16000</v>
      </c>
      <c r="K98" s="358">
        <v>43269.57</v>
      </c>
      <c r="L98" s="355">
        <v>10925</v>
      </c>
      <c r="M98" s="358">
        <v>29545</v>
      </c>
      <c r="N98" s="355">
        <v>5075</v>
      </c>
      <c r="O98" s="358">
        <v>13724.57</v>
      </c>
      <c r="P98" s="355" t="s">
        <v>633</v>
      </c>
      <c r="Q98" s="355">
        <v>144</v>
      </c>
      <c r="R98" s="359">
        <v>46228.357233796298</v>
      </c>
      <c r="Y98" s="286"/>
      <c r="AA98" s="338">
        <f t="shared" si="1"/>
        <v>46225</v>
      </c>
      <c r="AB98" s="338"/>
    </row>
    <row r="99" spans="1:28" ht="90" customHeight="1" x14ac:dyDescent="0.3">
      <c r="A99" s="357">
        <v>91</v>
      </c>
      <c r="B99" s="380">
        <v>2291</v>
      </c>
      <c r="C99" s="355" t="s">
        <v>641</v>
      </c>
      <c r="D99" s="357"/>
      <c r="E99" s="355" t="s">
        <v>11</v>
      </c>
      <c r="F99" s="355" t="s">
        <v>640</v>
      </c>
      <c r="G99" s="355">
        <v>3102010006</v>
      </c>
      <c r="H99" s="355" t="s">
        <v>145</v>
      </c>
      <c r="I99" s="355" t="s">
        <v>41</v>
      </c>
      <c r="J99" s="355">
        <v>12600</v>
      </c>
      <c r="K99" s="358">
        <v>34074.78</v>
      </c>
      <c r="L99" s="281"/>
      <c r="M99" s="355">
        <v>0</v>
      </c>
      <c r="N99" s="355">
        <v>12600</v>
      </c>
      <c r="O99" s="358">
        <v>34074.78</v>
      </c>
      <c r="P99" s="355" t="s">
        <v>637</v>
      </c>
      <c r="Q99" s="355">
        <v>144</v>
      </c>
      <c r="R99" s="359">
        <v>46260.691932870373</v>
      </c>
      <c r="Y99" s="286"/>
      <c r="AA99" s="338">
        <f t="shared" si="1"/>
        <v>46256</v>
      </c>
      <c r="AB99" s="338"/>
    </row>
    <row r="100" spans="1:28" ht="60" customHeight="1" x14ac:dyDescent="0.3">
      <c r="A100" s="357">
        <v>92</v>
      </c>
      <c r="B100" s="380">
        <v>2110</v>
      </c>
      <c r="C100" s="355" t="s">
        <v>631</v>
      </c>
      <c r="D100" s="355">
        <v>14690</v>
      </c>
      <c r="E100" s="355" t="s">
        <v>11</v>
      </c>
      <c r="F100" s="355" t="s">
        <v>640</v>
      </c>
      <c r="G100" s="355">
        <v>3102010007</v>
      </c>
      <c r="H100" s="355" t="s">
        <v>146</v>
      </c>
      <c r="I100" s="355" t="s">
        <v>41</v>
      </c>
      <c r="J100" s="355">
        <v>6200</v>
      </c>
      <c r="K100" s="358">
        <v>16766.97</v>
      </c>
      <c r="L100" s="355">
        <v>6200</v>
      </c>
      <c r="M100" s="358">
        <v>16766.97</v>
      </c>
      <c r="N100" s="355">
        <v>0</v>
      </c>
      <c r="O100" s="355">
        <v>0</v>
      </c>
      <c r="P100" s="355" t="s">
        <v>633</v>
      </c>
      <c r="Q100" s="355">
        <v>144</v>
      </c>
      <c r="R100" s="359">
        <v>46193.792939814812</v>
      </c>
      <c r="Y100" s="286"/>
      <c r="AA100" s="338">
        <f t="shared" si="1"/>
        <v>46193</v>
      </c>
      <c r="AB100" s="338"/>
    </row>
    <row r="101" spans="1:28" ht="60" customHeight="1" x14ac:dyDescent="0.3">
      <c r="A101" s="357">
        <v>93</v>
      </c>
      <c r="B101" s="380">
        <v>2114</v>
      </c>
      <c r="C101" s="355" t="s">
        <v>634</v>
      </c>
      <c r="D101" s="355">
        <v>14691</v>
      </c>
      <c r="E101" s="355" t="s">
        <v>11</v>
      </c>
      <c r="F101" s="355" t="s">
        <v>640</v>
      </c>
      <c r="G101" s="355">
        <v>3102010007</v>
      </c>
      <c r="H101" s="355" t="s">
        <v>146</v>
      </c>
      <c r="I101" s="355" t="s">
        <v>41</v>
      </c>
      <c r="J101" s="355">
        <v>15500</v>
      </c>
      <c r="K101" s="358">
        <v>41917.42</v>
      </c>
      <c r="L101" s="355">
        <v>3500</v>
      </c>
      <c r="M101" s="358">
        <v>9465.2199999999993</v>
      </c>
      <c r="N101" s="355">
        <v>12000</v>
      </c>
      <c r="O101" s="358">
        <v>32452.2</v>
      </c>
      <c r="P101" s="355" t="s">
        <v>633</v>
      </c>
      <c r="Q101" s="355">
        <v>144</v>
      </c>
      <c r="R101" s="359">
        <v>46196.359039351853</v>
      </c>
      <c r="Y101" s="286"/>
      <c r="AA101" s="338">
        <f t="shared" si="1"/>
        <v>46194</v>
      </c>
      <c r="AB101" s="338"/>
    </row>
    <row r="102" spans="1:28" ht="60" customHeight="1" x14ac:dyDescent="0.3">
      <c r="A102" s="357">
        <v>94</v>
      </c>
      <c r="B102" s="380">
        <v>2211</v>
      </c>
      <c r="C102" s="355" t="s">
        <v>638</v>
      </c>
      <c r="D102" s="360">
        <v>1.5343153551542399E+19</v>
      </c>
      <c r="E102" s="355" t="s">
        <v>11</v>
      </c>
      <c r="F102" s="355" t="s">
        <v>640</v>
      </c>
      <c r="G102" s="355">
        <v>3102010007</v>
      </c>
      <c r="H102" s="355" t="s">
        <v>146</v>
      </c>
      <c r="I102" s="355" t="s">
        <v>41</v>
      </c>
      <c r="J102" s="355">
        <v>16000</v>
      </c>
      <c r="K102" s="358">
        <v>43269.599999999999</v>
      </c>
      <c r="L102" s="355">
        <v>16000</v>
      </c>
      <c r="M102" s="358">
        <v>43269.599999999999</v>
      </c>
      <c r="N102" s="355">
        <v>0</v>
      </c>
      <c r="O102" s="355">
        <v>0</v>
      </c>
      <c r="P102" s="355" t="s">
        <v>633</v>
      </c>
      <c r="Q102" s="355">
        <v>144</v>
      </c>
      <c r="R102" s="359">
        <v>46228.357233796298</v>
      </c>
      <c r="Y102" s="286"/>
      <c r="AA102" s="338">
        <f t="shared" si="1"/>
        <v>46225</v>
      </c>
      <c r="AB102" s="338"/>
    </row>
    <row r="103" spans="1:28" ht="60" customHeight="1" x14ac:dyDescent="0.3">
      <c r="A103" s="357">
        <v>95</v>
      </c>
      <c r="B103" s="380">
        <v>2291</v>
      </c>
      <c r="C103" s="355" t="s">
        <v>641</v>
      </c>
      <c r="D103" s="357"/>
      <c r="E103" s="355" t="s">
        <v>11</v>
      </c>
      <c r="F103" s="355" t="s">
        <v>640</v>
      </c>
      <c r="G103" s="355">
        <v>3102010007</v>
      </c>
      <c r="H103" s="355" t="s">
        <v>146</v>
      </c>
      <c r="I103" s="355" t="s">
        <v>41</v>
      </c>
      <c r="J103" s="355">
        <v>12600</v>
      </c>
      <c r="K103" s="358">
        <v>34074.81</v>
      </c>
      <c r="L103" s="281"/>
      <c r="M103" s="355">
        <v>0</v>
      </c>
      <c r="N103" s="355">
        <v>12600</v>
      </c>
      <c r="O103" s="358">
        <v>34074.81</v>
      </c>
      <c r="P103" s="355" t="s">
        <v>637</v>
      </c>
      <c r="Q103" s="355">
        <v>144</v>
      </c>
      <c r="R103" s="359">
        <v>46260.691932870373</v>
      </c>
      <c r="Y103" s="286"/>
      <c r="AA103" s="338">
        <f t="shared" si="1"/>
        <v>46256</v>
      </c>
      <c r="AB103" s="338"/>
    </row>
    <row r="104" spans="1:28" ht="45" customHeight="1" x14ac:dyDescent="0.3">
      <c r="A104" s="357">
        <v>96</v>
      </c>
      <c r="B104" s="380">
        <v>2110</v>
      </c>
      <c r="C104" s="355" t="s">
        <v>631</v>
      </c>
      <c r="D104" s="357"/>
      <c r="E104" s="355" t="s">
        <v>11</v>
      </c>
      <c r="F104" s="355" t="s">
        <v>640</v>
      </c>
      <c r="G104" s="355">
        <v>3102010008</v>
      </c>
      <c r="H104" s="355" t="s">
        <v>147</v>
      </c>
      <c r="I104" s="355" t="s">
        <v>41</v>
      </c>
      <c r="J104" s="355">
        <v>3000</v>
      </c>
      <c r="K104" s="358">
        <v>3129.78</v>
      </c>
      <c r="L104" s="281"/>
      <c r="M104" s="355">
        <v>0</v>
      </c>
      <c r="N104" s="355">
        <v>3000</v>
      </c>
      <c r="O104" s="358">
        <v>3129.78</v>
      </c>
      <c r="P104" s="355" t="s">
        <v>633</v>
      </c>
      <c r="Q104" s="355">
        <v>144</v>
      </c>
      <c r="R104" s="359">
        <v>46193.792939814812</v>
      </c>
      <c r="Y104" s="286"/>
      <c r="AA104" s="338">
        <f t="shared" si="1"/>
        <v>46193</v>
      </c>
      <c r="AB104" s="338"/>
    </row>
    <row r="105" spans="1:28" ht="45" customHeight="1" x14ac:dyDescent="0.3">
      <c r="A105" s="357">
        <v>97</v>
      </c>
      <c r="B105" s="380">
        <v>2114</v>
      </c>
      <c r="C105" s="355" t="s">
        <v>634</v>
      </c>
      <c r="D105" s="355">
        <v>15021</v>
      </c>
      <c r="E105" s="355" t="s">
        <v>11</v>
      </c>
      <c r="F105" s="355" t="s">
        <v>640</v>
      </c>
      <c r="G105" s="355">
        <v>3102010008</v>
      </c>
      <c r="H105" s="355" t="s">
        <v>147</v>
      </c>
      <c r="I105" s="355" t="s">
        <v>41</v>
      </c>
      <c r="J105" s="355">
        <v>6200</v>
      </c>
      <c r="K105" s="358">
        <v>6468.2</v>
      </c>
      <c r="L105" s="355">
        <v>5516</v>
      </c>
      <c r="M105" s="358">
        <v>5754.61</v>
      </c>
      <c r="N105" s="355">
        <v>684</v>
      </c>
      <c r="O105" s="355">
        <v>713.59</v>
      </c>
      <c r="P105" s="355" t="s">
        <v>633</v>
      </c>
      <c r="Q105" s="355">
        <v>144</v>
      </c>
      <c r="R105" s="359">
        <v>46196.359039351853</v>
      </c>
      <c r="Y105" s="286"/>
      <c r="AA105" s="338">
        <f t="shared" si="1"/>
        <v>46194</v>
      </c>
      <c r="AB105" s="338"/>
    </row>
    <row r="106" spans="1:28" ht="45" customHeight="1" x14ac:dyDescent="0.3">
      <c r="A106" s="357">
        <v>98</v>
      </c>
      <c r="B106" s="380">
        <v>2211</v>
      </c>
      <c r="C106" s="355" t="s">
        <v>638</v>
      </c>
      <c r="D106" s="355">
        <v>15562</v>
      </c>
      <c r="E106" s="355" t="s">
        <v>11</v>
      </c>
      <c r="F106" s="355" t="s">
        <v>640</v>
      </c>
      <c r="G106" s="355">
        <v>3102010008</v>
      </c>
      <c r="H106" s="355" t="s">
        <v>147</v>
      </c>
      <c r="I106" s="355" t="s">
        <v>41</v>
      </c>
      <c r="J106" s="355">
        <v>5500</v>
      </c>
      <c r="K106" s="358">
        <v>5737.92</v>
      </c>
      <c r="L106" s="355">
        <v>5500</v>
      </c>
      <c r="M106" s="358">
        <v>5737.92</v>
      </c>
      <c r="N106" s="355">
        <v>0</v>
      </c>
      <c r="O106" s="355">
        <v>0</v>
      </c>
      <c r="P106" s="355" t="s">
        <v>633</v>
      </c>
      <c r="Q106" s="355">
        <v>144</v>
      </c>
      <c r="R106" s="359">
        <v>46228.357233796298</v>
      </c>
      <c r="Y106" s="286"/>
      <c r="AA106" s="338">
        <f t="shared" si="1"/>
        <v>46225</v>
      </c>
      <c r="AB106" s="338"/>
    </row>
    <row r="107" spans="1:28" ht="45" customHeight="1" x14ac:dyDescent="0.3">
      <c r="A107" s="357">
        <v>99</v>
      </c>
      <c r="B107" s="380">
        <v>2291</v>
      </c>
      <c r="C107" s="355" t="s">
        <v>641</v>
      </c>
      <c r="D107" s="357"/>
      <c r="E107" s="355" t="s">
        <v>11</v>
      </c>
      <c r="F107" s="355" t="s">
        <v>640</v>
      </c>
      <c r="G107" s="355">
        <v>3102010008</v>
      </c>
      <c r="H107" s="355" t="s">
        <v>147</v>
      </c>
      <c r="I107" s="355" t="s">
        <v>41</v>
      </c>
      <c r="J107" s="355">
        <v>5775</v>
      </c>
      <c r="K107" s="358">
        <v>6024.82</v>
      </c>
      <c r="L107" s="281"/>
      <c r="M107" s="355">
        <v>0</v>
      </c>
      <c r="N107" s="355">
        <v>5775</v>
      </c>
      <c r="O107" s="358">
        <v>6024.82</v>
      </c>
      <c r="P107" s="355" t="s">
        <v>637</v>
      </c>
      <c r="Q107" s="355">
        <v>144</v>
      </c>
      <c r="R107" s="359">
        <v>46260.691932870373</v>
      </c>
      <c r="Y107" s="286"/>
      <c r="AA107" s="338">
        <f t="shared" si="1"/>
        <v>46256</v>
      </c>
      <c r="AB107" s="338"/>
    </row>
    <row r="108" spans="1:28" ht="45" customHeight="1" x14ac:dyDescent="0.3">
      <c r="A108" s="357">
        <v>100</v>
      </c>
      <c r="B108" s="380">
        <v>2211</v>
      </c>
      <c r="C108" s="355" t="s">
        <v>638</v>
      </c>
      <c r="D108" s="357"/>
      <c r="E108" s="355" t="s">
        <v>11</v>
      </c>
      <c r="F108" s="355" t="s">
        <v>640</v>
      </c>
      <c r="G108" s="355">
        <v>3102010009</v>
      </c>
      <c r="H108" s="355" t="s">
        <v>148</v>
      </c>
      <c r="I108" s="355" t="s">
        <v>41</v>
      </c>
      <c r="J108" s="355">
        <v>16000</v>
      </c>
      <c r="K108" s="358">
        <v>1113.18</v>
      </c>
      <c r="L108" s="281"/>
      <c r="M108" s="355">
        <v>0</v>
      </c>
      <c r="N108" s="355">
        <v>16000</v>
      </c>
      <c r="O108" s="358">
        <v>1113.18</v>
      </c>
      <c r="P108" s="355" t="s">
        <v>633</v>
      </c>
      <c r="Q108" s="355">
        <v>144</v>
      </c>
      <c r="R108" s="359">
        <v>46228.357233796298</v>
      </c>
      <c r="Y108" s="286"/>
      <c r="AA108" s="338">
        <f t="shared" si="1"/>
        <v>46225</v>
      </c>
      <c r="AB108" s="338"/>
    </row>
    <row r="109" spans="1:28" ht="45" customHeight="1" x14ac:dyDescent="0.3">
      <c r="A109" s="357">
        <v>101</v>
      </c>
      <c r="B109" s="380">
        <v>2291</v>
      </c>
      <c r="C109" s="355" t="s">
        <v>641</v>
      </c>
      <c r="D109" s="357"/>
      <c r="E109" s="355" t="s">
        <v>11</v>
      </c>
      <c r="F109" s="355" t="s">
        <v>640</v>
      </c>
      <c r="G109" s="355">
        <v>3102010009</v>
      </c>
      <c r="H109" s="355" t="s">
        <v>148</v>
      </c>
      <c r="I109" s="355" t="s">
        <v>41</v>
      </c>
      <c r="J109" s="355">
        <v>12600</v>
      </c>
      <c r="K109" s="355">
        <v>876.63</v>
      </c>
      <c r="L109" s="281"/>
      <c r="M109" s="355">
        <v>0</v>
      </c>
      <c r="N109" s="355">
        <v>12600</v>
      </c>
      <c r="O109" s="355">
        <v>876.63</v>
      </c>
      <c r="P109" s="355" t="s">
        <v>637</v>
      </c>
      <c r="Q109" s="355">
        <v>144</v>
      </c>
      <c r="R109" s="359">
        <v>46260.691932870373</v>
      </c>
      <c r="Y109" s="286"/>
      <c r="AA109" s="338">
        <f t="shared" si="1"/>
        <v>46256</v>
      </c>
      <c r="AB109" s="338"/>
    </row>
    <row r="110" spans="1:28" ht="60" customHeight="1" x14ac:dyDescent="0.3">
      <c r="A110" s="357">
        <v>102</v>
      </c>
      <c r="B110" s="380">
        <v>2110</v>
      </c>
      <c r="C110" s="355" t="s">
        <v>631</v>
      </c>
      <c r="D110" s="355">
        <v>14995</v>
      </c>
      <c r="E110" s="355" t="s">
        <v>11</v>
      </c>
      <c r="F110" s="355" t="s">
        <v>640</v>
      </c>
      <c r="G110" s="355">
        <v>3102010011</v>
      </c>
      <c r="H110" s="355" t="s">
        <v>150</v>
      </c>
      <c r="I110" s="355" t="s">
        <v>41</v>
      </c>
      <c r="J110" s="355">
        <v>6000</v>
      </c>
      <c r="K110" s="355">
        <v>261.76</v>
      </c>
      <c r="L110" s="355">
        <v>6000</v>
      </c>
      <c r="M110" s="355">
        <v>261.76</v>
      </c>
      <c r="N110" s="355">
        <v>0</v>
      </c>
      <c r="O110" s="355">
        <v>0</v>
      </c>
      <c r="P110" s="355" t="s">
        <v>633</v>
      </c>
      <c r="Q110" s="355">
        <v>144</v>
      </c>
      <c r="R110" s="359">
        <v>46193.792939814812</v>
      </c>
      <c r="Y110" s="286"/>
      <c r="AA110" s="338">
        <f t="shared" si="1"/>
        <v>46193</v>
      </c>
      <c r="AB110" s="338"/>
    </row>
    <row r="111" spans="1:28" ht="60" customHeight="1" x14ac:dyDescent="0.3">
      <c r="A111" s="357">
        <v>103</v>
      </c>
      <c r="B111" s="380">
        <v>2114</v>
      </c>
      <c r="C111" s="355" t="s">
        <v>634</v>
      </c>
      <c r="D111" s="355">
        <v>14912</v>
      </c>
      <c r="E111" s="355" t="s">
        <v>11</v>
      </c>
      <c r="F111" s="355" t="s">
        <v>640</v>
      </c>
      <c r="G111" s="355">
        <v>3102010011</v>
      </c>
      <c r="H111" s="355" t="s">
        <v>150</v>
      </c>
      <c r="I111" s="355" t="s">
        <v>41</v>
      </c>
      <c r="J111" s="355">
        <v>15500</v>
      </c>
      <c r="K111" s="355">
        <v>676.22</v>
      </c>
      <c r="L111" s="355">
        <v>15500</v>
      </c>
      <c r="M111" s="355">
        <v>676.22</v>
      </c>
      <c r="N111" s="355">
        <v>0</v>
      </c>
      <c r="O111" s="355">
        <v>0</v>
      </c>
      <c r="P111" s="355" t="s">
        <v>633</v>
      </c>
      <c r="Q111" s="355">
        <v>144</v>
      </c>
      <c r="R111" s="359">
        <v>46196.359039351853</v>
      </c>
      <c r="Y111" s="286"/>
      <c r="AA111" s="338">
        <f t="shared" si="1"/>
        <v>46194</v>
      </c>
      <c r="AB111" s="338"/>
    </row>
    <row r="112" spans="1:28" ht="60" customHeight="1" x14ac:dyDescent="0.3">
      <c r="A112" s="357">
        <v>104</v>
      </c>
      <c r="B112" s="380">
        <v>2211</v>
      </c>
      <c r="C112" s="355" t="s">
        <v>638</v>
      </c>
      <c r="D112" s="355">
        <v>15844</v>
      </c>
      <c r="E112" s="355" t="s">
        <v>11</v>
      </c>
      <c r="F112" s="355" t="s">
        <v>640</v>
      </c>
      <c r="G112" s="355">
        <v>3102010011</v>
      </c>
      <c r="H112" s="355" t="s">
        <v>150</v>
      </c>
      <c r="I112" s="355" t="s">
        <v>41</v>
      </c>
      <c r="J112" s="355">
        <v>16000</v>
      </c>
      <c r="K112" s="355">
        <v>698.04</v>
      </c>
      <c r="L112" s="355">
        <v>3500</v>
      </c>
      <c r="M112" s="355">
        <v>152.69999999999999</v>
      </c>
      <c r="N112" s="355">
        <v>12500</v>
      </c>
      <c r="O112" s="355">
        <v>545.34</v>
      </c>
      <c r="P112" s="355" t="s">
        <v>633</v>
      </c>
      <c r="Q112" s="355">
        <v>144</v>
      </c>
      <c r="R112" s="359">
        <v>46228.357233796298</v>
      </c>
      <c r="Y112" s="286"/>
      <c r="AA112" s="338">
        <f t="shared" si="1"/>
        <v>46225</v>
      </c>
      <c r="AB112" s="338"/>
    </row>
    <row r="113" spans="1:28" ht="60" customHeight="1" x14ac:dyDescent="0.3">
      <c r="A113" s="357">
        <v>105</v>
      </c>
      <c r="B113" s="380">
        <v>2291</v>
      </c>
      <c r="C113" s="355" t="s">
        <v>641</v>
      </c>
      <c r="D113" s="357"/>
      <c r="E113" s="355" t="s">
        <v>11</v>
      </c>
      <c r="F113" s="355" t="s">
        <v>640</v>
      </c>
      <c r="G113" s="355">
        <v>3102010011</v>
      </c>
      <c r="H113" s="355" t="s">
        <v>150</v>
      </c>
      <c r="I113" s="355" t="s">
        <v>41</v>
      </c>
      <c r="J113" s="355">
        <v>12600</v>
      </c>
      <c r="K113" s="355">
        <v>549.70000000000005</v>
      </c>
      <c r="L113" s="281"/>
      <c r="M113" s="355">
        <v>0</v>
      </c>
      <c r="N113" s="355">
        <v>12600</v>
      </c>
      <c r="O113" s="355">
        <v>549.70000000000005</v>
      </c>
      <c r="P113" s="355" t="s">
        <v>637</v>
      </c>
      <c r="Q113" s="355">
        <v>144</v>
      </c>
      <c r="R113" s="359">
        <v>46260.691932870373</v>
      </c>
      <c r="Y113" s="286"/>
      <c r="AA113" s="338">
        <f t="shared" si="1"/>
        <v>46256</v>
      </c>
      <c r="AB113" s="338"/>
    </row>
    <row r="114" spans="1:28" ht="45" customHeight="1" x14ac:dyDescent="0.3">
      <c r="A114" s="357">
        <v>106</v>
      </c>
      <c r="B114" s="380">
        <v>2112</v>
      </c>
      <c r="C114" s="355" t="s">
        <v>634</v>
      </c>
      <c r="D114" s="360">
        <v>1504514935</v>
      </c>
      <c r="E114" s="355" t="s">
        <v>11</v>
      </c>
      <c r="F114" s="355" t="s">
        <v>640</v>
      </c>
      <c r="G114" s="355">
        <v>3102010012</v>
      </c>
      <c r="H114" s="355" t="s">
        <v>151</v>
      </c>
      <c r="I114" s="355" t="s">
        <v>37</v>
      </c>
      <c r="J114" s="355">
        <v>13000</v>
      </c>
      <c r="K114" s="358">
        <v>660958.34</v>
      </c>
      <c r="L114" s="355">
        <v>13000</v>
      </c>
      <c r="M114" s="358">
        <v>660958.34</v>
      </c>
      <c r="N114" s="355">
        <v>0</v>
      </c>
      <c r="O114" s="355">
        <v>0</v>
      </c>
      <c r="P114" s="355" t="s">
        <v>633</v>
      </c>
      <c r="Q114" s="355">
        <v>144</v>
      </c>
      <c r="R114" s="359">
        <v>46196.358368055553</v>
      </c>
      <c r="Y114" s="286"/>
      <c r="AA114" s="338">
        <f t="shared" si="1"/>
        <v>46194</v>
      </c>
      <c r="AB114" s="338"/>
    </row>
    <row r="115" spans="1:28" ht="45" customHeight="1" x14ac:dyDescent="0.3">
      <c r="A115" s="357">
        <v>107</v>
      </c>
      <c r="B115" s="380">
        <v>2212</v>
      </c>
      <c r="C115" s="355" t="s">
        <v>638</v>
      </c>
      <c r="D115" s="357"/>
      <c r="E115" s="355" t="s">
        <v>11</v>
      </c>
      <c r="F115" s="355" t="s">
        <v>640</v>
      </c>
      <c r="G115" s="355">
        <v>3102010012</v>
      </c>
      <c r="H115" s="355" t="s">
        <v>151</v>
      </c>
      <c r="I115" s="355" t="s">
        <v>37</v>
      </c>
      <c r="J115" s="355">
        <v>10500</v>
      </c>
      <c r="K115" s="358">
        <v>533850.97</v>
      </c>
      <c r="L115" s="281"/>
      <c r="M115" s="355">
        <v>0</v>
      </c>
      <c r="N115" s="355">
        <v>10500</v>
      </c>
      <c r="O115" s="358">
        <v>533850.97</v>
      </c>
      <c r="P115" s="355" t="s">
        <v>637</v>
      </c>
      <c r="Q115" s="355">
        <v>144</v>
      </c>
      <c r="R115" s="359">
        <v>46228.35732638889</v>
      </c>
      <c r="Y115" s="286"/>
      <c r="AA115" s="338">
        <f t="shared" si="1"/>
        <v>46225</v>
      </c>
      <c r="AB115" s="338"/>
    </row>
    <row r="116" spans="1:28" ht="45" customHeight="1" x14ac:dyDescent="0.3">
      <c r="A116" s="357">
        <v>108</v>
      </c>
      <c r="B116" s="380">
        <v>2290</v>
      </c>
      <c r="C116" s="355" t="s">
        <v>641</v>
      </c>
      <c r="D116" s="357"/>
      <c r="E116" s="355" t="s">
        <v>11</v>
      </c>
      <c r="F116" s="355" t="s">
        <v>640</v>
      </c>
      <c r="G116" s="355">
        <v>3102010012</v>
      </c>
      <c r="H116" s="355" t="s">
        <v>151</v>
      </c>
      <c r="I116" s="355" t="s">
        <v>37</v>
      </c>
      <c r="J116" s="355">
        <v>7800</v>
      </c>
      <c r="K116" s="358">
        <v>396575</v>
      </c>
      <c r="L116" s="281"/>
      <c r="M116" s="355">
        <v>0</v>
      </c>
      <c r="N116" s="355">
        <v>7800</v>
      </c>
      <c r="O116" s="358">
        <v>396575</v>
      </c>
      <c r="P116" s="355" t="s">
        <v>637</v>
      </c>
      <c r="Q116" s="355">
        <v>144</v>
      </c>
      <c r="R116" s="359">
        <v>46260.691828703704</v>
      </c>
      <c r="Y116" s="286"/>
      <c r="AA116" s="338">
        <f t="shared" si="1"/>
        <v>46256</v>
      </c>
      <c r="AB116" s="338"/>
    </row>
    <row r="117" spans="1:28" ht="60" customHeight="1" x14ac:dyDescent="0.3">
      <c r="A117" s="357">
        <v>109</v>
      </c>
      <c r="B117" s="380">
        <v>2109</v>
      </c>
      <c r="C117" s="355" t="s">
        <v>631</v>
      </c>
      <c r="D117" s="360">
        <v>1.4871151061485E+34</v>
      </c>
      <c r="E117" s="355" t="s">
        <v>11</v>
      </c>
      <c r="F117" s="355" t="s">
        <v>640</v>
      </c>
      <c r="G117" s="355">
        <v>3102010013</v>
      </c>
      <c r="H117" s="355" t="s">
        <v>152</v>
      </c>
      <c r="I117" s="355" t="s">
        <v>14</v>
      </c>
      <c r="J117" s="355">
        <v>234</v>
      </c>
      <c r="K117" s="358">
        <v>40950</v>
      </c>
      <c r="L117" s="355">
        <v>200</v>
      </c>
      <c r="M117" s="358">
        <v>35000</v>
      </c>
      <c r="N117" s="355">
        <v>34</v>
      </c>
      <c r="O117" s="358">
        <v>5950</v>
      </c>
      <c r="P117" s="355" t="s">
        <v>633</v>
      </c>
      <c r="Q117" s="355">
        <v>144</v>
      </c>
      <c r="R117" s="359">
        <v>46193.79278935185</v>
      </c>
      <c r="Y117" s="286"/>
      <c r="AA117" s="338">
        <f t="shared" si="1"/>
        <v>46193</v>
      </c>
      <c r="AB117" s="338"/>
    </row>
    <row r="118" spans="1:28" ht="60" customHeight="1" x14ac:dyDescent="0.3">
      <c r="A118" s="357">
        <v>110</v>
      </c>
      <c r="B118" s="380">
        <v>2113</v>
      </c>
      <c r="C118" s="355" t="s">
        <v>634</v>
      </c>
      <c r="D118" s="357"/>
      <c r="E118" s="355" t="s">
        <v>11</v>
      </c>
      <c r="F118" s="355" t="s">
        <v>640</v>
      </c>
      <c r="G118" s="355">
        <v>3102010013</v>
      </c>
      <c r="H118" s="355" t="s">
        <v>152</v>
      </c>
      <c r="I118" s="355" t="s">
        <v>14</v>
      </c>
      <c r="J118" s="355">
        <v>20</v>
      </c>
      <c r="K118" s="358">
        <v>3500</v>
      </c>
      <c r="L118" s="281"/>
      <c r="M118" s="355">
        <v>0</v>
      </c>
      <c r="N118" s="355">
        <v>20</v>
      </c>
      <c r="O118" s="358">
        <v>3500</v>
      </c>
      <c r="P118" s="355" t="s">
        <v>637</v>
      </c>
      <c r="Q118" s="355">
        <v>144</v>
      </c>
      <c r="R118" s="359">
        <v>46196.358483796299</v>
      </c>
      <c r="Y118" s="286"/>
      <c r="AA118" s="338">
        <f t="shared" si="1"/>
        <v>46194</v>
      </c>
      <c r="AB118" s="338"/>
    </row>
    <row r="119" spans="1:28" ht="60" customHeight="1" x14ac:dyDescent="0.3">
      <c r="A119" s="357">
        <v>111</v>
      </c>
      <c r="B119" s="380">
        <v>2210</v>
      </c>
      <c r="C119" s="355" t="s">
        <v>638</v>
      </c>
      <c r="D119" s="357"/>
      <c r="E119" s="355" t="s">
        <v>11</v>
      </c>
      <c r="F119" s="355" t="s">
        <v>640</v>
      </c>
      <c r="G119" s="355">
        <v>3102010013</v>
      </c>
      <c r="H119" s="355" t="s">
        <v>152</v>
      </c>
      <c r="I119" s="355" t="s">
        <v>14</v>
      </c>
      <c r="J119" s="355">
        <v>150</v>
      </c>
      <c r="K119" s="358">
        <v>26250</v>
      </c>
      <c r="L119" s="281"/>
      <c r="M119" s="355">
        <v>0</v>
      </c>
      <c r="N119" s="355">
        <v>150</v>
      </c>
      <c r="O119" s="358">
        <v>26250</v>
      </c>
      <c r="P119" s="355" t="s">
        <v>633</v>
      </c>
      <c r="Q119" s="355">
        <v>144</v>
      </c>
      <c r="R119" s="359">
        <v>46228.357083333336</v>
      </c>
      <c r="Y119" s="286"/>
      <c r="AA119" s="338">
        <f t="shared" si="1"/>
        <v>46225</v>
      </c>
      <c r="AB119" s="338"/>
    </row>
    <row r="120" spans="1:28" ht="60" customHeight="1" x14ac:dyDescent="0.3">
      <c r="A120" s="357">
        <v>112</v>
      </c>
      <c r="B120" s="380">
        <v>2289</v>
      </c>
      <c r="C120" s="355" t="s">
        <v>641</v>
      </c>
      <c r="D120" s="357"/>
      <c r="E120" s="355" t="s">
        <v>11</v>
      </c>
      <c r="F120" s="355" t="s">
        <v>640</v>
      </c>
      <c r="G120" s="355">
        <v>3102010013</v>
      </c>
      <c r="H120" s="355" t="s">
        <v>152</v>
      </c>
      <c r="I120" s="355" t="s">
        <v>14</v>
      </c>
      <c r="J120" s="355">
        <v>115</v>
      </c>
      <c r="K120" s="358">
        <v>20125</v>
      </c>
      <c r="L120" s="281"/>
      <c r="M120" s="355">
        <v>0</v>
      </c>
      <c r="N120" s="355">
        <v>115</v>
      </c>
      <c r="O120" s="358">
        <v>20125</v>
      </c>
      <c r="P120" s="355" t="s">
        <v>637</v>
      </c>
      <c r="Q120" s="355">
        <v>144</v>
      </c>
      <c r="R120" s="359">
        <v>46260.691712962966</v>
      </c>
      <c r="Y120" s="286"/>
      <c r="AA120" s="338">
        <f t="shared" si="1"/>
        <v>46256</v>
      </c>
      <c r="AB120" s="338"/>
    </row>
    <row r="121" spans="1:28" ht="45" customHeight="1" x14ac:dyDescent="0.3">
      <c r="A121" s="357">
        <v>113</v>
      </c>
      <c r="B121" s="380">
        <v>2110</v>
      </c>
      <c r="C121" s="355" t="s">
        <v>631</v>
      </c>
      <c r="D121" s="360">
        <v>149211534814725</v>
      </c>
      <c r="E121" s="355" t="s">
        <v>11</v>
      </c>
      <c r="F121" s="355" t="s">
        <v>640</v>
      </c>
      <c r="G121" s="355">
        <v>3202010010</v>
      </c>
      <c r="H121" s="355" t="s">
        <v>319</v>
      </c>
      <c r="I121" s="355" t="s">
        <v>41</v>
      </c>
      <c r="J121" s="355">
        <v>3200</v>
      </c>
      <c r="K121" s="358">
        <v>236800</v>
      </c>
      <c r="L121" s="355">
        <v>2122</v>
      </c>
      <c r="M121" s="358">
        <v>157028</v>
      </c>
      <c r="N121" s="355">
        <v>1078</v>
      </c>
      <c r="O121" s="358">
        <v>79772</v>
      </c>
      <c r="P121" s="355" t="s">
        <v>633</v>
      </c>
      <c r="Q121" s="355">
        <v>144</v>
      </c>
      <c r="R121" s="359">
        <v>46193.792939814812</v>
      </c>
      <c r="Y121" s="286"/>
      <c r="AA121" s="338">
        <f t="shared" si="1"/>
        <v>46193</v>
      </c>
      <c r="AB121" s="338"/>
    </row>
    <row r="122" spans="1:28" ht="45" customHeight="1" x14ac:dyDescent="0.3">
      <c r="A122" s="357">
        <v>114</v>
      </c>
      <c r="B122" s="380">
        <v>2114</v>
      </c>
      <c r="C122" s="355" t="s">
        <v>634</v>
      </c>
      <c r="D122" s="360">
        <v>1.49931522815331E+69</v>
      </c>
      <c r="E122" s="355" t="s">
        <v>11</v>
      </c>
      <c r="F122" s="355" t="s">
        <v>640</v>
      </c>
      <c r="G122" s="355">
        <v>3202010010</v>
      </c>
      <c r="H122" s="355" t="s">
        <v>319</v>
      </c>
      <c r="I122" s="355" t="s">
        <v>41</v>
      </c>
      <c r="J122" s="355">
        <v>9200</v>
      </c>
      <c r="K122" s="358">
        <v>680800</v>
      </c>
      <c r="L122" s="355">
        <v>9200</v>
      </c>
      <c r="M122" s="358">
        <v>680800</v>
      </c>
      <c r="N122" s="355">
        <v>0</v>
      </c>
      <c r="O122" s="355">
        <v>0</v>
      </c>
      <c r="P122" s="355" t="s">
        <v>633</v>
      </c>
      <c r="Q122" s="355">
        <v>144</v>
      </c>
      <c r="R122" s="359">
        <v>46196.359039351853</v>
      </c>
      <c r="Y122" s="286"/>
      <c r="AA122" s="338">
        <f t="shared" si="1"/>
        <v>46194</v>
      </c>
      <c r="AB122" s="338"/>
    </row>
    <row r="123" spans="1:28" ht="45" customHeight="1" x14ac:dyDescent="0.3">
      <c r="A123" s="357">
        <v>115</v>
      </c>
      <c r="B123" s="380">
        <v>2211</v>
      </c>
      <c r="C123" s="355" t="s">
        <v>638</v>
      </c>
      <c r="D123" s="360">
        <v>1.53751552715472E+44</v>
      </c>
      <c r="E123" s="355" t="s">
        <v>11</v>
      </c>
      <c r="F123" s="355" t="s">
        <v>640</v>
      </c>
      <c r="G123" s="355">
        <v>3202010010</v>
      </c>
      <c r="H123" s="355" t="s">
        <v>319</v>
      </c>
      <c r="I123" s="355" t="s">
        <v>41</v>
      </c>
      <c r="J123" s="355">
        <v>11000</v>
      </c>
      <c r="K123" s="358">
        <v>814000</v>
      </c>
      <c r="L123" s="355">
        <v>9351</v>
      </c>
      <c r="M123" s="358">
        <v>691974</v>
      </c>
      <c r="N123" s="355">
        <v>1649</v>
      </c>
      <c r="O123" s="358">
        <v>122026</v>
      </c>
      <c r="P123" s="355" t="s">
        <v>633</v>
      </c>
      <c r="Q123" s="355">
        <v>144</v>
      </c>
      <c r="R123" s="359">
        <v>46228.357233796298</v>
      </c>
      <c r="Y123" s="286"/>
      <c r="AA123" s="338">
        <f t="shared" si="1"/>
        <v>46225</v>
      </c>
      <c r="AB123" s="338"/>
    </row>
    <row r="124" spans="1:28" ht="45" customHeight="1" x14ac:dyDescent="0.3">
      <c r="A124" s="357">
        <v>116</v>
      </c>
      <c r="B124" s="380">
        <v>2291</v>
      </c>
      <c r="C124" s="355" t="s">
        <v>641</v>
      </c>
      <c r="D124" s="357"/>
      <c r="E124" s="355" t="s">
        <v>11</v>
      </c>
      <c r="F124" s="355" t="s">
        <v>640</v>
      </c>
      <c r="G124" s="355">
        <v>3202010010</v>
      </c>
      <c r="H124" s="355" t="s">
        <v>319</v>
      </c>
      <c r="I124" s="355" t="s">
        <v>41</v>
      </c>
      <c r="J124" s="355">
        <v>6825</v>
      </c>
      <c r="K124" s="358">
        <v>505050</v>
      </c>
      <c r="L124" s="281"/>
      <c r="M124" s="355">
        <v>0</v>
      </c>
      <c r="N124" s="355">
        <v>6825</v>
      </c>
      <c r="O124" s="358">
        <v>505050</v>
      </c>
      <c r="P124" s="355" t="s">
        <v>637</v>
      </c>
      <c r="Q124" s="355">
        <v>144</v>
      </c>
      <c r="R124" s="359">
        <v>46260.691932870373</v>
      </c>
      <c r="Y124" s="286"/>
      <c r="AA124" s="338">
        <f t="shared" si="1"/>
        <v>46256</v>
      </c>
      <c r="AB124" s="338"/>
    </row>
    <row r="125" spans="1:28" ht="60" customHeight="1" x14ac:dyDescent="0.3">
      <c r="A125" s="357">
        <v>117</v>
      </c>
      <c r="B125" s="380">
        <v>2110</v>
      </c>
      <c r="C125" s="355" t="s">
        <v>631</v>
      </c>
      <c r="D125" s="360">
        <v>1.4526145251451899E+24</v>
      </c>
      <c r="E125" s="355" t="s">
        <v>11</v>
      </c>
      <c r="F125" s="355" t="s">
        <v>640</v>
      </c>
      <c r="G125" s="355">
        <v>3202010011</v>
      </c>
      <c r="H125" s="355" t="s">
        <v>320</v>
      </c>
      <c r="I125" s="355" t="s">
        <v>41</v>
      </c>
      <c r="J125" s="355">
        <v>3200</v>
      </c>
      <c r="K125" s="358">
        <v>160000</v>
      </c>
      <c r="L125" s="355">
        <v>3132</v>
      </c>
      <c r="M125" s="358">
        <v>156600</v>
      </c>
      <c r="N125" s="355">
        <v>68</v>
      </c>
      <c r="O125" s="358">
        <v>3400</v>
      </c>
      <c r="P125" s="355" t="s">
        <v>633</v>
      </c>
      <c r="Q125" s="355">
        <v>144</v>
      </c>
      <c r="R125" s="359">
        <v>46193.792939814812</v>
      </c>
      <c r="Y125" s="286"/>
      <c r="AA125" s="338">
        <f t="shared" si="1"/>
        <v>46193</v>
      </c>
      <c r="AB125" s="338"/>
    </row>
    <row r="126" spans="1:28" ht="60" customHeight="1" x14ac:dyDescent="0.3">
      <c r="A126" s="357">
        <v>118</v>
      </c>
      <c r="B126" s="380">
        <v>2114</v>
      </c>
      <c r="C126" s="355" t="s">
        <v>634</v>
      </c>
      <c r="D126" s="360">
        <v>1.5197150911513201E+39</v>
      </c>
      <c r="E126" s="355" t="s">
        <v>11</v>
      </c>
      <c r="F126" s="355" t="s">
        <v>640</v>
      </c>
      <c r="G126" s="355">
        <v>3202010011</v>
      </c>
      <c r="H126" s="355" t="s">
        <v>320</v>
      </c>
      <c r="I126" s="355" t="s">
        <v>41</v>
      </c>
      <c r="J126" s="355">
        <v>9000</v>
      </c>
      <c r="K126" s="358">
        <v>450000</v>
      </c>
      <c r="L126" s="355">
        <v>8023</v>
      </c>
      <c r="M126" s="358">
        <v>401150</v>
      </c>
      <c r="N126" s="355">
        <v>977</v>
      </c>
      <c r="O126" s="358">
        <v>48850</v>
      </c>
      <c r="P126" s="355" t="s">
        <v>633</v>
      </c>
      <c r="Q126" s="355">
        <v>144</v>
      </c>
      <c r="R126" s="359">
        <v>46196.359039351853</v>
      </c>
      <c r="Y126" s="286"/>
      <c r="AA126" s="338">
        <f t="shared" si="1"/>
        <v>46194</v>
      </c>
      <c r="AB126" s="338"/>
    </row>
    <row r="127" spans="1:28" ht="60" customHeight="1" x14ac:dyDescent="0.3">
      <c r="A127" s="357">
        <v>119</v>
      </c>
      <c r="B127" s="380">
        <v>2211</v>
      </c>
      <c r="C127" s="355" t="s">
        <v>638</v>
      </c>
      <c r="D127" s="360">
        <v>158631591415901</v>
      </c>
      <c r="E127" s="355" t="s">
        <v>11</v>
      </c>
      <c r="F127" s="355" t="s">
        <v>640</v>
      </c>
      <c r="G127" s="355">
        <v>3202010011</v>
      </c>
      <c r="H127" s="355" t="s">
        <v>320</v>
      </c>
      <c r="I127" s="355" t="s">
        <v>41</v>
      </c>
      <c r="J127" s="355">
        <v>11000</v>
      </c>
      <c r="K127" s="358">
        <v>550000</v>
      </c>
      <c r="L127" s="355">
        <v>3750</v>
      </c>
      <c r="M127" s="358">
        <v>187500</v>
      </c>
      <c r="N127" s="355">
        <v>7250</v>
      </c>
      <c r="O127" s="358">
        <v>362500</v>
      </c>
      <c r="P127" s="355" t="s">
        <v>633</v>
      </c>
      <c r="Q127" s="355">
        <v>144</v>
      </c>
      <c r="R127" s="359">
        <v>46228.357233796298</v>
      </c>
      <c r="Y127" s="286"/>
      <c r="AA127" s="338">
        <f t="shared" si="1"/>
        <v>46225</v>
      </c>
      <c r="AB127" s="338"/>
    </row>
    <row r="128" spans="1:28" ht="60" customHeight="1" x14ac:dyDescent="0.3">
      <c r="A128" s="357">
        <v>120</v>
      </c>
      <c r="B128" s="380">
        <v>2291</v>
      </c>
      <c r="C128" s="355" t="s">
        <v>641</v>
      </c>
      <c r="D128" s="357"/>
      <c r="E128" s="355" t="s">
        <v>11</v>
      </c>
      <c r="F128" s="355" t="s">
        <v>640</v>
      </c>
      <c r="G128" s="355">
        <v>3202010011</v>
      </c>
      <c r="H128" s="355" t="s">
        <v>320</v>
      </c>
      <c r="I128" s="355" t="s">
        <v>41</v>
      </c>
      <c r="J128" s="355">
        <v>6825</v>
      </c>
      <c r="K128" s="358">
        <v>341250</v>
      </c>
      <c r="L128" s="281"/>
      <c r="M128" s="355">
        <v>0</v>
      </c>
      <c r="N128" s="355">
        <v>6825</v>
      </c>
      <c r="O128" s="358">
        <v>341250</v>
      </c>
      <c r="P128" s="355" t="s">
        <v>637</v>
      </c>
      <c r="Q128" s="355">
        <v>144</v>
      </c>
      <c r="R128" s="359">
        <v>46260.691932870373</v>
      </c>
      <c r="Y128" s="286"/>
      <c r="AA128" s="338">
        <f t="shared" si="1"/>
        <v>46256</v>
      </c>
      <c r="AB128" s="338"/>
    </row>
    <row r="129" spans="1:28" ht="60" customHeight="1" x14ac:dyDescent="0.3">
      <c r="A129" s="357">
        <v>121</v>
      </c>
      <c r="B129" s="380">
        <v>2110</v>
      </c>
      <c r="C129" s="355" t="s">
        <v>631</v>
      </c>
      <c r="D129" s="360">
        <v>1502414996</v>
      </c>
      <c r="E129" s="355" t="s">
        <v>11</v>
      </c>
      <c r="F129" s="355" t="s">
        <v>640</v>
      </c>
      <c r="G129" s="355">
        <v>3202010012</v>
      </c>
      <c r="H129" s="355" t="s">
        <v>321</v>
      </c>
      <c r="I129" s="355" t="s">
        <v>41</v>
      </c>
      <c r="J129" s="355">
        <v>3200</v>
      </c>
      <c r="K129" s="358">
        <v>34830.17</v>
      </c>
      <c r="L129" s="355">
        <v>1735</v>
      </c>
      <c r="M129" s="358">
        <v>18884.48</v>
      </c>
      <c r="N129" s="355">
        <v>1465</v>
      </c>
      <c r="O129" s="358">
        <v>15945.69</v>
      </c>
      <c r="P129" s="355" t="s">
        <v>633</v>
      </c>
      <c r="Q129" s="355">
        <v>144</v>
      </c>
      <c r="R129" s="359">
        <v>46193.792939814812</v>
      </c>
      <c r="Y129" s="286"/>
      <c r="AA129" s="338">
        <f t="shared" ref="AA129:AA192" si="2">IFERROR(
IF(ISNUMBER(C129),C129,DATE(VALUE(RIGHT(C129,4)),VALUE(MID(SUBSTITUTE(C129,"/","-"),FIND("-",SUBSTITUTE(C129,"/","-"))+1,FIND("-",SUBSTITUTE(C129,"/","-"),FIND("-",SUBSTITUTE(C129,"/","-"))+1)-FIND("-",SUBSTITUTE(C129,"/","-"))-1)),VALUE(LEFT(SUBSTITUTE(C129,"/","-"),FIND("-",SUBSTITUTE(C129,"/","-"))-1)))),
DATE(1995,1,1)
)</f>
        <v>46193</v>
      </c>
      <c r="AB129" s="338"/>
    </row>
    <row r="130" spans="1:28" ht="60" customHeight="1" x14ac:dyDescent="0.3">
      <c r="A130" s="357">
        <v>122</v>
      </c>
      <c r="B130" s="380">
        <v>2114</v>
      </c>
      <c r="C130" s="355" t="s">
        <v>634</v>
      </c>
      <c r="D130" s="360">
        <v>1.4889149761491101E+24</v>
      </c>
      <c r="E130" s="355" t="s">
        <v>11</v>
      </c>
      <c r="F130" s="355" t="s">
        <v>640</v>
      </c>
      <c r="G130" s="355">
        <v>3202010012</v>
      </c>
      <c r="H130" s="355" t="s">
        <v>321</v>
      </c>
      <c r="I130" s="355" t="s">
        <v>41</v>
      </c>
      <c r="J130" s="355">
        <v>9000</v>
      </c>
      <c r="K130" s="358">
        <v>97959.84</v>
      </c>
      <c r="L130" s="355">
        <v>9000</v>
      </c>
      <c r="M130" s="358">
        <v>97959.84</v>
      </c>
      <c r="N130" s="355">
        <v>0</v>
      </c>
      <c r="O130" s="355">
        <v>0</v>
      </c>
      <c r="P130" s="355" t="s">
        <v>633</v>
      </c>
      <c r="Q130" s="355">
        <v>144</v>
      </c>
      <c r="R130" s="359">
        <v>46196.359039351853</v>
      </c>
      <c r="Y130" s="286"/>
      <c r="AA130" s="338">
        <f t="shared" si="2"/>
        <v>46194</v>
      </c>
      <c r="AB130" s="338"/>
    </row>
    <row r="131" spans="1:28" ht="60" customHeight="1" x14ac:dyDescent="0.3">
      <c r="A131" s="357">
        <v>123</v>
      </c>
      <c r="B131" s="380">
        <v>2211</v>
      </c>
      <c r="C131" s="355" t="s">
        <v>638</v>
      </c>
      <c r="D131" s="360">
        <v>1.53751591415901E+24</v>
      </c>
      <c r="E131" s="355" t="s">
        <v>11</v>
      </c>
      <c r="F131" s="355" t="s">
        <v>640</v>
      </c>
      <c r="G131" s="355">
        <v>3202010012</v>
      </c>
      <c r="H131" s="355" t="s">
        <v>321</v>
      </c>
      <c r="I131" s="355" t="s">
        <v>41</v>
      </c>
      <c r="J131" s="355">
        <v>11000</v>
      </c>
      <c r="K131" s="358">
        <v>119728.7</v>
      </c>
      <c r="L131" s="355">
        <v>9437</v>
      </c>
      <c r="M131" s="358">
        <v>102716.34</v>
      </c>
      <c r="N131" s="355">
        <v>1563</v>
      </c>
      <c r="O131" s="358">
        <v>17012.36</v>
      </c>
      <c r="P131" s="355" t="s">
        <v>633</v>
      </c>
      <c r="Q131" s="355">
        <v>144</v>
      </c>
      <c r="R131" s="359">
        <v>46228.357233796298</v>
      </c>
      <c r="Y131" s="286"/>
      <c r="AA131" s="338">
        <f t="shared" si="2"/>
        <v>46225</v>
      </c>
      <c r="AB131" s="338"/>
    </row>
    <row r="132" spans="1:28" ht="60" customHeight="1" x14ac:dyDescent="0.3">
      <c r="A132" s="357">
        <v>124</v>
      </c>
      <c r="B132" s="380">
        <v>2291</v>
      </c>
      <c r="C132" s="355" t="s">
        <v>641</v>
      </c>
      <c r="D132" s="357"/>
      <c r="E132" s="355" t="s">
        <v>11</v>
      </c>
      <c r="F132" s="355" t="s">
        <v>640</v>
      </c>
      <c r="G132" s="355">
        <v>3202010012</v>
      </c>
      <c r="H132" s="355" t="s">
        <v>321</v>
      </c>
      <c r="I132" s="355" t="s">
        <v>41</v>
      </c>
      <c r="J132" s="355">
        <v>6825</v>
      </c>
      <c r="K132" s="358">
        <v>74286.210000000006</v>
      </c>
      <c r="L132" s="281"/>
      <c r="M132" s="355">
        <v>0</v>
      </c>
      <c r="N132" s="355">
        <v>6825</v>
      </c>
      <c r="O132" s="358">
        <v>74286.210000000006</v>
      </c>
      <c r="P132" s="355" t="s">
        <v>637</v>
      </c>
      <c r="Q132" s="355">
        <v>144</v>
      </c>
      <c r="R132" s="359">
        <v>46260.691932870373</v>
      </c>
      <c r="Y132" s="286"/>
      <c r="AA132" s="338">
        <f t="shared" si="2"/>
        <v>46256</v>
      </c>
      <c r="AB132" s="338"/>
    </row>
    <row r="133" spans="1:28" ht="60" customHeight="1" x14ac:dyDescent="0.3">
      <c r="A133" s="357">
        <v>125</v>
      </c>
      <c r="B133" s="380">
        <v>2110</v>
      </c>
      <c r="C133" s="355" t="s">
        <v>631</v>
      </c>
      <c r="D133" s="360">
        <v>1534214811</v>
      </c>
      <c r="E133" s="355" t="s">
        <v>11</v>
      </c>
      <c r="F133" s="355" t="s">
        <v>640</v>
      </c>
      <c r="G133" s="355">
        <v>3202010013</v>
      </c>
      <c r="H133" s="355" t="s">
        <v>322</v>
      </c>
      <c r="I133" s="355" t="s">
        <v>41</v>
      </c>
      <c r="J133" s="355">
        <v>10000</v>
      </c>
      <c r="K133" s="358">
        <v>67043.48</v>
      </c>
      <c r="L133" s="355">
        <v>5533</v>
      </c>
      <c r="M133" s="358">
        <v>37095.160000000003</v>
      </c>
      <c r="N133" s="355">
        <v>4467</v>
      </c>
      <c r="O133" s="358">
        <v>29948.32</v>
      </c>
      <c r="P133" s="355" t="s">
        <v>633</v>
      </c>
      <c r="Q133" s="355">
        <v>144</v>
      </c>
      <c r="R133" s="359">
        <v>46193.792939814812</v>
      </c>
      <c r="Y133" s="286"/>
      <c r="AA133" s="338">
        <f t="shared" si="2"/>
        <v>46193</v>
      </c>
      <c r="AB133" s="338"/>
    </row>
    <row r="134" spans="1:28" ht="60" customHeight="1" x14ac:dyDescent="0.3">
      <c r="A134" s="357">
        <v>126</v>
      </c>
      <c r="B134" s="380">
        <v>2114</v>
      </c>
      <c r="C134" s="355" t="s">
        <v>634</v>
      </c>
      <c r="D134" s="360">
        <v>1.5215150351531101E+49</v>
      </c>
      <c r="E134" s="355" t="s">
        <v>11</v>
      </c>
      <c r="F134" s="355" t="s">
        <v>640</v>
      </c>
      <c r="G134" s="355">
        <v>3202010013</v>
      </c>
      <c r="H134" s="355" t="s">
        <v>322</v>
      </c>
      <c r="I134" s="355" t="s">
        <v>41</v>
      </c>
      <c r="J134" s="355">
        <v>28000</v>
      </c>
      <c r="K134" s="358">
        <v>187721.74</v>
      </c>
      <c r="L134" s="355">
        <v>22070</v>
      </c>
      <c r="M134" s="358">
        <v>147964.96</v>
      </c>
      <c r="N134" s="355">
        <v>5930</v>
      </c>
      <c r="O134" s="358">
        <v>39756.78</v>
      </c>
      <c r="P134" s="355" t="s">
        <v>633</v>
      </c>
      <c r="Q134" s="355">
        <v>144</v>
      </c>
      <c r="R134" s="359">
        <v>46196.359039351853</v>
      </c>
      <c r="Y134" s="286"/>
      <c r="AA134" s="338">
        <f t="shared" si="2"/>
        <v>46194</v>
      </c>
      <c r="AB134" s="338"/>
    </row>
    <row r="135" spans="1:28" ht="60" customHeight="1" x14ac:dyDescent="0.3">
      <c r="A135" s="357">
        <v>127</v>
      </c>
      <c r="B135" s="380">
        <v>2211</v>
      </c>
      <c r="C135" s="355" t="s">
        <v>638</v>
      </c>
      <c r="D135" s="360">
        <v>154241546115581</v>
      </c>
      <c r="E135" s="355" t="s">
        <v>11</v>
      </c>
      <c r="F135" s="355" t="s">
        <v>640</v>
      </c>
      <c r="G135" s="355">
        <v>3202010013</v>
      </c>
      <c r="H135" s="355" t="s">
        <v>322</v>
      </c>
      <c r="I135" s="355" t="s">
        <v>41</v>
      </c>
      <c r="J135" s="355">
        <v>33000</v>
      </c>
      <c r="K135" s="358">
        <v>221243.48</v>
      </c>
      <c r="L135" s="355">
        <v>6965</v>
      </c>
      <c r="M135" s="358">
        <v>46695.78</v>
      </c>
      <c r="N135" s="355">
        <v>26035</v>
      </c>
      <c r="O135" s="358">
        <v>174547.69</v>
      </c>
      <c r="P135" s="355" t="s">
        <v>633</v>
      </c>
      <c r="Q135" s="355">
        <v>144</v>
      </c>
      <c r="R135" s="359">
        <v>46228.357233796298</v>
      </c>
      <c r="Y135" s="286"/>
      <c r="AA135" s="338">
        <f t="shared" si="2"/>
        <v>46225</v>
      </c>
      <c r="AB135" s="338"/>
    </row>
    <row r="136" spans="1:28" ht="60" customHeight="1" x14ac:dyDescent="0.3">
      <c r="A136" s="357">
        <v>128</v>
      </c>
      <c r="B136" s="380">
        <v>2291</v>
      </c>
      <c r="C136" s="355" t="s">
        <v>641</v>
      </c>
      <c r="D136" s="357"/>
      <c r="E136" s="355" t="s">
        <v>11</v>
      </c>
      <c r="F136" s="355" t="s">
        <v>640</v>
      </c>
      <c r="G136" s="355">
        <v>3202010013</v>
      </c>
      <c r="H136" s="355" t="s">
        <v>322</v>
      </c>
      <c r="I136" s="355" t="s">
        <v>41</v>
      </c>
      <c r="J136" s="355">
        <v>20475</v>
      </c>
      <c r="K136" s="358">
        <v>137271.51999999999</v>
      </c>
      <c r="L136" s="281"/>
      <c r="M136" s="355">
        <v>0</v>
      </c>
      <c r="N136" s="355">
        <v>20475</v>
      </c>
      <c r="O136" s="358">
        <v>137271.51999999999</v>
      </c>
      <c r="P136" s="355" t="s">
        <v>637</v>
      </c>
      <c r="Q136" s="355">
        <v>144</v>
      </c>
      <c r="R136" s="359">
        <v>46260.691932870373</v>
      </c>
      <c r="Y136" s="286"/>
      <c r="AA136" s="338">
        <f t="shared" si="2"/>
        <v>46256</v>
      </c>
      <c r="AB136" s="338"/>
    </row>
    <row r="137" spans="1:28" ht="45" customHeight="1" x14ac:dyDescent="0.3">
      <c r="A137" s="357">
        <v>129</v>
      </c>
      <c r="B137" s="380">
        <v>2110</v>
      </c>
      <c r="C137" s="355" t="s">
        <v>631</v>
      </c>
      <c r="D137" s="355">
        <v>14690</v>
      </c>
      <c r="E137" s="355" t="s">
        <v>11</v>
      </c>
      <c r="F137" s="355" t="s">
        <v>640</v>
      </c>
      <c r="G137" s="355">
        <v>3202010014</v>
      </c>
      <c r="H137" s="355" t="s">
        <v>323</v>
      </c>
      <c r="I137" s="355" t="s">
        <v>41</v>
      </c>
      <c r="J137" s="355">
        <v>3000</v>
      </c>
      <c r="K137" s="358">
        <v>4043.45</v>
      </c>
      <c r="L137" s="355">
        <v>3000</v>
      </c>
      <c r="M137" s="358">
        <v>4043.45</v>
      </c>
      <c r="N137" s="355">
        <v>0</v>
      </c>
      <c r="O137" s="355">
        <v>0</v>
      </c>
      <c r="P137" s="355" t="s">
        <v>633</v>
      </c>
      <c r="Q137" s="355">
        <v>144</v>
      </c>
      <c r="R137" s="359">
        <v>46193.792939814812</v>
      </c>
      <c r="Y137" s="286"/>
      <c r="AA137" s="338">
        <f t="shared" si="2"/>
        <v>46193</v>
      </c>
      <c r="AB137" s="338"/>
    </row>
    <row r="138" spans="1:28" ht="45" customHeight="1" x14ac:dyDescent="0.3">
      <c r="A138" s="357">
        <v>130</v>
      </c>
      <c r="B138" s="380">
        <v>2114</v>
      </c>
      <c r="C138" s="355" t="s">
        <v>634</v>
      </c>
      <c r="D138" s="360">
        <v>1.5022149471469101E+24</v>
      </c>
      <c r="E138" s="355" t="s">
        <v>11</v>
      </c>
      <c r="F138" s="355" t="s">
        <v>640</v>
      </c>
      <c r="G138" s="355">
        <v>3202010014</v>
      </c>
      <c r="H138" s="355" t="s">
        <v>323</v>
      </c>
      <c r="I138" s="355" t="s">
        <v>41</v>
      </c>
      <c r="J138" s="355">
        <v>9200</v>
      </c>
      <c r="K138" s="358">
        <v>12399.93</v>
      </c>
      <c r="L138" s="355">
        <v>7586</v>
      </c>
      <c r="M138" s="358">
        <v>10224.549999999999</v>
      </c>
      <c r="N138" s="355">
        <v>1614</v>
      </c>
      <c r="O138" s="358">
        <v>2175.38</v>
      </c>
      <c r="P138" s="355" t="s">
        <v>633</v>
      </c>
      <c r="Q138" s="355">
        <v>144</v>
      </c>
      <c r="R138" s="359">
        <v>46196.359039351853</v>
      </c>
      <c r="Y138" s="286"/>
      <c r="AA138" s="338">
        <f t="shared" si="2"/>
        <v>46194</v>
      </c>
      <c r="AB138" s="338"/>
    </row>
    <row r="139" spans="1:28" ht="45" customHeight="1" x14ac:dyDescent="0.3">
      <c r="A139" s="357">
        <v>131</v>
      </c>
      <c r="B139" s="380">
        <v>2211</v>
      </c>
      <c r="C139" s="355" t="s">
        <v>638</v>
      </c>
      <c r="D139" s="360">
        <v>154721550415527</v>
      </c>
      <c r="E139" s="355" t="s">
        <v>11</v>
      </c>
      <c r="F139" s="355" t="s">
        <v>640</v>
      </c>
      <c r="G139" s="355">
        <v>3202010014</v>
      </c>
      <c r="H139" s="355" t="s">
        <v>323</v>
      </c>
      <c r="I139" s="355" t="s">
        <v>41</v>
      </c>
      <c r="J139" s="355">
        <v>11000</v>
      </c>
      <c r="K139" s="358">
        <v>14826</v>
      </c>
      <c r="L139" s="355">
        <v>11000</v>
      </c>
      <c r="M139" s="358">
        <v>14826</v>
      </c>
      <c r="N139" s="355">
        <v>0</v>
      </c>
      <c r="O139" s="355">
        <v>0</v>
      </c>
      <c r="P139" s="355" t="s">
        <v>633</v>
      </c>
      <c r="Q139" s="355">
        <v>144</v>
      </c>
      <c r="R139" s="359">
        <v>46228.357233796298</v>
      </c>
      <c r="Y139" s="286"/>
      <c r="AA139" s="338">
        <f t="shared" si="2"/>
        <v>46225</v>
      </c>
      <c r="AB139" s="338"/>
    </row>
    <row r="140" spans="1:28" ht="45" customHeight="1" x14ac:dyDescent="0.3">
      <c r="A140" s="357">
        <v>132</v>
      </c>
      <c r="B140" s="380">
        <v>2291</v>
      </c>
      <c r="C140" s="355" t="s">
        <v>641</v>
      </c>
      <c r="D140" s="357"/>
      <c r="E140" s="355" t="s">
        <v>11</v>
      </c>
      <c r="F140" s="355" t="s">
        <v>640</v>
      </c>
      <c r="G140" s="355">
        <v>3202010014</v>
      </c>
      <c r="H140" s="355" t="s">
        <v>323</v>
      </c>
      <c r="I140" s="355" t="s">
        <v>41</v>
      </c>
      <c r="J140" s="355">
        <v>6825</v>
      </c>
      <c r="K140" s="358">
        <v>9198.86</v>
      </c>
      <c r="L140" s="281"/>
      <c r="M140" s="355">
        <v>0</v>
      </c>
      <c r="N140" s="355">
        <v>6825</v>
      </c>
      <c r="O140" s="358">
        <v>9198.86</v>
      </c>
      <c r="P140" s="355" t="s">
        <v>637</v>
      </c>
      <c r="Q140" s="355">
        <v>144</v>
      </c>
      <c r="R140" s="359">
        <v>46260.691932870373</v>
      </c>
      <c r="Y140" s="286"/>
      <c r="AA140" s="338">
        <f t="shared" si="2"/>
        <v>46256</v>
      </c>
      <c r="AB140" s="338"/>
    </row>
    <row r="141" spans="1:28" ht="60" customHeight="1" x14ac:dyDescent="0.3">
      <c r="A141" s="357">
        <v>133</v>
      </c>
      <c r="B141" s="380">
        <v>2110</v>
      </c>
      <c r="C141" s="355" t="s">
        <v>631</v>
      </c>
      <c r="D141" s="360">
        <v>1492114671</v>
      </c>
      <c r="E141" s="355" t="s">
        <v>11</v>
      </c>
      <c r="F141" s="355" t="s">
        <v>640</v>
      </c>
      <c r="G141" s="355">
        <v>3202010017</v>
      </c>
      <c r="H141" s="355" t="s">
        <v>326</v>
      </c>
      <c r="I141" s="355" t="s">
        <v>41</v>
      </c>
      <c r="J141" s="355">
        <v>3200</v>
      </c>
      <c r="K141" s="358">
        <v>51200</v>
      </c>
      <c r="L141" s="355">
        <v>1524</v>
      </c>
      <c r="M141" s="358">
        <v>24384</v>
      </c>
      <c r="N141" s="355">
        <v>1676</v>
      </c>
      <c r="O141" s="358">
        <v>26816</v>
      </c>
      <c r="P141" s="355" t="s">
        <v>633</v>
      </c>
      <c r="Q141" s="355">
        <v>144</v>
      </c>
      <c r="R141" s="359">
        <v>46193.792939814812</v>
      </c>
      <c r="Y141" s="286"/>
      <c r="AA141" s="338">
        <f t="shared" si="2"/>
        <v>46193</v>
      </c>
      <c r="AB141" s="338"/>
    </row>
    <row r="142" spans="1:28" ht="60" customHeight="1" x14ac:dyDescent="0.3">
      <c r="A142" s="357">
        <v>134</v>
      </c>
      <c r="B142" s="380">
        <v>2114</v>
      </c>
      <c r="C142" s="355" t="s">
        <v>634</v>
      </c>
      <c r="D142" s="360">
        <v>1.49761504615215E+49</v>
      </c>
      <c r="E142" s="355" t="s">
        <v>11</v>
      </c>
      <c r="F142" s="355" t="s">
        <v>640</v>
      </c>
      <c r="G142" s="355">
        <v>3202010017</v>
      </c>
      <c r="H142" s="355" t="s">
        <v>326</v>
      </c>
      <c r="I142" s="355" t="s">
        <v>41</v>
      </c>
      <c r="J142" s="355">
        <v>9200</v>
      </c>
      <c r="K142" s="358">
        <v>147200</v>
      </c>
      <c r="L142" s="355">
        <v>8493</v>
      </c>
      <c r="M142" s="358">
        <v>135888</v>
      </c>
      <c r="N142" s="355">
        <v>707</v>
      </c>
      <c r="O142" s="358">
        <v>11312</v>
      </c>
      <c r="P142" s="355" t="s">
        <v>633</v>
      </c>
      <c r="Q142" s="355">
        <v>144</v>
      </c>
      <c r="R142" s="359">
        <v>46196.359039351853</v>
      </c>
      <c r="Y142" s="286"/>
      <c r="AA142" s="338">
        <f t="shared" si="2"/>
        <v>46194</v>
      </c>
      <c r="AB142" s="338"/>
    </row>
    <row r="143" spans="1:28" ht="60" customHeight="1" x14ac:dyDescent="0.3">
      <c r="A143" s="357">
        <v>135</v>
      </c>
      <c r="B143" s="380">
        <v>2211</v>
      </c>
      <c r="C143" s="355" t="s">
        <v>638</v>
      </c>
      <c r="D143" s="360">
        <v>155041552715799</v>
      </c>
      <c r="E143" s="355" t="s">
        <v>11</v>
      </c>
      <c r="F143" s="355" t="s">
        <v>640</v>
      </c>
      <c r="G143" s="355">
        <v>3202010017</v>
      </c>
      <c r="H143" s="355" t="s">
        <v>326</v>
      </c>
      <c r="I143" s="355" t="s">
        <v>41</v>
      </c>
      <c r="J143" s="355">
        <v>11000</v>
      </c>
      <c r="K143" s="358">
        <v>176000</v>
      </c>
      <c r="L143" s="355">
        <v>5963</v>
      </c>
      <c r="M143" s="358">
        <v>95408</v>
      </c>
      <c r="N143" s="355">
        <v>5037</v>
      </c>
      <c r="O143" s="358">
        <v>80592</v>
      </c>
      <c r="P143" s="355" t="s">
        <v>633</v>
      </c>
      <c r="Q143" s="355">
        <v>144</v>
      </c>
      <c r="R143" s="359">
        <v>46228.357233796298</v>
      </c>
      <c r="Y143" s="286"/>
      <c r="AA143" s="338">
        <f t="shared" si="2"/>
        <v>46225</v>
      </c>
      <c r="AB143" s="338"/>
    </row>
    <row r="144" spans="1:28" ht="60" customHeight="1" x14ac:dyDescent="0.3">
      <c r="A144" s="357">
        <v>136</v>
      </c>
      <c r="B144" s="380">
        <v>2291</v>
      </c>
      <c r="C144" s="355" t="s">
        <v>641</v>
      </c>
      <c r="D144" s="357"/>
      <c r="E144" s="355" t="s">
        <v>11</v>
      </c>
      <c r="F144" s="355" t="s">
        <v>640</v>
      </c>
      <c r="G144" s="355">
        <v>3202010017</v>
      </c>
      <c r="H144" s="355" t="s">
        <v>326</v>
      </c>
      <c r="I144" s="355" t="s">
        <v>41</v>
      </c>
      <c r="J144" s="355">
        <v>6825</v>
      </c>
      <c r="K144" s="358">
        <v>109200</v>
      </c>
      <c r="L144" s="281"/>
      <c r="M144" s="355">
        <v>0</v>
      </c>
      <c r="N144" s="355">
        <v>6825</v>
      </c>
      <c r="O144" s="358">
        <v>109200</v>
      </c>
      <c r="P144" s="355" t="s">
        <v>637</v>
      </c>
      <c r="Q144" s="355">
        <v>144</v>
      </c>
      <c r="R144" s="359">
        <v>46260.691932870373</v>
      </c>
      <c r="Y144" s="286"/>
      <c r="AA144" s="338">
        <f t="shared" si="2"/>
        <v>46256</v>
      </c>
      <c r="AB144" s="338"/>
    </row>
    <row r="145" spans="1:28" ht="60" customHeight="1" x14ac:dyDescent="0.3">
      <c r="A145" s="357">
        <v>137</v>
      </c>
      <c r="B145" s="380">
        <v>2109</v>
      </c>
      <c r="C145" s="355" t="s">
        <v>631</v>
      </c>
      <c r="D145" s="360">
        <v>1.5255152001521999E+34</v>
      </c>
      <c r="E145" s="355" t="s">
        <v>11</v>
      </c>
      <c r="F145" s="355" t="s">
        <v>640</v>
      </c>
      <c r="G145" s="355">
        <v>3102010010</v>
      </c>
      <c r="H145" s="355" t="s">
        <v>149</v>
      </c>
      <c r="I145" s="355" t="s">
        <v>14</v>
      </c>
      <c r="J145" s="355">
        <v>73</v>
      </c>
      <c r="K145" s="358">
        <v>12775</v>
      </c>
      <c r="L145" s="355">
        <v>23.05</v>
      </c>
      <c r="M145" s="358">
        <v>4033.75</v>
      </c>
      <c r="N145" s="355">
        <v>49.95</v>
      </c>
      <c r="O145" s="358">
        <v>8741.25</v>
      </c>
      <c r="P145" s="355" t="s">
        <v>633</v>
      </c>
      <c r="Q145" s="355">
        <v>144</v>
      </c>
      <c r="R145" s="359">
        <v>46193.79278935185</v>
      </c>
      <c r="Y145" s="286"/>
      <c r="AA145" s="338">
        <f t="shared" si="2"/>
        <v>46193</v>
      </c>
      <c r="AB145" s="338"/>
    </row>
    <row r="146" spans="1:28" ht="60" customHeight="1" x14ac:dyDescent="0.3">
      <c r="A146" s="357">
        <v>138</v>
      </c>
      <c r="B146" s="380">
        <v>2113</v>
      </c>
      <c r="C146" s="355" t="s">
        <v>634</v>
      </c>
      <c r="D146" s="357"/>
      <c r="E146" s="355" t="s">
        <v>11</v>
      </c>
      <c r="F146" s="355" t="s">
        <v>640</v>
      </c>
      <c r="G146" s="355">
        <v>3102010010</v>
      </c>
      <c r="H146" s="355" t="s">
        <v>149</v>
      </c>
      <c r="I146" s="355" t="s">
        <v>14</v>
      </c>
      <c r="J146" s="355">
        <v>20</v>
      </c>
      <c r="K146" s="358">
        <v>3500</v>
      </c>
      <c r="L146" s="281"/>
      <c r="M146" s="355">
        <v>0</v>
      </c>
      <c r="N146" s="355">
        <v>20</v>
      </c>
      <c r="O146" s="358">
        <v>3500</v>
      </c>
      <c r="P146" s="355" t="s">
        <v>637</v>
      </c>
      <c r="Q146" s="355">
        <v>144</v>
      </c>
      <c r="R146" s="359">
        <v>46196.358483796299</v>
      </c>
      <c r="Y146" s="286"/>
      <c r="AA146" s="338">
        <f t="shared" si="2"/>
        <v>46194</v>
      </c>
      <c r="AB146" s="338"/>
    </row>
    <row r="147" spans="1:28" ht="60" customHeight="1" x14ac:dyDescent="0.3">
      <c r="A147" s="357">
        <v>139</v>
      </c>
      <c r="B147" s="380">
        <v>2210</v>
      </c>
      <c r="C147" s="355" t="s">
        <v>638</v>
      </c>
      <c r="D147" s="360">
        <v>1.5406155431545899E+24</v>
      </c>
      <c r="E147" s="355" t="s">
        <v>11</v>
      </c>
      <c r="F147" s="355" t="s">
        <v>640</v>
      </c>
      <c r="G147" s="355">
        <v>3102010010</v>
      </c>
      <c r="H147" s="355" t="s">
        <v>149</v>
      </c>
      <c r="I147" s="355" t="s">
        <v>14</v>
      </c>
      <c r="J147" s="355">
        <v>50</v>
      </c>
      <c r="K147" s="358">
        <v>8750</v>
      </c>
      <c r="L147" s="355">
        <v>8.6</v>
      </c>
      <c r="M147" s="358">
        <v>1505</v>
      </c>
      <c r="N147" s="355">
        <v>41.4</v>
      </c>
      <c r="O147" s="358">
        <v>7245</v>
      </c>
      <c r="P147" s="355" t="s">
        <v>633</v>
      </c>
      <c r="Q147" s="355">
        <v>144</v>
      </c>
      <c r="R147" s="359">
        <v>46228.357083333336</v>
      </c>
      <c r="Y147" s="286"/>
      <c r="AA147" s="338">
        <f t="shared" si="2"/>
        <v>46225</v>
      </c>
      <c r="AB147" s="338"/>
    </row>
    <row r="148" spans="1:28" ht="75" customHeight="1" x14ac:dyDescent="0.3">
      <c r="A148" s="357">
        <v>140</v>
      </c>
      <c r="B148" s="380">
        <v>2110</v>
      </c>
      <c r="C148" s="355" t="s">
        <v>631</v>
      </c>
      <c r="D148" s="357"/>
      <c r="E148" s="355" t="s">
        <v>11</v>
      </c>
      <c r="F148" s="355" t="s">
        <v>640</v>
      </c>
      <c r="G148" s="355">
        <v>3102010019</v>
      </c>
      <c r="H148" s="355" t="s">
        <v>156</v>
      </c>
      <c r="I148" s="355" t="s">
        <v>41</v>
      </c>
      <c r="J148" s="355">
        <v>6000</v>
      </c>
      <c r="K148" s="358">
        <v>1513.04</v>
      </c>
      <c r="L148" s="281"/>
      <c r="M148" s="355">
        <v>0</v>
      </c>
      <c r="N148" s="355">
        <v>6000</v>
      </c>
      <c r="O148" s="358">
        <v>1513.04</v>
      </c>
      <c r="P148" s="355" t="s">
        <v>633</v>
      </c>
      <c r="Q148" s="355">
        <v>144</v>
      </c>
      <c r="R148" s="359">
        <v>46193.792939814812</v>
      </c>
      <c r="Y148" s="286"/>
      <c r="AA148" s="338">
        <f t="shared" si="2"/>
        <v>46193</v>
      </c>
      <c r="AB148" s="338"/>
    </row>
    <row r="149" spans="1:28" ht="75" customHeight="1" x14ac:dyDescent="0.3">
      <c r="A149" s="357">
        <v>141</v>
      </c>
      <c r="B149" s="380">
        <v>2114</v>
      </c>
      <c r="C149" s="355" t="s">
        <v>634</v>
      </c>
      <c r="D149" s="355">
        <v>14923</v>
      </c>
      <c r="E149" s="355" t="s">
        <v>11</v>
      </c>
      <c r="F149" s="355" t="s">
        <v>640</v>
      </c>
      <c r="G149" s="355">
        <v>3102010019</v>
      </c>
      <c r="H149" s="355" t="s">
        <v>156</v>
      </c>
      <c r="I149" s="355" t="s">
        <v>41</v>
      </c>
      <c r="J149" s="355">
        <v>16000</v>
      </c>
      <c r="K149" s="358">
        <v>4034.78</v>
      </c>
      <c r="L149" s="355">
        <v>16000</v>
      </c>
      <c r="M149" s="358">
        <v>4034.78</v>
      </c>
      <c r="N149" s="355">
        <v>0</v>
      </c>
      <c r="O149" s="355">
        <v>0</v>
      </c>
      <c r="P149" s="355" t="s">
        <v>633</v>
      </c>
      <c r="Q149" s="355">
        <v>144</v>
      </c>
      <c r="R149" s="359">
        <v>46196.359039351853</v>
      </c>
      <c r="Y149" s="286"/>
      <c r="AA149" s="338">
        <f t="shared" si="2"/>
        <v>46194</v>
      </c>
      <c r="AB149" s="338"/>
    </row>
    <row r="150" spans="1:28" ht="75" customHeight="1" x14ac:dyDescent="0.3">
      <c r="A150" s="357">
        <v>142</v>
      </c>
      <c r="B150" s="380">
        <v>2211</v>
      </c>
      <c r="C150" s="355" t="s">
        <v>638</v>
      </c>
      <c r="D150" s="355">
        <v>15640</v>
      </c>
      <c r="E150" s="355" t="s">
        <v>11</v>
      </c>
      <c r="F150" s="355" t="s">
        <v>640</v>
      </c>
      <c r="G150" s="355">
        <v>3102010019</v>
      </c>
      <c r="H150" s="355" t="s">
        <v>156</v>
      </c>
      <c r="I150" s="355" t="s">
        <v>41</v>
      </c>
      <c r="J150" s="355">
        <v>16000</v>
      </c>
      <c r="K150" s="358">
        <v>4034.78</v>
      </c>
      <c r="L150" s="355">
        <v>16000</v>
      </c>
      <c r="M150" s="358">
        <v>4034.78</v>
      </c>
      <c r="N150" s="355">
        <v>0</v>
      </c>
      <c r="O150" s="355">
        <v>0</v>
      </c>
      <c r="P150" s="355" t="s">
        <v>633</v>
      </c>
      <c r="Q150" s="355">
        <v>144</v>
      </c>
      <c r="R150" s="359">
        <v>46228.357233796298</v>
      </c>
      <c r="Y150" s="286"/>
      <c r="AA150" s="338">
        <f t="shared" si="2"/>
        <v>46225</v>
      </c>
      <c r="AB150" s="338"/>
    </row>
    <row r="151" spans="1:28" ht="75" customHeight="1" x14ac:dyDescent="0.3">
      <c r="A151" s="357">
        <v>143</v>
      </c>
      <c r="B151" s="380">
        <v>2291</v>
      </c>
      <c r="C151" s="355" t="s">
        <v>641</v>
      </c>
      <c r="D151" s="357"/>
      <c r="E151" s="355" t="s">
        <v>11</v>
      </c>
      <c r="F151" s="355" t="s">
        <v>640</v>
      </c>
      <c r="G151" s="355">
        <v>3102010019</v>
      </c>
      <c r="H151" s="355" t="s">
        <v>156</v>
      </c>
      <c r="I151" s="355" t="s">
        <v>41</v>
      </c>
      <c r="J151" s="355">
        <v>15000</v>
      </c>
      <c r="K151" s="358">
        <v>3782.61</v>
      </c>
      <c r="L151" s="281"/>
      <c r="M151" s="355">
        <v>0</v>
      </c>
      <c r="N151" s="355">
        <v>15000</v>
      </c>
      <c r="O151" s="358">
        <v>3782.61</v>
      </c>
      <c r="P151" s="355" t="s">
        <v>637</v>
      </c>
      <c r="Q151" s="355">
        <v>144</v>
      </c>
      <c r="R151" s="359">
        <v>46260.691932870373</v>
      </c>
      <c r="Y151" s="286"/>
      <c r="AA151" s="338">
        <f t="shared" si="2"/>
        <v>46256</v>
      </c>
      <c r="AB151" s="338"/>
    </row>
    <row r="152" spans="1:28" ht="45" customHeight="1" x14ac:dyDescent="0.3">
      <c r="A152" s="357">
        <v>144</v>
      </c>
      <c r="B152" s="380">
        <v>2216</v>
      </c>
      <c r="C152" s="355" t="s">
        <v>642</v>
      </c>
      <c r="D152" s="357"/>
      <c r="E152" s="355" t="s">
        <v>11</v>
      </c>
      <c r="F152" s="355" t="s">
        <v>640</v>
      </c>
      <c r="G152" s="355">
        <v>700100023</v>
      </c>
      <c r="H152" s="355" t="s">
        <v>352</v>
      </c>
      <c r="I152" s="355" t="s">
        <v>14</v>
      </c>
      <c r="J152" s="355">
        <v>50</v>
      </c>
      <c r="K152" s="358">
        <v>8750</v>
      </c>
      <c r="L152" s="281"/>
      <c r="M152" s="355">
        <v>0</v>
      </c>
      <c r="N152" s="355">
        <v>50</v>
      </c>
      <c r="O152" s="358">
        <v>8750</v>
      </c>
      <c r="P152" s="355" t="s">
        <v>637</v>
      </c>
      <c r="Q152" s="355">
        <v>144</v>
      </c>
      <c r="R152" s="359">
        <v>46229.679432870369</v>
      </c>
      <c r="Y152" s="286"/>
      <c r="AA152" s="338">
        <f t="shared" si="2"/>
        <v>46226</v>
      </c>
      <c r="AB152" s="338"/>
    </row>
    <row r="153" spans="1:28" ht="45" customHeight="1" x14ac:dyDescent="0.3">
      <c r="A153" s="357">
        <v>145</v>
      </c>
      <c r="B153" s="380">
        <v>2112</v>
      </c>
      <c r="C153" s="355" t="s">
        <v>634</v>
      </c>
      <c r="D153" s="357"/>
      <c r="E153" s="355" t="s">
        <v>11</v>
      </c>
      <c r="F153" s="355" t="s">
        <v>640</v>
      </c>
      <c r="G153" s="355">
        <v>700100037</v>
      </c>
      <c r="H153" s="355" t="s">
        <v>363</v>
      </c>
      <c r="I153" s="355" t="s">
        <v>37</v>
      </c>
      <c r="J153" s="355">
        <v>3000</v>
      </c>
      <c r="K153" s="358">
        <v>12563.56</v>
      </c>
      <c r="L153" s="281"/>
      <c r="M153" s="355">
        <v>0</v>
      </c>
      <c r="N153" s="355">
        <v>3000</v>
      </c>
      <c r="O153" s="358">
        <v>12563.56</v>
      </c>
      <c r="P153" s="355" t="s">
        <v>633</v>
      </c>
      <c r="Q153" s="355">
        <v>144</v>
      </c>
      <c r="R153" s="359">
        <v>46196.358368055553</v>
      </c>
      <c r="Y153" s="286"/>
      <c r="AA153" s="338">
        <f t="shared" si="2"/>
        <v>46194</v>
      </c>
      <c r="AB153" s="338"/>
    </row>
    <row r="154" spans="1:28" ht="45" customHeight="1" x14ac:dyDescent="0.3">
      <c r="A154" s="357">
        <v>146</v>
      </c>
      <c r="B154" s="380">
        <v>2156</v>
      </c>
      <c r="C154" s="361">
        <v>46119</v>
      </c>
      <c r="D154" s="357"/>
      <c r="E154" s="355" t="s">
        <v>11</v>
      </c>
      <c r="F154" s="355" t="s">
        <v>640</v>
      </c>
      <c r="G154" s="355">
        <v>700100037</v>
      </c>
      <c r="H154" s="355" t="s">
        <v>363</v>
      </c>
      <c r="I154" s="355" t="s">
        <v>37</v>
      </c>
      <c r="J154" s="355">
        <v>4000</v>
      </c>
      <c r="K154" s="358">
        <v>16751.419999999998</v>
      </c>
      <c r="L154" s="281"/>
      <c r="M154" s="355">
        <v>0</v>
      </c>
      <c r="N154" s="355">
        <v>4000</v>
      </c>
      <c r="O154" s="358">
        <v>16751.419999999998</v>
      </c>
      <c r="P154" s="355" t="s">
        <v>637</v>
      </c>
      <c r="Q154" s="355">
        <v>144</v>
      </c>
      <c r="R154" s="359">
        <v>46209.824247685188</v>
      </c>
      <c r="Y154" s="286"/>
      <c r="AA154" s="338">
        <f t="shared" si="2"/>
        <v>46119</v>
      </c>
      <c r="AB154" s="338"/>
    </row>
    <row r="155" spans="1:28" ht="30" customHeight="1" x14ac:dyDescent="0.3">
      <c r="A155" s="362"/>
      <c r="B155" s="363"/>
      <c r="C155" s="363"/>
      <c r="D155" s="363"/>
      <c r="E155" s="363"/>
      <c r="F155" s="363"/>
      <c r="G155" s="363"/>
      <c r="H155" s="363"/>
      <c r="I155" s="364" t="s">
        <v>639</v>
      </c>
      <c r="J155" s="365">
        <v>3197438</v>
      </c>
      <c r="K155" s="366">
        <v>107582040.2</v>
      </c>
      <c r="L155" s="365">
        <v>1459006.65</v>
      </c>
      <c r="M155" s="366">
        <v>13142450.439999999</v>
      </c>
      <c r="N155" s="365">
        <v>1738431.35</v>
      </c>
      <c r="O155" s="366">
        <v>94439589.760000005</v>
      </c>
      <c r="P155" s="363"/>
      <c r="Q155" s="363"/>
      <c r="R155" s="363"/>
      <c r="S155" s="367"/>
      <c r="T155" s="367"/>
      <c r="U155" s="367"/>
      <c r="V155" s="367"/>
      <c r="W155" s="367"/>
      <c r="X155" s="367"/>
      <c r="Y155" s="368"/>
      <c r="AA155" s="338">
        <f t="shared" si="2"/>
        <v>34700</v>
      </c>
      <c r="AB155" s="338"/>
    </row>
    <row r="156" spans="1:28" x14ac:dyDescent="0.3">
      <c r="AA156" s="338">
        <f t="shared" si="2"/>
        <v>34700</v>
      </c>
      <c r="AB156" s="338"/>
    </row>
    <row r="157" spans="1:28" x14ac:dyDescent="0.3">
      <c r="AA157" s="338">
        <f t="shared" si="2"/>
        <v>34700</v>
      </c>
      <c r="AB157" s="338"/>
    </row>
    <row r="158" spans="1:28" x14ac:dyDescent="0.3">
      <c r="AA158" s="338">
        <f t="shared" si="2"/>
        <v>34700</v>
      </c>
      <c r="AB158" s="338"/>
    </row>
    <row r="159" spans="1:28" x14ac:dyDescent="0.3">
      <c r="AA159" s="338">
        <f t="shared" si="2"/>
        <v>34700</v>
      </c>
      <c r="AB159" s="338"/>
    </row>
    <row r="160" spans="1:28" x14ac:dyDescent="0.3">
      <c r="AA160" s="338">
        <f t="shared" si="2"/>
        <v>34700</v>
      </c>
      <c r="AB160" s="338"/>
    </row>
    <row r="161" spans="27:28" x14ac:dyDescent="0.3">
      <c r="AA161" s="338">
        <f t="shared" si="2"/>
        <v>34700</v>
      </c>
      <c r="AB161" s="338"/>
    </row>
    <row r="162" spans="27:28" x14ac:dyDescent="0.3">
      <c r="AA162" s="338">
        <f t="shared" si="2"/>
        <v>34700</v>
      </c>
      <c r="AB162" s="338"/>
    </row>
    <row r="163" spans="27:28" x14ac:dyDescent="0.3">
      <c r="AA163" s="338">
        <f t="shared" si="2"/>
        <v>34700</v>
      </c>
      <c r="AB163" s="338"/>
    </row>
    <row r="164" spans="27:28" x14ac:dyDescent="0.3">
      <c r="AA164" s="338">
        <f t="shared" si="2"/>
        <v>34700</v>
      </c>
      <c r="AB164" s="338"/>
    </row>
    <row r="165" spans="27:28" x14ac:dyDescent="0.3">
      <c r="AA165" s="338">
        <f t="shared" si="2"/>
        <v>34700</v>
      </c>
      <c r="AB165" s="338"/>
    </row>
    <row r="166" spans="27:28" x14ac:dyDescent="0.3">
      <c r="AA166" s="338">
        <f t="shared" si="2"/>
        <v>34700</v>
      </c>
      <c r="AB166" s="338"/>
    </row>
    <row r="167" spans="27:28" x14ac:dyDescent="0.3">
      <c r="AA167" s="338">
        <f t="shared" si="2"/>
        <v>34700</v>
      </c>
      <c r="AB167" s="338"/>
    </row>
    <row r="168" spans="27:28" x14ac:dyDescent="0.3">
      <c r="AA168" s="338">
        <f t="shared" si="2"/>
        <v>34700</v>
      </c>
      <c r="AB168" s="338"/>
    </row>
    <row r="169" spans="27:28" x14ac:dyDescent="0.3">
      <c r="AA169" s="338">
        <f t="shared" si="2"/>
        <v>34700</v>
      </c>
      <c r="AB169" s="338"/>
    </row>
    <row r="170" spans="27:28" x14ac:dyDescent="0.3">
      <c r="AA170" s="338">
        <f t="shared" si="2"/>
        <v>34700</v>
      </c>
      <c r="AB170" s="338"/>
    </row>
    <row r="171" spans="27:28" x14ac:dyDescent="0.3">
      <c r="AA171" s="338">
        <f t="shared" si="2"/>
        <v>34700</v>
      </c>
      <c r="AB171" s="338"/>
    </row>
    <row r="172" spans="27:28" x14ac:dyDescent="0.3">
      <c r="AA172" s="338">
        <f t="shared" si="2"/>
        <v>34700</v>
      </c>
      <c r="AB172" s="338"/>
    </row>
    <row r="173" spans="27:28" x14ac:dyDescent="0.3">
      <c r="AA173" s="338">
        <f t="shared" si="2"/>
        <v>34700</v>
      </c>
      <c r="AB173" s="338"/>
    </row>
    <row r="174" spans="27:28" x14ac:dyDescent="0.3">
      <c r="AA174" s="338">
        <f t="shared" si="2"/>
        <v>34700</v>
      </c>
      <c r="AB174" s="338"/>
    </row>
    <row r="175" spans="27:28" x14ac:dyDescent="0.3">
      <c r="AA175" s="338">
        <f t="shared" si="2"/>
        <v>34700</v>
      </c>
      <c r="AB175" s="338"/>
    </row>
    <row r="176" spans="27:28" x14ac:dyDescent="0.3">
      <c r="AA176" s="338">
        <f t="shared" si="2"/>
        <v>34700</v>
      </c>
      <c r="AB176" s="338"/>
    </row>
    <row r="177" spans="27:28" x14ac:dyDescent="0.3">
      <c r="AA177" s="338">
        <f t="shared" si="2"/>
        <v>34700</v>
      </c>
      <c r="AB177" s="338"/>
    </row>
    <row r="178" spans="27:28" x14ac:dyDescent="0.3">
      <c r="AA178" s="338">
        <f t="shared" si="2"/>
        <v>34700</v>
      </c>
      <c r="AB178" s="338"/>
    </row>
    <row r="179" spans="27:28" x14ac:dyDescent="0.3">
      <c r="AA179" s="338">
        <f t="shared" si="2"/>
        <v>34700</v>
      </c>
      <c r="AB179" s="338"/>
    </row>
    <row r="180" spans="27:28" x14ac:dyDescent="0.3">
      <c r="AA180" s="338">
        <f t="shared" si="2"/>
        <v>34700</v>
      </c>
      <c r="AB180" s="338"/>
    </row>
    <row r="181" spans="27:28" x14ac:dyDescent="0.3">
      <c r="AA181" s="338">
        <f t="shared" si="2"/>
        <v>34700</v>
      </c>
      <c r="AB181" s="338"/>
    </row>
    <row r="182" spans="27:28" x14ac:dyDescent="0.3">
      <c r="AA182" s="338">
        <f t="shared" si="2"/>
        <v>34700</v>
      </c>
      <c r="AB182" s="338"/>
    </row>
    <row r="183" spans="27:28" x14ac:dyDescent="0.3">
      <c r="AA183" s="338">
        <f t="shared" si="2"/>
        <v>34700</v>
      </c>
      <c r="AB183" s="338"/>
    </row>
    <row r="184" spans="27:28" x14ac:dyDescent="0.3">
      <c r="AA184" s="338">
        <f t="shared" si="2"/>
        <v>34700</v>
      </c>
      <c r="AB184" s="338"/>
    </row>
    <row r="185" spans="27:28" x14ac:dyDescent="0.3">
      <c r="AA185" s="338">
        <f t="shared" si="2"/>
        <v>34700</v>
      </c>
      <c r="AB185" s="338"/>
    </row>
    <row r="186" spans="27:28" x14ac:dyDescent="0.3">
      <c r="AA186" s="338">
        <f t="shared" si="2"/>
        <v>34700</v>
      </c>
      <c r="AB186" s="338"/>
    </row>
    <row r="187" spans="27:28" x14ac:dyDescent="0.3">
      <c r="AA187" s="338">
        <f t="shared" si="2"/>
        <v>34700</v>
      </c>
      <c r="AB187" s="338"/>
    </row>
    <row r="188" spans="27:28" x14ac:dyDescent="0.3">
      <c r="AA188" s="338">
        <f t="shared" si="2"/>
        <v>34700</v>
      </c>
      <c r="AB188" s="338"/>
    </row>
    <row r="189" spans="27:28" x14ac:dyDescent="0.3">
      <c r="AA189" s="338">
        <f t="shared" si="2"/>
        <v>34700</v>
      </c>
      <c r="AB189" s="338"/>
    </row>
    <row r="190" spans="27:28" x14ac:dyDescent="0.3">
      <c r="AA190" s="338">
        <f t="shared" si="2"/>
        <v>34700</v>
      </c>
      <c r="AB190" s="338"/>
    </row>
    <row r="191" spans="27:28" x14ac:dyDescent="0.3">
      <c r="AA191" s="338">
        <f t="shared" si="2"/>
        <v>34700</v>
      </c>
      <c r="AB191" s="338"/>
    </row>
    <row r="192" spans="27:28" x14ac:dyDescent="0.3">
      <c r="AA192" s="338">
        <f t="shared" si="2"/>
        <v>34700</v>
      </c>
      <c r="AB192" s="338"/>
    </row>
    <row r="193" spans="27:28" x14ac:dyDescent="0.3">
      <c r="AA193" s="338">
        <f t="shared" ref="AA193:AA256" si="3">IFERROR(
IF(ISNUMBER(C193),C193,DATE(VALUE(RIGHT(C193,4)),VALUE(MID(SUBSTITUTE(C193,"/","-"),FIND("-",SUBSTITUTE(C193,"/","-"))+1,FIND("-",SUBSTITUTE(C193,"/","-"),FIND("-",SUBSTITUTE(C193,"/","-"))+1)-FIND("-",SUBSTITUTE(C193,"/","-"))-1)),VALUE(LEFT(SUBSTITUTE(C193,"/","-"),FIND("-",SUBSTITUTE(C193,"/","-"))-1)))),
DATE(1995,1,1)
)</f>
        <v>34700</v>
      </c>
      <c r="AB193" s="338"/>
    </row>
    <row r="194" spans="27:28" x14ac:dyDescent="0.3">
      <c r="AA194" s="338">
        <f t="shared" si="3"/>
        <v>34700</v>
      </c>
      <c r="AB194" s="338"/>
    </row>
    <row r="195" spans="27:28" x14ac:dyDescent="0.3">
      <c r="AA195" s="338">
        <f t="shared" si="3"/>
        <v>34700</v>
      </c>
      <c r="AB195" s="338"/>
    </row>
    <row r="196" spans="27:28" x14ac:dyDescent="0.3">
      <c r="AA196" s="338">
        <f t="shared" si="3"/>
        <v>34700</v>
      </c>
      <c r="AB196" s="338"/>
    </row>
    <row r="197" spans="27:28" x14ac:dyDescent="0.3">
      <c r="AA197" s="338">
        <f t="shared" si="3"/>
        <v>34700</v>
      </c>
      <c r="AB197" s="338"/>
    </row>
    <row r="198" spans="27:28" x14ac:dyDescent="0.3">
      <c r="AA198" s="338">
        <f t="shared" si="3"/>
        <v>34700</v>
      </c>
      <c r="AB198" s="338"/>
    </row>
    <row r="199" spans="27:28" x14ac:dyDescent="0.3">
      <c r="AA199" s="338">
        <f t="shared" si="3"/>
        <v>34700</v>
      </c>
      <c r="AB199" s="338"/>
    </row>
    <row r="200" spans="27:28" x14ac:dyDescent="0.3">
      <c r="AA200" s="338">
        <f t="shared" si="3"/>
        <v>34700</v>
      </c>
      <c r="AB200" s="338"/>
    </row>
    <row r="201" spans="27:28" x14ac:dyDescent="0.3">
      <c r="AA201" s="338">
        <f t="shared" si="3"/>
        <v>34700</v>
      </c>
      <c r="AB201" s="338"/>
    </row>
    <row r="202" spans="27:28" x14ac:dyDescent="0.3">
      <c r="AA202" s="338">
        <f t="shared" si="3"/>
        <v>34700</v>
      </c>
      <c r="AB202" s="338"/>
    </row>
    <row r="203" spans="27:28" x14ac:dyDescent="0.3">
      <c r="AA203" s="338">
        <f t="shared" si="3"/>
        <v>34700</v>
      </c>
      <c r="AB203" s="338"/>
    </row>
    <row r="204" spans="27:28" x14ac:dyDescent="0.3">
      <c r="AA204" s="338">
        <f t="shared" si="3"/>
        <v>34700</v>
      </c>
      <c r="AB204" s="338"/>
    </row>
    <row r="205" spans="27:28" x14ac:dyDescent="0.3">
      <c r="AA205" s="338">
        <f t="shared" si="3"/>
        <v>34700</v>
      </c>
      <c r="AB205" s="338"/>
    </row>
    <row r="206" spans="27:28" x14ac:dyDescent="0.3">
      <c r="AA206" s="338">
        <f t="shared" si="3"/>
        <v>34700</v>
      </c>
      <c r="AB206" s="338"/>
    </row>
    <row r="207" spans="27:28" x14ac:dyDescent="0.3">
      <c r="AA207" s="338">
        <f t="shared" si="3"/>
        <v>34700</v>
      </c>
      <c r="AB207" s="338"/>
    </row>
    <row r="208" spans="27:28" x14ac:dyDescent="0.3">
      <c r="AA208" s="338">
        <f t="shared" si="3"/>
        <v>34700</v>
      </c>
      <c r="AB208" s="338"/>
    </row>
    <row r="209" spans="27:28" x14ac:dyDescent="0.3">
      <c r="AA209" s="338">
        <f t="shared" si="3"/>
        <v>34700</v>
      </c>
      <c r="AB209" s="338"/>
    </row>
    <row r="210" spans="27:28" x14ac:dyDescent="0.3">
      <c r="AA210" s="338">
        <f t="shared" si="3"/>
        <v>34700</v>
      </c>
      <c r="AB210" s="338"/>
    </row>
    <row r="211" spans="27:28" x14ac:dyDescent="0.3">
      <c r="AA211" s="338">
        <f t="shared" si="3"/>
        <v>34700</v>
      </c>
      <c r="AB211" s="338"/>
    </row>
    <row r="212" spans="27:28" x14ac:dyDescent="0.3">
      <c r="AA212" s="338">
        <f t="shared" si="3"/>
        <v>34700</v>
      </c>
      <c r="AB212" s="338"/>
    </row>
    <row r="213" spans="27:28" x14ac:dyDescent="0.3">
      <c r="AA213" s="338">
        <f t="shared" si="3"/>
        <v>34700</v>
      </c>
      <c r="AB213" s="338"/>
    </row>
    <row r="214" spans="27:28" x14ac:dyDescent="0.3">
      <c r="AA214" s="338">
        <f t="shared" si="3"/>
        <v>34700</v>
      </c>
      <c r="AB214" s="338"/>
    </row>
    <row r="215" spans="27:28" x14ac:dyDescent="0.3">
      <c r="AA215" s="338">
        <f t="shared" si="3"/>
        <v>34700</v>
      </c>
      <c r="AB215" s="338"/>
    </row>
    <row r="216" spans="27:28" x14ac:dyDescent="0.3">
      <c r="AA216" s="338">
        <f t="shared" si="3"/>
        <v>34700</v>
      </c>
      <c r="AB216" s="338"/>
    </row>
    <row r="217" spans="27:28" x14ac:dyDescent="0.3">
      <c r="AA217" s="338">
        <f t="shared" si="3"/>
        <v>34700</v>
      </c>
      <c r="AB217" s="338"/>
    </row>
    <row r="218" spans="27:28" x14ac:dyDescent="0.3">
      <c r="AA218" s="338">
        <f t="shared" si="3"/>
        <v>34700</v>
      </c>
      <c r="AB218" s="338"/>
    </row>
    <row r="219" spans="27:28" x14ac:dyDescent="0.3">
      <c r="AA219" s="338">
        <f t="shared" si="3"/>
        <v>34700</v>
      </c>
      <c r="AB219" s="338"/>
    </row>
    <row r="220" spans="27:28" x14ac:dyDescent="0.3">
      <c r="AA220" s="338">
        <f t="shared" si="3"/>
        <v>34700</v>
      </c>
      <c r="AB220" s="338"/>
    </row>
    <row r="221" spans="27:28" x14ac:dyDescent="0.3">
      <c r="AA221" s="338">
        <f t="shared" si="3"/>
        <v>34700</v>
      </c>
      <c r="AB221" s="338"/>
    </row>
    <row r="222" spans="27:28" x14ac:dyDescent="0.3">
      <c r="AA222" s="338">
        <f t="shared" si="3"/>
        <v>34700</v>
      </c>
      <c r="AB222" s="338"/>
    </row>
    <row r="223" spans="27:28" x14ac:dyDescent="0.3">
      <c r="AA223" s="338">
        <f t="shared" si="3"/>
        <v>34700</v>
      </c>
      <c r="AB223" s="338"/>
    </row>
    <row r="224" spans="27:28" x14ac:dyDescent="0.3">
      <c r="AA224" s="338">
        <f t="shared" si="3"/>
        <v>34700</v>
      </c>
      <c r="AB224" s="338"/>
    </row>
    <row r="225" spans="27:28" x14ac:dyDescent="0.3">
      <c r="AA225" s="338">
        <f t="shared" si="3"/>
        <v>34700</v>
      </c>
      <c r="AB225" s="338"/>
    </row>
    <row r="226" spans="27:28" x14ac:dyDescent="0.3">
      <c r="AA226" s="338">
        <f t="shared" si="3"/>
        <v>34700</v>
      </c>
      <c r="AB226" s="338"/>
    </row>
    <row r="227" spans="27:28" x14ac:dyDescent="0.3">
      <c r="AA227" s="338">
        <f t="shared" si="3"/>
        <v>34700</v>
      </c>
      <c r="AB227" s="338"/>
    </row>
    <row r="228" spans="27:28" x14ac:dyDescent="0.3">
      <c r="AA228" s="338">
        <f t="shared" si="3"/>
        <v>34700</v>
      </c>
      <c r="AB228" s="338"/>
    </row>
    <row r="229" spans="27:28" x14ac:dyDescent="0.3">
      <c r="AA229" s="338">
        <f t="shared" si="3"/>
        <v>34700</v>
      </c>
      <c r="AB229" s="338"/>
    </row>
    <row r="230" spans="27:28" x14ac:dyDescent="0.3">
      <c r="AA230" s="338">
        <f t="shared" si="3"/>
        <v>34700</v>
      </c>
      <c r="AB230" s="338"/>
    </row>
    <row r="231" spans="27:28" x14ac:dyDescent="0.3">
      <c r="AA231" s="338">
        <f t="shared" si="3"/>
        <v>34700</v>
      </c>
      <c r="AB231" s="338"/>
    </row>
    <row r="232" spans="27:28" x14ac:dyDescent="0.3">
      <c r="AA232" s="338">
        <f t="shared" si="3"/>
        <v>34700</v>
      </c>
      <c r="AB232" s="338"/>
    </row>
    <row r="233" spans="27:28" x14ac:dyDescent="0.3">
      <c r="AA233" s="338">
        <f t="shared" si="3"/>
        <v>34700</v>
      </c>
      <c r="AB233" s="338"/>
    </row>
    <row r="234" spans="27:28" x14ac:dyDescent="0.3">
      <c r="AA234" s="338">
        <f t="shared" si="3"/>
        <v>34700</v>
      </c>
      <c r="AB234" s="338"/>
    </row>
    <row r="235" spans="27:28" x14ac:dyDescent="0.3">
      <c r="AA235" s="338">
        <f t="shared" si="3"/>
        <v>34700</v>
      </c>
      <c r="AB235" s="338"/>
    </row>
    <row r="236" spans="27:28" x14ac:dyDescent="0.3">
      <c r="AA236" s="338">
        <f t="shared" si="3"/>
        <v>34700</v>
      </c>
      <c r="AB236" s="338"/>
    </row>
    <row r="237" spans="27:28" x14ac:dyDescent="0.3">
      <c r="AA237" s="338">
        <f t="shared" si="3"/>
        <v>34700</v>
      </c>
      <c r="AB237" s="338"/>
    </row>
    <row r="238" spans="27:28" x14ac:dyDescent="0.3">
      <c r="AA238" s="338">
        <f t="shared" si="3"/>
        <v>34700</v>
      </c>
      <c r="AB238" s="338"/>
    </row>
    <row r="239" spans="27:28" x14ac:dyDescent="0.3">
      <c r="AA239" s="338">
        <f t="shared" si="3"/>
        <v>34700</v>
      </c>
      <c r="AB239" s="338"/>
    </row>
    <row r="240" spans="27:28" x14ac:dyDescent="0.3">
      <c r="AA240" s="338">
        <f t="shared" si="3"/>
        <v>34700</v>
      </c>
      <c r="AB240" s="338"/>
    </row>
    <row r="241" spans="27:28" x14ac:dyDescent="0.3">
      <c r="AA241" s="338">
        <f t="shared" si="3"/>
        <v>34700</v>
      </c>
      <c r="AB241" s="338"/>
    </row>
    <row r="242" spans="27:28" x14ac:dyDescent="0.3">
      <c r="AA242" s="338">
        <f t="shared" si="3"/>
        <v>34700</v>
      </c>
      <c r="AB242" s="338"/>
    </row>
    <row r="243" spans="27:28" x14ac:dyDescent="0.3">
      <c r="AA243" s="338">
        <f t="shared" si="3"/>
        <v>34700</v>
      </c>
      <c r="AB243" s="338"/>
    </row>
    <row r="244" spans="27:28" x14ac:dyDescent="0.3">
      <c r="AA244" s="338">
        <f t="shared" si="3"/>
        <v>34700</v>
      </c>
      <c r="AB244" s="338"/>
    </row>
    <row r="245" spans="27:28" x14ac:dyDescent="0.3">
      <c r="AA245" s="338">
        <f t="shared" si="3"/>
        <v>34700</v>
      </c>
      <c r="AB245" s="338"/>
    </row>
    <row r="246" spans="27:28" x14ac:dyDescent="0.3">
      <c r="AA246" s="338">
        <f t="shared" si="3"/>
        <v>34700</v>
      </c>
      <c r="AB246" s="338"/>
    </row>
    <row r="247" spans="27:28" x14ac:dyDescent="0.3">
      <c r="AA247" s="338">
        <f t="shared" si="3"/>
        <v>34700</v>
      </c>
      <c r="AB247" s="338"/>
    </row>
    <row r="248" spans="27:28" x14ac:dyDescent="0.3">
      <c r="AA248" s="338">
        <f t="shared" si="3"/>
        <v>34700</v>
      </c>
      <c r="AB248" s="338"/>
    </row>
    <row r="249" spans="27:28" x14ac:dyDescent="0.3">
      <c r="AA249" s="338">
        <f t="shared" si="3"/>
        <v>34700</v>
      </c>
      <c r="AB249" s="338"/>
    </row>
    <row r="250" spans="27:28" x14ac:dyDescent="0.3">
      <c r="AA250" s="338">
        <f t="shared" si="3"/>
        <v>34700</v>
      </c>
      <c r="AB250" s="338"/>
    </row>
    <row r="251" spans="27:28" x14ac:dyDescent="0.3">
      <c r="AA251" s="338">
        <f t="shared" si="3"/>
        <v>34700</v>
      </c>
      <c r="AB251" s="338"/>
    </row>
    <row r="252" spans="27:28" x14ac:dyDescent="0.3">
      <c r="AA252" s="338">
        <f t="shared" si="3"/>
        <v>34700</v>
      </c>
      <c r="AB252" s="338"/>
    </row>
    <row r="253" spans="27:28" x14ac:dyDescent="0.3">
      <c r="AA253" s="338">
        <f t="shared" si="3"/>
        <v>34700</v>
      </c>
      <c r="AB253" s="338"/>
    </row>
    <row r="254" spans="27:28" x14ac:dyDescent="0.3">
      <c r="AA254" s="338">
        <f t="shared" si="3"/>
        <v>34700</v>
      </c>
      <c r="AB254" s="338"/>
    </row>
    <row r="255" spans="27:28" x14ac:dyDescent="0.3">
      <c r="AA255" s="338">
        <f t="shared" si="3"/>
        <v>34700</v>
      </c>
      <c r="AB255" s="338"/>
    </row>
    <row r="256" spans="27:28" x14ac:dyDescent="0.3">
      <c r="AA256" s="338">
        <f t="shared" si="3"/>
        <v>34700</v>
      </c>
      <c r="AB256" s="338"/>
    </row>
    <row r="257" spans="27:28" x14ac:dyDescent="0.3">
      <c r="AA257" s="338">
        <f t="shared" ref="AA257:AA320" si="4">IFERROR(
IF(ISNUMBER(C257),C257,DATE(VALUE(RIGHT(C257,4)),VALUE(MID(SUBSTITUTE(C257,"/","-"),FIND("-",SUBSTITUTE(C257,"/","-"))+1,FIND("-",SUBSTITUTE(C257,"/","-"),FIND("-",SUBSTITUTE(C257,"/","-"))+1)-FIND("-",SUBSTITUTE(C257,"/","-"))-1)),VALUE(LEFT(SUBSTITUTE(C257,"/","-"),FIND("-",SUBSTITUTE(C257,"/","-"))-1)))),
DATE(1995,1,1)
)</f>
        <v>34700</v>
      </c>
      <c r="AB257" s="338"/>
    </row>
    <row r="258" spans="27:28" x14ac:dyDescent="0.3">
      <c r="AA258" s="338">
        <f t="shared" si="4"/>
        <v>34700</v>
      </c>
      <c r="AB258" s="338"/>
    </row>
    <row r="259" spans="27:28" x14ac:dyDescent="0.3">
      <c r="AA259" s="338">
        <f t="shared" si="4"/>
        <v>34700</v>
      </c>
      <c r="AB259" s="338"/>
    </row>
    <row r="260" spans="27:28" x14ac:dyDescent="0.3">
      <c r="AA260" s="338">
        <f t="shared" si="4"/>
        <v>34700</v>
      </c>
      <c r="AB260" s="338"/>
    </row>
    <row r="261" spans="27:28" x14ac:dyDescent="0.3">
      <c r="AA261" s="338">
        <f t="shared" si="4"/>
        <v>34700</v>
      </c>
      <c r="AB261" s="338"/>
    </row>
    <row r="262" spans="27:28" x14ac:dyDescent="0.3">
      <c r="AA262" s="338">
        <f t="shared" si="4"/>
        <v>34700</v>
      </c>
      <c r="AB262" s="338"/>
    </row>
    <row r="263" spans="27:28" x14ac:dyDescent="0.3">
      <c r="AA263" s="338">
        <f t="shared" si="4"/>
        <v>34700</v>
      </c>
      <c r="AB263" s="338"/>
    </row>
    <row r="264" spans="27:28" x14ac:dyDescent="0.3">
      <c r="AA264" s="338">
        <f t="shared" si="4"/>
        <v>34700</v>
      </c>
      <c r="AB264" s="338"/>
    </row>
    <row r="265" spans="27:28" x14ac:dyDescent="0.3">
      <c r="AA265" s="338">
        <f t="shared" si="4"/>
        <v>34700</v>
      </c>
      <c r="AB265" s="338"/>
    </row>
    <row r="266" spans="27:28" x14ac:dyDescent="0.3">
      <c r="AA266" s="338">
        <f t="shared" si="4"/>
        <v>34700</v>
      </c>
      <c r="AB266" s="338"/>
    </row>
    <row r="267" spans="27:28" x14ac:dyDescent="0.3">
      <c r="AA267" s="338">
        <f t="shared" si="4"/>
        <v>34700</v>
      </c>
      <c r="AB267" s="338"/>
    </row>
    <row r="268" spans="27:28" x14ac:dyDescent="0.3">
      <c r="AA268" s="338">
        <f t="shared" si="4"/>
        <v>34700</v>
      </c>
      <c r="AB268" s="338"/>
    </row>
    <row r="269" spans="27:28" x14ac:dyDescent="0.3">
      <c r="AA269" s="338">
        <f t="shared" si="4"/>
        <v>34700</v>
      </c>
      <c r="AB269" s="338"/>
    </row>
    <row r="270" spans="27:28" x14ac:dyDescent="0.3">
      <c r="AA270" s="338">
        <f t="shared" si="4"/>
        <v>34700</v>
      </c>
      <c r="AB270" s="338"/>
    </row>
    <row r="271" spans="27:28" x14ac:dyDescent="0.3">
      <c r="AA271" s="338">
        <f t="shared" si="4"/>
        <v>34700</v>
      </c>
      <c r="AB271" s="338"/>
    </row>
    <row r="272" spans="27:28" x14ac:dyDescent="0.3">
      <c r="AA272" s="338">
        <f t="shared" si="4"/>
        <v>34700</v>
      </c>
      <c r="AB272" s="338"/>
    </row>
    <row r="273" spans="27:28" x14ac:dyDescent="0.3">
      <c r="AA273" s="338">
        <f t="shared" si="4"/>
        <v>34700</v>
      </c>
      <c r="AB273" s="338"/>
    </row>
    <row r="274" spans="27:28" x14ac:dyDescent="0.3">
      <c r="AA274" s="338">
        <f t="shared" si="4"/>
        <v>34700</v>
      </c>
      <c r="AB274" s="338"/>
    </row>
    <row r="275" spans="27:28" x14ac:dyDescent="0.3">
      <c r="AA275" s="338">
        <f t="shared" si="4"/>
        <v>34700</v>
      </c>
      <c r="AB275" s="338"/>
    </row>
    <row r="276" spans="27:28" x14ac:dyDescent="0.3">
      <c r="AA276" s="338">
        <f t="shared" si="4"/>
        <v>34700</v>
      </c>
      <c r="AB276" s="338"/>
    </row>
    <row r="277" spans="27:28" x14ac:dyDescent="0.3">
      <c r="AA277" s="338">
        <f t="shared" si="4"/>
        <v>34700</v>
      </c>
      <c r="AB277" s="338"/>
    </row>
    <row r="278" spans="27:28" x14ac:dyDescent="0.3">
      <c r="AA278" s="338">
        <f t="shared" si="4"/>
        <v>34700</v>
      </c>
      <c r="AB278" s="338"/>
    </row>
    <row r="279" spans="27:28" x14ac:dyDescent="0.3">
      <c r="AA279" s="338">
        <f t="shared" si="4"/>
        <v>34700</v>
      </c>
      <c r="AB279" s="338"/>
    </row>
    <row r="280" spans="27:28" x14ac:dyDescent="0.3">
      <c r="AA280" s="338">
        <f t="shared" si="4"/>
        <v>34700</v>
      </c>
      <c r="AB280" s="338"/>
    </row>
    <row r="281" spans="27:28" x14ac:dyDescent="0.3">
      <c r="AA281" s="338">
        <f t="shared" si="4"/>
        <v>34700</v>
      </c>
      <c r="AB281" s="338"/>
    </row>
    <row r="282" spans="27:28" x14ac:dyDescent="0.3">
      <c r="AA282" s="338">
        <f t="shared" si="4"/>
        <v>34700</v>
      </c>
      <c r="AB282" s="338"/>
    </row>
    <row r="283" spans="27:28" x14ac:dyDescent="0.3">
      <c r="AA283" s="338">
        <f t="shared" si="4"/>
        <v>34700</v>
      </c>
      <c r="AB283" s="338"/>
    </row>
    <row r="284" spans="27:28" x14ac:dyDescent="0.3">
      <c r="AA284" s="338">
        <f t="shared" si="4"/>
        <v>34700</v>
      </c>
      <c r="AB284" s="338"/>
    </row>
    <row r="285" spans="27:28" x14ac:dyDescent="0.3">
      <c r="AA285" s="338">
        <f t="shared" si="4"/>
        <v>34700</v>
      </c>
      <c r="AB285" s="338"/>
    </row>
    <row r="286" spans="27:28" x14ac:dyDescent="0.3">
      <c r="AA286" s="338">
        <f t="shared" si="4"/>
        <v>34700</v>
      </c>
      <c r="AB286" s="338"/>
    </row>
    <row r="287" spans="27:28" x14ac:dyDescent="0.3">
      <c r="AA287" s="338">
        <f t="shared" si="4"/>
        <v>34700</v>
      </c>
      <c r="AB287" s="338"/>
    </row>
    <row r="288" spans="27:28" x14ac:dyDescent="0.3">
      <c r="AA288" s="338">
        <f t="shared" si="4"/>
        <v>34700</v>
      </c>
      <c r="AB288" s="338"/>
    </row>
    <row r="289" spans="27:28" x14ac:dyDescent="0.3">
      <c r="AA289" s="338">
        <f t="shared" si="4"/>
        <v>34700</v>
      </c>
      <c r="AB289" s="338"/>
    </row>
    <row r="290" spans="27:28" x14ac:dyDescent="0.3">
      <c r="AA290" s="338">
        <f t="shared" si="4"/>
        <v>34700</v>
      </c>
      <c r="AB290" s="338"/>
    </row>
    <row r="291" spans="27:28" x14ac:dyDescent="0.3">
      <c r="AA291" s="338">
        <f t="shared" si="4"/>
        <v>34700</v>
      </c>
      <c r="AB291" s="338"/>
    </row>
    <row r="292" spans="27:28" x14ac:dyDescent="0.3">
      <c r="AA292" s="338">
        <f t="shared" si="4"/>
        <v>34700</v>
      </c>
      <c r="AB292" s="338"/>
    </row>
    <row r="293" spans="27:28" x14ac:dyDescent="0.3">
      <c r="AA293" s="338">
        <f t="shared" si="4"/>
        <v>34700</v>
      </c>
      <c r="AB293" s="338"/>
    </row>
    <row r="294" spans="27:28" x14ac:dyDescent="0.3">
      <c r="AA294" s="338">
        <f t="shared" si="4"/>
        <v>34700</v>
      </c>
      <c r="AB294" s="338"/>
    </row>
    <row r="295" spans="27:28" x14ac:dyDescent="0.3">
      <c r="AA295" s="338">
        <f t="shared" si="4"/>
        <v>34700</v>
      </c>
      <c r="AB295" s="338"/>
    </row>
    <row r="296" spans="27:28" x14ac:dyDescent="0.3">
      <c r="AA296" s="338">
        <f t="shared" si="4"/>
        <v>34700</v>
      </c>
      <c r="AB296" s="338"/>
    </row>
    <row r="297" spans="27:28" x14ac:dyDescent="0.3">
      <c r="AA297" s="338">
        <f t="shared" si="4"/>
        <v>34700</v>
      </c>
      <c r="AB297" s="338"/>
    </row>
    <row r="298" spans="27:28" x14ac:dyDescent="0.3">
      <c r="AA298" s="338">
        <f t="shared" si="4"/>
        <v>34700</v>
      </c>
      <c r="AB298" s="338"/>
    </row>
    <row r="299" spans="27:28" x14ac:dyDescent="0.3">
      <c r="AA299" s="338">
        <f t="shared" si="4"/>
        <v>34700</v>
      </c>
      <c r="AB299" s="338"/>
    </row>
    <row r="300" spans="27:28" x14ac:dyDescent="0.3">
      <c r="AA300" s="338">
        <f t="shared" si="4"/>
        <v>34700</v>
      </c>
      <c r="AB300" s="338"/>
    </row>
    <row r="301" spans="27:28" x14ac:dyDescent="0.3">
      <c r="AA301" s="338">
        <f t="shared" si="4"/>
        <v>34700</v>
      </c>
      <c r="AB301" s="338"/>
    </row>
    <row r="302" spans="27:28" x14ac:dyDescent="0.3">
      <c r="AA302" s="338">
        <f t="shared" si="4"/>
        <v>34700</v>
      </c>
      <c r="AB302" s="338"/>
    </row>
    <row r="303" spans="27:28" x14ac:dyDescent="0.3">
      <c r="AA303" s="338">
        <f t="shared" si="4"/>
        <v>34700</v>
      </c>
      <c r="AB303" s="338"/>
    </row>
    <row r="304" spans="27:28" x14ac:dyDescent="0.3">
      <c r="AA304" s="338">
        <f t="shared" si="4"/>
        <v>34700</v>
      </c>
      <c r="AB304" s="338"/>
    </row>
    <row r="305" spans="27:28" x14ac:dyDescent="0.3">
      <c r="AA305" s="338">
        <f t="shared" si="4"/>
        <v>34700</v>
      </c>
      <c r="AB305" s="338"/>
    </row>
    <row r="306" spans="27:28" x14ac:dyDescent="0.3">
      <c r="AA306" s="338">
        <f t="shared" si="4"/>
        <v>34700</v>
      </c>
      <c r="AB306" s="338"/>
    </row>
    <row r="307" spans="27:28" x14ac:dyDescent="0.3">
      <c r="AA307" s="338">
        <f t="shared" si="4"/>
        <v>34700</v>
      </c>
      <c r="AB307" s="338"/>
    </row>
    <row r="308" spans="27:28" x14ac:dyDescent="0.3">
      <c r="AA308" s="338">
        <f t="shared" si="4"/>
        <v>34700</v>
      </c>
      <c r="AB308" s="338"/>
    </row>
    <row r="309" spans="27:28" x14ac:dyDescent="0.3">
      <c r="AA309" s="338">
        <f t="shared" si="4"/>
        <v>34700</v>
      </c>
      <c r="AB309" s="338"/>
    </row>
    <row r="310" spans="27:28" x14ac:dyDescent="0.3">
      <c r="AA310" s="338">
        <f t="shared" si="4"/>
        <v>34700</v>
      </c>
      <c r="AB310" s="338"/>
    </row>
    <row r="311" spans="27:28" x14ac:dyDescent="0.3">
      <c r="AA311" s="338">
        <f t="shared" si="4"/>
        <v>34700</v>
      </c>
      <c r="AB311" s="338"/>
    </row>
    <row r="312" spans="27:28" x14ac:dyDescent="0.3">
      <c r="AA312" s="338">
        <f t="shared" si="4"/>
        <v>34700</v>
      </c>
      <c r="AB312" s="338"/>
    </row>
    <row r="313" spans="27:28" x14ac:dyDescent="0.3">
      <c r="AA313" s="338">
        <f t="shared" si="4"/>
        <v>34700</v>
      </c>
      <c r="AB313" s="338"/>
    </row>
    <row r="314" spans="27:28" x14ac:dyDescent="0.3">
      <c r="AA314" s="338">
        <f t="shared" si="4"/>
        <v>34700</v>
      </c>
      <c r="AB314" s="338"/>
    </row>
    <row r="315" spans="27:28" x14ac:dyDescent="0.3">
      <c r="AA315" s="338">
        <f t="shared" si="4"/>
        <v>34700</v>
      </c>
      <c r="AB315" s="338"/>
    </row>
    <row r="316" spans="27:28" x14ac:dyDescent="0.3">
      <c r="AA316" s="338">
        <f t="shared" si="4"/>
        <v>34700</v>
      </c>
      <c r="AB316" s="338"/>
    </row>
    <row r="317" spans="27:28" x14ac:dyDescent="0.3">
      <c r="AA317" s="338">
        <f t="shared" si="4"/>
        <v>34700</v>
      </c>
      <c r="AB317" s="338"/>
    </row>
    <row r="318" spans="27:28" x14ac:dyDescent="0.3">
      <c r="AA318" s="338">
        <f t="shared" si="4"/>
        <v>34700</v>
      </c>
      <c r="AB318" s="338"/>
    </row>
    <row r="319" spans="27:28" x14ac:dyDescent="0.3">
      <c r="AA319" s="338">
        <f t="shared" si="4"/>
        <v>34700</v>
      </c>
      <c r="AB319" s="338"/>
    </row>
    <row r="320" spans="27:28" x14ac:dyDescent="0.3">
      <c r="AA320" s="338">
        <f t="shared" si="4"/>
        <v>34700</v>
      </c>
      <c r="AB320" s="338"/>
    </row>
    <row r="321" spans="27:28" x14ac:dyDescent="0.3">
      <c r="AA321" s="338">
        <f t="shared" ref="AA321:AA384" si="5">IFERROR(
IF(ISNUMBER(C321),C321,DATE(VALUE(RIGHT(C321,4)),VALUE(MID(SUBSTITUTE(C321,"/","-"),FIND("-",SUBSTITUTE(C321,"/","-"))+1,FIND("-",SUBSTITUTE(C321,"/","-"),FIND("-",SUBSTITUTE(C321,"/","-"))+1)-FIND("-",SUBSTITUTE(C321,"/","-"))-1)),VALUE(LEFT(SUBSTITUTE(C321,"/","-"),FIND("-",SUBSTITUTE(C321,"/","-"))-1)))),
DATE(1995,1,1)
)</f>
        <v>34700</v>
      </c>
      <c r="AB321" s="338"/>
    </row>
    <row r="322" spans="27:28" x14ac:dyDescent="0.3">
      <c r="AA322" s="338">
        <f t="shared" si="5"/>
        <v>34700</v>
      </c>
      <c r="AB322" s="338"/>
    </row>
    <row r="323" spans="27:28" x14ac:dyDescent="0.3">
      <c r="AA323" s="338">
        <f t="shared" si="5"/>
        <v>34700</v>
      </c>
      <c r="AB323" s="338"/>
    </row>
    <row r="324" spans="27:28" x14ac:dyDescent="0.3">
      <c r="AA324" s="338">
        <f t="shared" si="5"/>
        <v>34700</v>
      </c>
      <c r="AB324" s="338"/>
    </row>
    <row r="325" spans="27:28" x14ac:dyDescent="0.3">
      <c r="AA325" s="338">
        <f t="shared" si="5"/>
        <v>34700</v>
      </c>
      <c r="AB325" s="338"/>
    </row>
    <row r="326" spans="27:28" x14ac:dyDescent="0.3">
      <c r="AA326" s="338">
        <f t="shared" si="5"/>
        <v>34700</v>
      </c>
      <c r="AB326" s="338"/>
    </row>
    <row r="327" spans="27:28" x14ac:dyDescent="0.3">
      <c r="AA327" s="338">
        <f t="shared" si="5"/>
        <v>34700</v>
      </c>
      <c r="AB327" s="338"/>
    </row>
    <row r="328" spans="27:28" x14ac:dyDescent="0.3">
      <c r="AA328" s="338">
        <f t="shared" si="5"/>
        <v>34700</v>
      </c>
      <c r="AB328" s="338"/>
    </row>
    <row r="329" spans="27:28" x14ac:dyDescent="0.3">
      <c r="AA329" s="338">
        <f t="shared" si="5"/>
        <v>34700</v>
      </c>
      <c r="AB329" s="338"/>
    </row>
    <row r="330" spans="27:28" x14ac:dyDescent="0.3">
      <c r="AA330" s="338">
        <f t="shared" si="5"/>
        <v>34700</v>
      </c>
      <c r="AB330" s="338"/>
    </row>
    <row r="331" spans="27:28" x14ac:dyDescent="0.3">
      <c r="AA331" s="338">
        <f t="shared" si="5"/>
        <v>34700</v>
      </c>
      <c r="AB331" s="338"/>
    </row>
    <row r="332" spans="27:28" x14ac:dyDescent="0.3">
      <c r="AA332" s="338">
        <f t="shared" si="5"/>
        <v>34700</v>
      </c>
      <c r="AB332" s="338"/>
    </row>
    <row r="333" spans="27:28" x14ac:dyDescent="0.3">
      <c r="AA333" s="338">
        <f t="shared" si="5"/>
        <v>34700</v>
      </c>
      <c r="AB333" s="338"/>
    </row>
    <row r="334" spans="27:28" x14ac:dyDescent="0.3">
      <c r="AA334" s="338">
        <f t="shared" si="5"/>
        <v>34700</v>
      </c>
      <c r="AB334" s="338"/>
    </row>
    <row r="335" spans="27:28" x14ac:dyDescent="0.3">
      <c r="AA335" s="338">
        <f t="shared" si="5"/>
        <v>34700</v>
      </c>
      <c r="AB335" s="338"/>
    </row>
    <row r="336" spans="27:28" x14ac:dyDescent="0.3">
      <c r="AA336" s="338">
        <f t="shared" si="5"/>
        <v>34700</v>
      </c>
      <c r="AB336" s="338"/>
    </row>
    <row r="337" spans="27:28" x14ac:dyDescent="0.3">
      <c r="AA337" s="338">
        <f t="shared" si="5"/>
        <v>34700</v>
      </c>
      <c r="AB337" s="338"/>
    </row>
    <row r="338" spans="27:28" x14ac:dyDescent="0.3">
      <c r="AA338" s="338">
        <f t="shared" si="5"/>
        <v>34700</v>
      </c>
      <c r="AB338" s="338"/>
    </row>
    <row r="339" spans="27:28" x14ac:dyDescent="0.3">
      <c r="AA339" s="338">
        <f t="shared" si="5"/>
        <v>34700</v>
      </c>
      <c r="AB339" s="338"/>
    </row>
    <row r="340" spans="27:28" x14ac:dyDescent="0.3">
      <c r="AA340" s="338">
        <f t="shared" si="5"/>
        <v>34700</v>
      </c>
      <c r="AB340" s="338"/>
    </row>
    <row r="341" spans="27:28" x14ac:dyDescent="0.3">
      <c r="AA341" s="338">
        <f t="shared" si="5"/>
        <v>34700</v>
      </c>
      <c r="AB341" s="338"/>
    </row>
    <row r="342" spans="27:28" x14ac:dyDescent="0.3">
      <c r="AA342" s="338">
        <f t="shared" si="5"/>
        <v>34700</v>
      </c>
      <c r="AB342" s="338"/>
    </row>
    <row r="343" spans="27:28" x14ac:dyDescent="0.3">
      <c r="AA343" s="338">
        <f t="shared" si="5"/>
        <v>34700</v>
      </c>
      <c r="AB343" s="338"/>
    </row>
    <row r="344" spans="27:28" x14ac:dyDescent="0.3">
      <c r="AA344" s="338">
        <f t="shared" si="5"/>
        <v>34700</v>
      </c>
      <c r="AB344" s="338"/>
    </row>
    <row r="345" spans="27:28" x14ac:dyDescent="0.3">
      <c r="AA345" s="338">
        <f t="shared" si="5"/>
        <v>34700</v>
      </c>
      <c r="AB345" s="338"/>
    </row>
    <row r="346" spans="27:28" x14ac:dyDescent="0.3">
      <c r="AA346" s="338">
        <f t="shared" si="5"/>
        <v>34700</v>
      </c>
      <c r="AB346" s="338"/>
    </row>
    <row r="347" spans="27:28" x14ac:dyDescent="0.3">
      <c r="AA347" s="338">
        <f t="shared" si="5"/>
        <v>34700</v>
      </c>
      <c r="AB347" s="338"/>
    </row>
    <row r="348" spans="27:28" x14ac:dyDescent="0.3">
      <c r="AA348" s="338">
        <f t="shared" si="5"/>
        <v>34700</v>
      </c>
      <c r="AB348" s="338"/>
    </row>
    <row r="349" spans="27:28" x14ac:dyDescent="0.3">
      <c r="AA349" s="338">
        <f t="shared" si="5"/>
        <v>34700</v>
      </c>
      <c r="AB349" s="338"/>
    </row>
    <row r="350" spans="27:28" x14ac:dyDescent="0.3">
      <c r="AA350" s="338">
        <f t="shared" si="5"/>
        <v>34700</v>
      </c>
      <c r="AB350" s="338"/>
    </row>
    <row r="351" spans="27:28" x14ac:dyDescent="0.3">
      <c r="AA351" s="338">
        <f t="shared" si="5"/>
        <v>34700</v>
      </c>
      <c r="AB351" s="338"/>
    </row>
    <row r="352" spans="27:28" x14ac:dyDescent="0.3">
      <c r="AA352" s="338">
        <f t="shared" si="5"/>
        <v>34700</v>
      </c>
      <c r="AB352" s="338"/>
    </row>
    <row r="353" spans="27:28" x14ac:dyDescent="0.3">
      <c r="AA353" s="338">
        <f t="shared" si="5"/>
        <v>34700</v>
      </c>
      <c r="AB353" s="338"/>
    </row>
    <row r="354" spans="27:28" x14ac:dyDescent="0.3">
      <c r="AA354" s="338">
        <f t="shared" si="5"/>
        <v>34700</v>
      </c>
      <c r="AB354" s="338"/>
    </row>
    <row r="355" spans="27:28" x14ac:dyDescent="0.3">
      <c r="AA355" s="338">
        <f t="shared" si="5"/>
        <v>34700</v>
      </c>
      <c r="AB355" s="338"/>
    </row>
    <row r="356" spans="27:28" x14ac:dyDescent="0.3">
      <c r="AA356" s="338">
        <f t="shared" si="5"/>
        <v>34700</v>
      </c>
      <c r="AB356" s="338"/>
    </row>
    <row r="357" spans="27:28" x14ac:dyDescent="0.3">
      <c r="AA357" s="338">
        <f t="shared" si="5"/>
        <v>34700</v>
      </c>
      <c r="AB357" s="338"/>
    </row>
    <row r="358" spans="27:28" x14ac:dyDescent="0.3">
      <c r="AA358" s="338">
        <f t="shared" si="5"/>
        <v>34700</v>
      </c>
      <c r="AB358" s="338"/>
    </row>
    <row r="359" spans="27:28" x14ac:dyDescent="0.3">
      <c r="AA359" s="338">
        <f t="shared" si="5"/>
        <v>34700</v>
      </c>
      <c r="AB359" s="338"/>
    </row>
    <row r="360" spans="27:28" x14ac:dyDescent="0.3">
      <c r="AA360" s="338">
        <f t="shared" si="5"/>
        <v>34700</v>
      </c>
      <c r="AB360" s="338"/>
    </row>
    <row r="361" spans="27:28" x14ac:dyDescent="0.3">
      <c r="AA361" s="338">
        <f t="shared" si="5"/>
        <v>34700</v>
      </c>
      <c r="AB361" s="338"/>
    </row>
    <row r="362" spans="27:28" x14ac:dyDescent="0.3">
      <c r="AA362" s="338">
        <f t="shared" si="5"/>
        <v>34700</v>
      </c>
      <c r="AB362" s="338"/>
    </row>
    <row r="363" spans="27:28" x14ac:dyDescent="0.3">
      <c r="AA363" s="338">
        <f t="shared" si="5"/>
        <v>34700</v>
      </c>
      <c r="AB363" s="338"/>
    </row>
    <row r="364" spans="27:28" x14ac:dyDescent="0.3">
      <c r="AA364" s="338">
        <f t="shared" si="5"/>
        <v>34700</v>
      </c>
      <c r="AB364" s="338"/>
    </row>
    <row r="365" spans="27:28" x14ac:dyDescent="0.3">
      <c r="AA365" s="338">
        <f t="shared" si="5"/>
        <v>34700</v>
      </c>
      <c r="AB365" s="338"/>
    </row>
    <row r="366" spans="27:28" x14ac:dyDescent="0.3">
      <c r="AA366" s="338">
        <f t="shared" si="5"/>
        <v>34700</v>
      </c>
      <c r="AB366" s="338"/>
    </row>
    <row r="367" spans="27:28" x14ac:dyDescent="0.3">
      <c r="AA367" s="338">
        <f t="shared" si="5"/>
        <v>34700</v>
      </c>
      <c r="AB367" s="338"/>
    </row>
    <row r="368" spans="27:28" x14ac:dyDescent="0.3">
      <c r="AA368" s="338">
        <f t="shared" si="5"/>
        <v>34700</v>
      </c>
      <c r="AB368" s="338"/>
    </row>
    <row r="369" spans="27:28" x14ac:dyDescent="0.3">
      <c r="AA369" s="338">
        <f t="shared" si="5"/>
        <v>34700</v>
      </c>
      <c r="AB369" s="338"/>
    </row>
    <row r="370" spans="27:28" x14ac:dyDescent="0.3">
      <c r="AA370" s="338">
        <f t="shared" si="5"/>
        <v>34700</v>
      </c>
      <c r="AB370" s="338"/>
    </row>
    <row r="371" spans="27:28" x14ac:dyDescent="0.3">
      <c r="AA371" s="338">
        <f t="shared" si="5"/>
        <v>34700</v>
      </c>
      <c r="AB371" s="338"/>
    </row>
    <row r="372" spans="27:28" x14ac:dyDescent="0.3">
      <c r="AA372" s="338">
        <f t="shared" si="5"/>
        <v>34700</v>
      </c>
      <c r="AB372" s="338"/>
    </row>
    <row r="373" spans="27:28" x14ac:dyDescent="0.3">
      <c r="AA373" s="338">
        <f t="shared" si="5"/>
        <v>34700</v>
      </c>
      <c r="AB373" s="338"/>
    </row>
    <row r="374" spans="27:28" x14ac:dyDescent="0.3">
      <c r="AA374" s="338">
        <f t="shared" si="5"/>
        <v>34700</v>
      </c>
      <c r="AB374" s="338"/>
    </row>
    <row r="375" spans="27:28" x14ac:dyDescent="0.3">
      <c r="AA375" s="338">
        <f t="shared" si="5"/>
        <v>34700</v>
      </c>
      <c r="AB375" s="338"/>
    </row>
    <row r="376" spans="27:28" x14ac:dyDescent="0.3">
      <c r="AA376" s="338">
        <f t="shared" si="5"/>
        <v>34700</v>
      </c>
      <c r="AB376" s="338"/>
    </row>
    <row r="377" spans="27:28" x14ac:dyDescent="0.3">
      <c r="AA377" s="338">
        <f t="shared" si="5"/>
        <v>34700</v>
      </c>
      <c r="AB377" s="338"/>
    </row>
    <row r="378" spans="27:28" x14ac:dyDescent="0.3">
      <c r="AA378" s="338">
        <f t="shared" si="5"/>
        <v>34700</v>
      </c>
      <c r="AB378" s="338"/>
    </row>
    <row r="379" spans="27:28" x14ac:dyDescent="0.3">
      <c r="AA379" s="338">
        <f t="shared" si="5"/>
        <v>34700</v>
      </c>
      <c r="AB379" s="338"/>
    </row>
    <row r="380" spans="27:28" x14ac:dyDescent="0.3">
      <c r="AA380" s="338">
        <f t="shared" si="5"/>
        <v>34700</v>
      </c>
      <c r="AB380" s="338"/>
    </row>
    <row r="381" spans="27:28" x14ac:dyDescent="0.3">
      <c r="AA381" s="338">
        <f t="shared" si="5"/>
        <v>34700</v>
      </c>
      <c r="AB381" s="338"/>
    </row>
    <row r="382" spans="27:28" x14ac:dyDescent="0.3">
      <c r="AA382" s="338">
        <f t="shared" si="5"/>
        <v>34700</v>
      </c>
      <c r="AB382" s="338"/>
    </row>
    <row r="383" spans="27:28" x14ac:dyDescent="0.3">
      <c r="AA383" s="338">
        <f t="shared" si="5"/>
        <v>34700</v>
      </c>
      <c r="AB383" s="338"/>
    </row>
    <row r="384" spans="27:28" x14ac:dyDescent="0.3">
      <c r="AA384" s="338">
        <f t="shared" si="5"/>
        <v>34700</v>
      </c>
      <c r="AB384" s="338"/>
    </row>
    <row r="385" spans="27:28" x14ac:dyDescent="0.3">
      <c r="AA385" s="338">
        <f t="shared" ref="AA385:AA448" si="6">IFERROR(
IF(ISNUMBER(C385),C385,DATE(VALUE(RIGHT(C385,4)),VALUE(MID(SUBSTITUTE(C385,"/","-"),FIND("-",SUBSTITUTE(C385,"/","-"))+1,FIND("-",SUBSTITUTE(C385,"/","-"),FIND("-",SUBSTITUTE(C385,"/","-"))+1)-FIND("-",SUBSTITUTE(C385,"/","-"))-1)),VALUE(LEFT(SUBSTITUTE(C385,"/","-"),FIND("-",SUBSTITUTE(C385,"/","-"))-1)))),
DATE(1995,1,1)
)</f>
        <v>34700</v>
      </c>
      <c r="AB385" s="338"/>
    </row>
    <row r="386" spans="27:28" x14ac:dyDescent="0.3">
      <c r="AA386" s="338">
        <f t="shared" si="6"/>
        <v>34700</v>
      </c>
      <c r="AB386" s="338"/>
    </row>
    <row r="387" spans="27:28" x14ac:dyDescent="0.3">
      <c r="AA387" s="338">
        <f t="shared" si="6"/>
        <v>34700</v>
      </c>
      <c r="AB387" s="338"/>
    </row>
    <row r="388" spans="27:28" x14ac:dyDescent="0.3">
      <c r="AA388" s="338">
        <f t="shared" si="6"/>
        <v>34700</v>
      </c>
      <c r="AB388" s="338"/>
    </row>
    <row r="389" spans="27:28" x14ac:dyDescent="0.3">
      <c r="AA389" s="338">
        <f t="shared" si="6"/>
        <v>34700</v>
      </c>
      <c r="AB389" s="338"/>
    </row>
    <row r="390" spans="27:28" x14ac:dyDescent="0.3">
      <c r="AA390" s="338">
        <f t="shared" si="6"/>
        <v>34700</v>
      </c>
      <c r="AB390" s="338"/>
    </row>
    <row r="391" spans="27:28" x14ac:dyDescent="0.3">
      <c r="AA391" s="338">
        <f t="shared" si="6"/>
        <v>34700</v>
      </c>
      <c r="AB391" s="338"/>
    </row>
    <row r="392" spans="27:28" x14ac:dyDescent="0.3">
      <c r="AA392" s="338">
        <f t="shared" si="6"/>
        <v>34700</v>
      </c>
      <c r="AB392" s="338"/>
    </row>
    <row r="393" spans="27:28" x14ac:dyDescent="0.3">
      <c r="AA393" s="338">
        <f t="shared" si="6"/>
        <v>34700</v>
      </c>
      <c r="AB393" s="338"/>
    </row>
    <row r="394" spans="27:28" x14ac:dyDescent="0.3">
      <c r="AA394" s="338">
        <f t="shared" si="6"/>
        <v>34700</v>
      </c>
      <c r="AB394" s="338"/>
    </row>
    <row r="395" spans="27:28" x14ac:dyDescent="0.3">
      <c r="AA395" s="338">
        <f t="shared" si="6"/>
        <v>34700</v>
      </c>
      <c r="AB395" s="338"/>
    </row>
    <row r="396" spans="27:28" x14ac:dyDescent="0.3">
      <c r="AA396" s="338">
        <f t="shared" si="6"/>
        <v>34700</v>
      </c>
      <c r="AB396" s="338"/>
    </row>
    <row r="397" spans="27:28" x14ac:dyDescent="0.3">
      <c r="AA397" s="338">
        <f t="shared" si="6"/>
        <v>34700</v>
      </c>
      <c r="AB397" s="338"/>
    </row>
    <row r="398" spans="27:28" x14ac:dyDescent="0.3">
      <c r="AA398" s="338">
        <f t="shared" si="6"/>
        <v>34700</v>
      </c>
      <c r="AB398" s="338"/>
    </row>
    <row r="399" spans="27:28" x14ac:dyDescent="0.3">
      <c r="AA399" s="338">
        <f t="shared" si="6"/>
        <v>34700</v>
      </c>
      <c r="AB399" s="338"/>
    </row>
    <row r="400" spans="27:28" x14ac:dyDescent="0.3">
      <c r="AA400" s="338">
        <f t="shared" si="6"/>
        <v>34700</v>
      </c>
      <c r="AB400" s="338"/>
    </row>
    <row r="401" spans="27:28" x14ac:dyDescent="0.3">
      <c r="AA401" s="338">
        <f t="shared" si="6"/>
        <v>34700</v>
      </c>
      <c r="AB401" s="338"/>
    </row>
    <row r="402" spans="27:28" x14ac:dyDescent="0.3">
      <c r="AA402" s="338">
        <f t="shared" si="6"/>
        <v>34700</v>
      </c>
      <c r="AB402" s="338"/>
    </row>
    <row r="403" spans="27:28" x14ac:dyDescent="0.3">
      <c r="AA403" s="338">
        <f t="shared" si="6"/>
        <v>34700</v>
      </c>
      <c r="AB403" s="338"/>
    </row>
    <row r="404" spans="27:28" x14ac:dyDescent="0.3">
      <c r="AA404" s="338">
        <f t="shared" si="6"/>
        <v>34700</v>
      </c>
      <c r="AB404" s="338"/>
    </row>
    <row r="405" spans="27:28" x14ac:dyDescent="0.3">
      <c r="AA405" s="338">
        <f t="shared" si="6"/>
        <v>34700</v>
      </c>
      <c r="AB405" s="338"/>
    </row>
    <row r="406" spans="27:28" x14ac:dyDescent="0.3">
      <c r="AA406" s="338">
        <f t="shared" si="6"/>
        <v>34700</v>
      </c>
      <c r="AB406" s="338"/>
    </row>
    <row r="407" spans="27:28" x14ac:dyDescent="0.3">
      <c r="AA407" s="338">
        <f t="shared" si="6"/>
        <v>34700</v>
      </c>
      <c r="AB407" s="338"/>
    </row>
    <row r="408" spans="27:28" x14ac:dyDescent="0.3">
      <c r="AA408" s="338">
        <f t="shared" si="6"/>
        <v>34700</v>
      </c>
      <c r="AB408" s="338"/>
    </row>
    <row r="409" spans="27:28" x14ac:dyDescent="0.3">
      <c r="AA409" s="338">
        <f t="shared" si="6"/>
        <v>34700</v>
      </c>
      <c r="AB409" s="338"/>
    </row>
    <row r="410" spans="27:28" x14ac:dyDescent="0.3">
      <c r="AA410" s="338">
        <f t="shared" si="6"/>
        <v>34700</v>
      </c>
      <c r="AB410" s="338"/>
    </row>
    <row r="411" spans="27:28" x14ac:dyDescent="0.3">
      <c r="AA411" s="338">
        <f t="shared" si="6"/>
        <v>34700</v>
      </c>
      <c r="AB411" s="338"/>
    </row>
    <row r="412" spans="27:28" x14ac:dyDescent="0.3">
      <c r="AA412" s="338">
        <f t="shared" si="6"/>
        <v>34700</v>
      </c>
      <c r="AB412" s="338"/>
    </row>
    <row r="413" spans="27:28" x14ac:dyDescent="0.3">
      <c r="AA413" s="338">
        <f t="shared" si="6"/>
        <v>34700</v>
      </c>
      <c r="AB413" s="338"/>
    </row>
    <row r="414" spans="27:28" x14ac:dyDescent="0.3">
      <c r="AA414" s="338">
        <f t="shared" si="6"/>
        <v>34700</v>
      </c>
      <c r="AB414" s="338"/>
    </row>
    <row r="415" spans="27:28" x14ac:dyDescent="0.3">
      <c r="AA415" s="338">
        <f t="shared" si="6"/>
        <v>34700</v>
      </c>
      <c r="AB415" s="338"/>
    </row>
    <row r="416" spans="27:28" x14ac:dyDescent="0.3">
      <c r="AA416" s="338">
        <f t="shared" si="6"/>
        <v>34700</v>
      </c>
      <c r="AB416" s="338"/>
    </row>
    <row r="417" spans="27:28" x14ac:dyDescent="0.3">
      <c r="AA417" s="338">
        <f t="shared" si="6"/>
        <v>34700</v>
      </c>
      <c r="AB417" s="338"/>
    </row>
    <row r="418" spans="27:28" x14ac:dyDescent="0.3">
      <c r="AA418" s="338">
        <f t="shared" si="6"/>
        <v>34700</v>
      </c>
      <c r="AB418" s="338"/>
    </row>
    <row r="419" spans="27:28" x14ac:dyDescent="0.3">
      <c r="AA419" s="338">
        <f t="shared" si="6"/>
        <v>34700</v>
      </c>
      <c r="AB419" s="338"/>
    </row>
    <row r="420" spans="27:28" x14ac:dyDescent="0.3">
      <c r="AA420" s="338">
        <f t="shared" si="6"/>
        <v>34700</v>
      </c>
      <c r="AB420" s="338"/>
    </row>
    <row r="421" spans="27:28" x14ac:dyDescent="0.3">
      <c r="AA421" s="338">
        <f t="shared" si="6"/>
        <v>34700</v>
      </c>
      <c r="AB421" s="338"/>
    </row>
    <row r="422" spans="27:28" x14ac:dyDescent="0.3">
      <c r="AA422" s="338">
        <f t="shared" si="6"/>
        <v>34700</v>
      </c>
      <c r="AB422" s="338"/>
    </row>
    <row r="423" spans="27:28" x14ac:dyDescent="0.3">
      <c r="AA423" s="338">
        <f t="shared" si="6"/>
        <v>34700</v>
      </c>
      <c r="AB423" s="338"/>
    </row>
    <row r="424" spans="27:28" x14ac:dyDescent="0.3">
      <c r="AA424" s="338">
        <f t="shared" si="6"/>
        <v>34700</v>
      </c>
      <c r="AB424" s="338"/>
    </row>
    <row r="425" spans="27:28" x14ac:dyDescent="0.3">
      <c r="AA425" s="338">
        <f t="shared" si="6"/>
        <v>34700</v>
      </c>
      <c r="AB425" s="338"/>
    </row>
    <row r="426" spans="27:28" x14ac:dyDescent="0.3">
      <c r="AA426" s="338">
        <f t="shared" si="6"/>
        <v>34700</v>
      </c>
      <c r="AB426" s="338"/>
    </row>
    <row r="427" spans="27:28" x14ac:dyDescent="0.3">
      <c r="AA427" s="338">
        <f t="shared" si="6"/>
        <v>34700</v>
      </c>
      <c r="AB427" s="338"/>
    </row>
    <row r="428" spans="27:28" x14ac:dyDescent="0.3">
      <c r="AA428" s="338">
        <f t="shared" si="6"/>
        <v>34700</v>
      </c>
      <c r="AB428" s="338"/>
    </row>
    <row r="429" spans="27:28" x14ac:dyDescent="0.3">
      <c r="AA429" s="338">
        <f t="shared" si="6"/>
        <v>34700</v>
      </c>
      <c r="AB429" s="338"/>
    </row>
    <row r="430" spans="27:28" x14ac:dyDescent="0.3">
      <c r="AA430" s="338">
        <f t="shared" si="6"/>
        <v>34700</v>
      </c>
      <c r="AB430" s="338"/>
    </row>
    <row r="431" spans="27:28" x14ac:dyDescent="0.3">
      <c r="AA431" s="338">
        <f t="shared" si="6"/>
        <v>34700</v>
      </c>
      <c r="AB431" s="338"/>
    </row>
    <row r="432" spans="27:28" x14ac:dyDescent="0.3">
      <c r="AA432" s="338">
        <f t="shared" si="6"/>
        <v>34700</v>
      </c>
      <c r="AB432" s="338"/>
    </row>
    <row r="433" spans="27:28" x14ac:dyDescent="0.3">
      <c r="AA433" s="338">
        <f t="shared" si="6"/>
        <v>34700</v>
      </c>
      <c r="AB433" s="338"/>
    </row>
    <row r="434" spans="27:28" x14ac:dyDescent="0.3">
      <c r="AA434" s="338">
        <f t="shared" si="6"/>
        <v>34700</v>
      </c>
      <c r="AB434" s="338"/>
    </row>
    <row r="435" spans="27:28" x14ac:dyDescent="0.3">
      <c r="AA435" s="338">
        <f t="shared" si="6"/>
        <v>34700</v>
      </c>
      <c r="AB435" s="338"/>
    </row>
    <row r="436" spans="27:28" x14ac:dyDescent="0.3">
      <c r="AA436" s="338">
        <f t="shared" si="6"/>
        <v>34700</v>
      </c>
      <c r="AB436" s="338"/>
    </row>
    <row r="437" spans="27:28" x14ac:dyDescent="0.3">
      <c r="AA437" s="338">
        <f t="shared" si="6"/>
        <v>34700</v>
      </c>
      <c r="AB437" s="338"/>
    </row>
    <row r="438" spans="27:28" x14ac:dyDescent="0.3">
      <c r="AA438" s="338">
        <f t="shared" si="6"/>
        <v>34700</v>
      </c>
      <c r="AB438" s="338"/>
    </row>
    <row r="439" spans="27:28" x14ac:dyDescent="0.3">
      <c r="AA439" s="338">
        <f t="shared" si="6"/>
        <v>34700</v>
      </c>
      <c r="AB439" s="338"/>
    </row>
    <row r="440" spans="27:28" x14ac:dyDescent="0.3">
      <c r="AA440" s="338">
        <f t="shared" si="6"/>
        <v>34700</v>
      </c>
      <c r="AB440" s="338"/>
    </row>
    <row r="441" spans="27:28" x14ac:dyDescent="0.3">
      <c r="AA441" s="338">
        <f t="shared" si="6"/>
        <v>34700</v>
      </c>
      <c r="AB441" s="338"/>
    </row>
    <row r="442" spans="27:28" x14ac:dyDescent="0.3">
      <c r="AA442" s="338">
        <f t="shared" si="6"/>
        <v>34700</v>
      </c>
      <c r="AB442" s="338"/>
    </row>
    <row r="443" spans="27:28" x14ac:dyDescent="0.3">
      <c r="AA443" s="338">
        <f t="shared" si="6"/>
        <v>34700</v>
      </c>
      <c r="AB443" s="338"/>
    </row>
    <row r="444" spans="27:28" x14ac:dyDescent="0.3">
      <c r="AA444" s="338">
        <f t="shared" si="6"/>
        <v>34700</v>
      </c>
      <c r="AB444" s="338"/>
    </row>
    <row r="445" spans="27:28" x14ac:dyDescent="0.3">
      <c r="AA445" s="338">
        <f t="shared" si="6"/>
        <v>34700</v>
      </c>
      <c r="AB445" s="338"/>
    </row>
    <row r="446" spans="27:28" x14ac:dyDescent="0.3">
      <c r="AA446" s="338">
        <f t="shared" si="6"/>
        <v>34700</v>
      </c>
      <c r="AB446" s="338"/>
    </row>
    <row r="447" spans="27:28" x14ac:dyDescent="0.3">
      <c r="AA447" s="338">
        <f t="shared" si="6"/>
        <v>34700</v>
      </c>
      <c r="AB447" s="338"/>
    </row>
    <row r="448" spans="27:28" x14ac:dyDescent="0.3">
      <c r="AA448" s="338">
        <f t="shared" si="6"/>
        <v>34700</v>
      </c>
      <c r="AB448" s="338"/>
    </row>
    <row r="449" spans="27:28" x14ac:dyDescent="0.3">
      <c r="AA449" s="338">
        <f t="shared" ref="AA449:AA512" si="7">IFERROR(
IF(ISNUMBER(C449),C449,DATE(VALUE(RIGHT(C449,4)),VALUE(MID(SUBSTITUTE(C449,"/","-"),FIND("-",SUBSTITUTE(C449,"/","-"))+1,FIND("-",SUBSTITUTE(C449,"/","-"),FIND("-",SUBSTITUTE(C449,"/","-"))+1)-FIND("-",SUBSTITUTE(C449,"/","-"))-1)),VALUE(LEFT(SUBSTITUTE(C449,"/","-"),FIND("-",SUBSTITUTE(C449,"/","-"))-1)))),
DATE(1995,1,1)
)</f>
        <v>34700</v>
      </c>
      <c r="AB449" s="338"/>
    </row>
    <row r="450" spans="27:28" x14ac:dyDescent="0.3">
      <c r="AA450" s="338">
        <f t="shared" si="7"/>
        <v>34700</v>
      </c>
      <c r="AB450" s="338"/>
    </row>
    <row r="451" spans="27:28" x14ac:dyDescent="0.3">
      <c r="AA451" s="338">
        <f t="shared" si="7"/>
        <v>34700</v>
      </c>
      <c r="AB451" s="338"/>
    </row>
    <row r="452" spans="27:28" x14ac:dyDescent="0.3">
      <c r="AA452" s="338">
        <f t="shared" si="7"/>
        <v>34700</v>
      </c>
      <c r="AB452" s="338"/>
    </row>
    <row r="453" spans="27:28" x14ac:dyDescent="0.3">
      <c r="AA453" s="338">
        <f t="shared" si="7"/>
        <v>34700</v>
      </c>
      <c r="AB453" s="338"/>
    </row>
    <row r="454" spans="27:28" x14ac:dyDescent="0.3">
      <c r="AA454" s="338">
        <f t="shared" si="7"/>
        <v>34700</v>
      </c>
      <c r="AB454" s="338"/>
    </row>
    <row r="455" spans="27:28" x14ac:dyDescent="0.3">
      <c r="AA455" s="338">
        <f t="shared" si="7"/>
        <v>34700</v>
      </c>
      <c r="AB455" s="338"/>
    </row>
    <row r="456" spans="27:28" x14ac:dyDescent="0.3">
      <c r="AA456" s="338">
        <f t="shared" si="7"/>
        <v>34700</v>
      </c>
      <c r="AB456" s="338"/>
    </row>
    <row r="457" spans="27:28" x14ac:dyDescent="0.3">
      <c r="AA457" s="338">
        <f t="shared" si="7"/>
        <v>34700</v>
      </c>
      <c r="AB457" s="338"/>
    </row>
    <row r="458" spans="27:28" x14ac:dyDescent="0.3">
      <c r="AA458" s="338">
        <f t="shared" si="7"/>
        <v>34700</v>
      </c>
      <c r="AB458" s="338"/>
    </row>
    <row r="459" spans="27:28" x14ac:dyDescent="0.3">
      <c r="AA459" s="338">
        <f t="shared" si="7"/>
        <v>34700</v>
      </c>
      <c r="AB459" s="338"/>
    </row>
    <row r="460" spans="27:28" x14ac:dyDescent="0.3">
      <c r="AA460" s="338">
        <f t="shared" si="7"/>
        <v>34700</v>
      </c>
      <c r="AB460" s="338"/>
    </row>
    <row r="461" spans="27:28" x14ac:dyDescent="0.3">
      <c r="AA461" s="338">
        <f t="shared" si="7"/>
        <v>34700</v>
      </c>
      <c r="AB461" s="338"/>
    </row>
    <row r="462" spans="27:28" x14ac:dyDescent="0.3">
      <c r="AA462" s="338">
        <f t="shared" si="7"/>
        <v>34700</v>
      </c>
      <c r="AB462" s="338"/>
    </row>
    <row r="463" spans="27:28" x14ac:dyDescent="0.3">
      <c r="AA463" s="338">
        <f t="shared" si="7"/>
        <v>34700</v>
      </c>
      <c r="AB463" s="338"/>
    </row>
    <row r="464" spans="27:28" x14ac:dyDescent="0.3">
      <c r="AA464" s="338">
        <f t="shared" si="7"/>
        <v>34700</v>
      </c>
      <c r="AB464" s="338"/>
    </row>
    <row r="465" spans="27:28" x14ac:dyDescent="0.3">
      <c r="AA465" s="338">
        <f t="shared" si="7"/>
        <v>34700</v>
      </c>
      <c r="AB465" s="338"/>
    </row>
    <row r="466" spans="27:28" x14ac:dyDescent="0.3">
      <c r="AA466" s="338">
        <f t="shared" si="7"/>
        <v>34700</v>
      </c>
      <c r="AB466" s="338"/>
    </row>
    <row r="467" spans="27:28" x14ac:dyDescent="0.3">
      <c r="AA467" s="338">
        <f t="shared" si="7"/>
        <v>34700</v>
      </c>
      <c r="AB467" s="338"/>
    </row>
    <row r="468" spans="27:28" x14ac:dyDescent="0.3">
      <c r="AA468" s="338">
        <f t="shared" si="7"/>
        <v>34700</v>
      </c>
      <c r="AB468" s="338"/>
    </row>
    <row r="469" spans="27:28" x14ac:dyDescent="0.3">
      <c r="AA469" s="338">
        <f t="shared" si="7"/>
        <v>34700</v>
      </c>
      <c r="AB469" s="338"/>
    </row>
    <row r="470" spans="27:28" x14ac:dyDescent="0.3">
      <c r="AA470" s="338">
        <f t="shared" si="7"/>
        <v>34700</v>
      </c>
      <c r="AB470" s="338"/>
    </row>
    <row r="471" spans="27:28" x14ac:dyDescent="0.3">
      <c r="AA471" s="338">
        <f t="shared" si="7"/>
        <v>34700</v>
      </c>
      <c r="AB471" s="338"/>
    </row>
    <row r="472" spans="27:28" x14ac:dyDescent="0.3">
      <c r="AA472" s="338">
        <f t="shared" si="7"/>
        <v>34700</v>
      </c>
      <c r="AB472" s="338"/>
    </row>
    <row r="473" spans="27:28" x14ac:dyDescent="0.3">
      <c r="AA473" s="338">
        <f t="shared" si="7"/>
        <v>34700</v>
      </c>
      <c r="AB473" s="338"/>
    </row>
    <row r="474" spans="27:28" x14ac:dyDescent="0.3">
      <c r="AA474" s="338">
        <f t="shared" si="7"/>
        <v>34700</v>
      </c>
      <c r="AB474" s="338"/>
    </row>
    <row r="475" spans="27:28" x14ac:dyDescent="0.3">
      <c r="AA475" s="338">
        <f t="shared" si="7"/>
        <v>34700</v>
      </c>
      <c r="AB475" s="338"/>
    </row>
    <row r="476" spans="27:28" x14ac:dyDescent="0.3">
      <c r="AA476" s="338">
        <f t="shared" si="7"/>
        <v>34700</v>
      </c>
      <c r="AB476" s="338"/>
    </row>
    <row r="477" spans="27:28" x14ac:dyDescent="0.3">
      <c r="AA477" s="338">
        <f t="shared" si="7"/>
        <v>34700</v>
      </c>
      <c r="AB477" s="338"/>
    </row>
    <row r="478" spans="27:28" x14ac:dyDescent="0.3">
      <c r="AA478" s="338">
        <f t="shared" si="7"/>
        <v>34700</v>
      </c>
      <c r="AB478" s="338"/>
    </row>
    <row r="479" spans="27:28" x14ac:dyDescent="0.3">
      <c r="AA479" s="338">
        <f t="shared" si="7"/>
        <v>34700</v>
      </c>
      <c r="AB479" s="338"/>
    </row>
    <row r="480" spans="27:28" x14ac:dyDescent="0.3">
      <c r="AA480" s="338">
        <f t="shared" si="7"/>
        <v>34700</v>
      </c>
      <c r="AB480" s="338"/>
    </row>
    <row r="481" spans="27:28" x14ac:dyDescent="0.3">
      <c r="AA481" s="338">
        <f t="shared" si="7"/>
        <v>34700</v>
      </c>
      <c r="AB481" s="338"/>
    </row>
    <row r="482" spans="27:28" x14ac:dyDescent="0.3">
      <c r="AA482" s="338">
        <f t="shared" si="7"/>
        <v>34700</v>
      </c>
      <c r="AB482" s="338"/>
    </row>
    <row r="483" spans="27:28" x14ac:dyDescent="0.3">
      <c r="AA483" s="338">
        <f t="shared" si="7"/>
        <v>34700</v>
      </c>
      <c r="AB483" s="338"/>
    </row>
    <row r="484" spans="27:28" x14ac:dyDescent="0.3">
      <c r="AA484" s="338">
        <f t="shared" si="7"/>
        <v>34700</v>
      </c>
      <c r="AB484" s="338"/>
    </row>
    <row r="485" spans="27:28" x14ac:dyDescent="0.3">
      <c r="AA485" s="338">
        <f t="shared" si="7"/>
        <v>34700</v>
      </c>
      <c r="AB485" s="338"/>
    </row>
    <row r="486" spans="27:28" x14ac:dyDescent="0.3">
      <c r="AA486" s="338">
        <f t="shared" si="7"/>
        <v>34700</v>
      </c>
      <c r="AB486" s="338"/>
    </row>
    <row r="487" spans="27:28" x14ac:dyDescent="0.3">
      <c r="AA487" s="338">
        <f t="shared" si="7"/>
        <v>34700</v>
      </c>
      <c r="AB487" s="338"/>
    </row>
    <row r="488" spans="27:28" x14ac:dyDescent="0.3">
      <c r="AA488" s="338">
        <f t="shared" si="7"/>
        <v>34700</v>
      </c>
      <c r="AB488" s="338"/>
    </row>
    <row r="489" spans="27:28" x14ac:dyDescent="0.3">
      <c r="AA489" s="338">
        <f t="shared" si="7"/>
        <v>34700</v>
      </c>
      <c r="AB489" s="338"/>
    </row>
    <row r="490" spans="27:28" x14ac:dyDescent="0.3">
      <c r="AA490" s="338">
        <f t="shared" si="7"/>
        <v>34700</v>
      </c>
      <c r="AB490" s="338"/>
    </row>
    <row r="491" spans="27:28" x14ac:dyDescent="0.3">
      <c r="AA491" s="338">
        <f t="shared" si="7"/>
        <v>34700</v>
      </c>
      <c r="AB491" s="338"/>
    </row>
    <row r="492" spans="27:28" x14ac:dyDescent="0.3">
      <c r="AA492" s="338">
        <f t="shared" si="7"/>
        <v>34700</v>
      </c>
      <c r="AB492" s="338"/>
    </row>
    <row r="493" spans="27:28" x14ac:dyDescent="0.3">
      <c r="AA493" s="338">
        <f t="shared" si="7"/>
        <v>34700</v>
      </c>
      <c r="AB493" s="338"/>
    </row>
    <row r="494" spans="27:28" x14ac:dyDescent="0.3">
      <c r="AA494" s="338">
        <f t="shared" si="7"/>
        <v>34700</v>
      </c>
      <c r="AB494" s="338"/>
    </row>
    <row r="495" spans="27:28" x14ac:dyDescent="0.3">
      <c r="AA495" s="338">
        <f t="shared" si="7"/>
        <v>34700</v>
      </c>
      <c r="AB495" s="338"/>
    </row>
    <row r="496" spans="27:28" x14ac:dyDescent="0.3">
      <c r="AA496" s="338">
        <f t="shared" si="7"/>
        <v>34700</v>
      </c>
      <c r="AB496" s="338"/>
    </row>
    <row r="497" spans="27:28" x14ac:dyDescent="0.3">
      <c r="AA497" s="338">
        <f t="shared" si="7"/>
        <v>34700</v>
      </c>
      <c r="AB497" s="338"/>
    </row>
    <row r="498" spans="27:28" x14ac:dyDescent="0.3">
      <c r="AA498" s="338">
        <f t="shared" si="7"/>
        <v>34700</v>
      </c>
      <c r="AB498" s="338"/>
    </row>
    <row r="499" spans="27:28" x14ac:dyDescent="0.3">
      <c r="AA499" s="338">
        <f t="shared" si="7"/>
        <v>34700</v>
      </c>
      <c r="AB499" s="338"/>
    </row>
    <row r="500" spans="27:28" x14ac:dyDescent="0.3">
      <c r="AA500" s="338">
        <f t="shared" si="7"/>
        <v>34700</v>
      </c>
      <c r="AB500" s="338"/>
    </row>
    <row r="501" spans="27:28" x14ac:dyDescent="0.3">
      <c r="AA501" s="338">
        <f t="shared" si="7"/>
        <v>34700</v>
      </c>
      <c r="AB501" s="338"/>
    </row>
    <row r="502" spans="27:28" x14ac:dyDescent="0.3">
      <c r="AA502" s="338">
        <f t="shared" si="7"/>
        <v>34700</v>
      </c>
      <c r="AB502" s="338"/>
    </row>
    <row r="503" spans="27:28" x14ac:dyDescent="0.3">
      <c r="AA503" s="338">
        <f t="shared" si="7"/>
        <v>34700</v>
      </c>
      <c r="AB503" s="338"/>
    </row>
    <row r="504" spans="27:28" x14ac:dyDescent="0.3">
      <c r="AA504" s="338">
        <f t="shared" si="7"/>
        <v>34700</v>
      </c>
      <c r="AB504" s="338"/>
    </row>
    <row r="505" spans="27:28" x14ac:dyDescent="0.3">
      <c r="AA505" s="338">
        <f t="shared" si="7"/>
        <v>34700</v>
      </c>
      <c r="AB505" s="338"/>
    </row>
    <row r="506" spans="27:28" x14ac:dyDescent="0.3">
      <c r="AA506" s="338">
        <f t="shared" si="7"/>
        <v>34700</v>
      </c>
      <c r="AB506" s="338"/>
    </row>
    <row r="507" spans="27:28" x14ac:dyDescent="0.3">
      <c r="AA507" s="338">
        <f t="shared" si="7"/>
        <v>34700</v>
      </c>
      <c r="AB507" s="338"/>
    </row>
    <row r="508" spans="27:28" x14ac:dyDescent="0.3">
      <c r="AA508" s="338">
        <f t="shared" si="7"/>
        <v>34700</v>
      </c>
      <c r="AB508" s="338"/>
    </row>
    <row r="509" spans="27:28" x14ac:dyDescent="0.3">
      <c r="AA509" s="338">
        <f t="shared" si="7"/>
        <v>34700</v>
      </c>
      <c r="AB509" s="338"/>
    </row>
    <row r="510" spans="27:28" x14ac:dyDescent="0.3">
      <c r="AA510" s="338">
        <f t="shared" si="7"/>
        <v>34700</v>
      </c>
      <c r="AB510" s="338"/>
    </row>
    <row r="511" spans="27:28" x14ac:dyDescent="0.3">
      <c r="AA511" s="338">
        <f t="shared" si="7"/>
        <v>34700</v>
      </c>
      <c r="AB511" s="338"/>
    </row>
    <row r="512" spans="27:28" x14ac:dyDescent="0.3">
      <c r="AA512" s="338">
        <f t="shared" si="7"/>
        <v>34700</v>
      </c>
      <c r="AB512" s="338"/>
    </row>
    <row r="513" spans="27:28" x14ac:dyDescent="0.3">
      <c r="AA513" s="338">
        <f t="shared" ref="AA513:AA576" si="8">IFERROR(
IF(ISNUMBER(C513),C513,DATE(VALUE(RIGHT(C513,4)),VALUE(MID(SUBSTITUTE(C513,"/","-"),FIND("-",SUBSTITUTE(C513,"/","-"))+1,FIND("-",SUBSTITUTE(C513,"/","-"),FIND("-",SUBSTITUTE(C513,"/","-"))+1)-FIND("-",SUBSTITUTE(C513,"/","-"))-1)),VALUE(LEFT(SUBSTITUTE(C513,"/","-"),FIND("-",SUBSTITUTE(C513,"/","-"))-1)))),
DATE(1995,1,1)
)</f>
        <v>34700</v>
      </c>
      <c r="AB513" s="338"/>
    </row>
    <row r="514" spans="27:28" x14ac:dyDescent="0.3">
      <c r="AA514" s="338">
        <f t="shared" si="8"/>
        <v>34700</v>
      </c>
      <c r="AB514" s="338"/>
    </row>
    <row r="515" spans="27:28" x14ac:dyDescent="0.3">
      <c r="AA515" s="338">
        <f t="shared" si="8"/>
        <v>34700</v>
      </c>
      <c r="AB515" s="338"/>
    </row>
    <row r="516" spans="27:28" x14ac:dyDescent="0.3">
      <c r="AA516" s="338">
        <f t="shared" si="8"/>
        <v>34700</v>
      </c>
      <c r="AB516" s="338"/>
    </row>
    <row r="517" spans="27:28" x14ac:dyDescent="0.3">
      <c r="AA517" s="338">
        <f t="shared" si="8"/>
        <v>34700</v>
      </c>
      <c r="AB517" s="338"/>
    </row>
    <row r="518" spans="27:28" x14ac:dyDescent="0.3">
      <c r="AA518" s="338">
        <f t="shared" si="8"/>
        <v>34700</v>
      </c>
      <c r="AB518" s="338"/>
    </row>
    <row r="519" spans="27:28" x14ac:dyDescent="0.3">
      <c r="AA519" s="338">
        <f t="shared" si="8"/>
        <v>34700</v>
      </c>
      <c r="AB519" s="338"/>
    </row>
    <row r="520" spans="27:28" x14ac:dyDescent="0.3">
      <c r="AA520" s="338">
        <f t="shared" si="8"/>
        <v>34700</v>
      </c>
      <c r="AB520" s="338"/>
    </row>
    <row r="521" spans="27:28" x14ac:dyDescent="0.3">
      <c r="AA521" s="338">
        <f t="shared" si="8"/>
        <v>34700</v>
      </c>
      <c r="AB521" s="338"/>
    </row>
    <row r="522" spans="27:28" x14ac:dyDescent="0.3">
      <c r="AA522" s="338">
        <f t="shared" si="8"/>
        <v>34700</v>
      </c>
      <c r="AB522" s="338"/>
    </row>
    <row r="523" spans="27:28" x14ac:dyDescent="0.3">
      <c r="AA523" s="338">
        <f t="shared" si="8"/>
        <v>34700</v>
      </c>
      <c r="AB523" s="338"/>
    </row>
    <row r="524" spans="27:28" x14ac:dyDescent="0.3">
      <c r="AA524" s="338">
        <f t="shared" si="8"/>
        <v>34700</v>
      </c>
      <c r="AB524" s="338"/>
    </row>
    <row r="525" spans="27:28" x14ac:dyDescent="0.3">
      <c r="AA525" s="338">
        <f t="shared" si="8"/>
        <v>34700</v>
      </c>
      <c r="AB525" s="338"/>
    </row>
    <row r="526" spans="27:28" x14ac:dyDescent="0.3">
      <c r="AA526" s="338">
        <f t="shared" si="8"/>
        <v>34700</v>
      </c>
      <c r="AB526" s="338"/>
    </row>
    <row r="527" spans="27:28" x14ac:dyDescent="0.3">
      <c r="AA527" s="338">
        <f t="shared" si="8"/>
        <v>34700</v>
      </c>
      <c r="AB527" s="338"/>
    </row>
    <row r="528" spans="27:28" x14ac:dyDescent="0.3">
      <c r="AA528" s="338">
        <f t="shared" si="8"/>
        <v>34700</v>
      </c>
      <c r="AB528" s="338"/>
    </row>
    <row r="529" spans="27:28" x14ac:dyDescent="0.3">
      <c r="AA529" s="338">
        <f t="shared" si="8"/>
        <v>34700</v>
      </c>
      <c r="AB529" s="338"/>
    </row>
    <row r="530" spans="27:28" x14ac:dyDescent="0.3">
      <c r="AA530" s="338">
        <f t="shared" si="8"/>
        <v>34700</v>
      </c>
      <c r="AB530" s="338"/>
    </row>
    <row r="531" spans="27:28" x14ac:dyDescent="0.3">
      <c r="AA531" s="338">
        <f t="shared" si="8"/>
        <v>34700</v>
      </c>
      <c r="AB531" s="338"/>
    </row>
    <row r="532" spans="27:28" x14ac:dyDescent="0.3">
      <c r="AA532" s="338">
        <f t="shared" si="8"/>
        <v>34700</v>
      </c>
      <c r="AB532" s="338"/>
    </row>
    <row r="533" spans="27:28" x14ac:dyDescent="0.3">
      <c r="AA533" s="338">
        <f t="shared" si="8"/>
        <v>34700</v>
      </c>
      <c r="AB533" s="338"/>
    </row>
    <row r="534" spans="27:28" x14ac:dyDescent="0.3">
      <c r="AA534" s="338">
        <f t="shared" si="8"/>
        <v>34700</v>
      </c>
      <c r="AB534" s="338"/>
    </row>
    <row r="535" spans="27:28" x14ac:dyDescent="0.3">
      <c r="AA535" s="338">
        <f t="shared" si="8"/>
        <v>34700</v>
      </c>
      <c r="AB535" s="338"/>
    </row>
    <row r="536" spans="27:28" x14ac:dyDescent="0.3">
      <c r="AA536" s="338">
        <f t="shared" si="8"/>
        <v>34700</v>
      </c>
      <c r="AB536" s="338"/>
    </row>
    <row r="537" spans="27:28" x14ac:dyDescent="0.3">
      <c r="AA537" s="338">
        <f t="shared" si="8"/>
        <v>34700</v>
      </c>
      <c r="AB537" s="338"/>
    </row>
    <row r="538" spans="27:28" x14ac:dyDescent="0.3">
      <c r="AA538" s="338">
        <f t="shared" si="8"/>
        <v>34700</v>
      </c>
      <c r="AB538" s="338"/>
    </row>
    <row r="539" spans="27:28" x14ac:dyDescent="0.3">
      <c r="AA539" s="338">
        <f t="shared" si="8"/>
        <v>34700</v>
      </c>
      <c r="AB539" s="338"/>
    </row>
    <row r="540" spans="27:28" x14ac:dyDescent="0.3">
      <c r="AA540" s="338">
        <f t="shared" si="8"/>
        <v>34700</v>
      </c>
      <c r="AB540" s="338"/>
    </row>
    <row r="541" spans="27:28" x14ac:dyDescent="0.3">
      <c r="AA541" s="338">
        <f t="shared" si="8"/>
        <v>34700</v>
      </c>
      <c r="AB541" s="338"/>
    </row>
    <row r="542" spans="27:28" x14ac:dyDescent="0.3">
      <c r="AA542" s="338">
        <f t="shared" si="8"/>
        <v>34700</v>
      </c>
      <c r="AB542" s="338"/>
    </row>
    <row r="543" spans="27:28" x14ac:dyDescent="0.3">
      <c r="AA543" s="338">
        <f t="shared" si="8"/>
        <v>34700</v>
      </c>
      <c r="AB543" s="338"/>
    </row>
    <row r="544" spans="27:28" x14ac:dyDescent="0.3">
      <c r="AA544" s="338">
        <f t="shared" si="8"/>
        <v>34700</v>
      </c>
      <c r="AB544" s="338"/>
    </row>
    <row r="545" spans="27:28" x14ac:dyDescent="0.3">
      <c r="AA545" s="338">
        <f t="shared" si="8"/>
        <v>34700</v>
      </c>
      <c r="AB545" s="338"/>
    </row>
    <row r="546" spans="27:28" x14ac:dyDescent="0.3">
      <c r="AA546" s="338">
        <f t="shared" si="8"/>
        <v>34700</v>
      </c>
      <c r="AB546" s="338"/>
    </row>
    <row r="547" spans="27:28" x14ac:dyDescent="0.3">
      <c r="AA547" s="338">
        <f t="shared" si="8"/>
        <v>34700</v>
      </c>
      <c r="AB547" s="338"/>
    </row>
    <row r="548" spans="27:28" x14ac:dyDescent="0.3">
      <c r="AA548" s="338">
        <f t="shared" si="8"/>
        <v>34700</v>
      </c>
      <c r="AB548" s="338"/>
    </row>
    <row r="549" spans="27:28" x14ac:dyDescent="0.3">
      <c r="AA549" s="338">
        <f t="shared" si="8"/>
        <v>34700</v>
      </c>
      <c r="AB549" s="338"/>
    </row>
    <row r="550" spans="27:28" x14ac:dyDescent="0.3">
      <c r="AA550" s="338">
        <f t="shared" si="8"/>
        <v>34700</v>
      </c>
      <c r="AB550" s="338"/>
    </row>
    <row r="551" spans="27:28" x14ac:dyDescent="0.3">
      <c r="AA551" s="338">
        <f t="shared" si="8"/>
        <v>34700</v>
      </c>
      <c r="AB551" s="338"/>
    </row>
    <row r="552" spans="27:28" x14ac:dyDescent="0.3">
      <c r="AA552" s="338">
        <f t="shared" si="8"/>
        <v>34700</v>
      </c>
      <c r="AB552" s="338"/>
    </row>
    <row r="553" spans="27:28" x14ac:dyDescent="0.3">
      <c r="AA553" s="338">
        <f t="shared" si="8"/>
        <v>34700</v>
      </c>
      <c r="AB553" s="338"/>
    </row>
    <row r="554" spans="27:28" x14ac:dyDescent="0.3">
      <c r="AA554" s="338">
        <f t="shared" si="8"/>
        <v>34700</v>
      </c>
      <c r="AB554" s="338"/>
    </row>
    <row r="555" spans="27:28" x14ac:dyDescent="0.3">
      <c r="AA555" s="338">
        <f t="shared" si="8"/>
        <v>34700</v>
      </c>
      <c r="AB555" s="338"/>
    </row>
    <row r="556" spans="27:28" x14ac:dyDescent="0.3">
      <c r="AA556" s="338">
        <f t="shared" si="8"/>
        <v>34700</v>
      </c>
      <c r="AB556" s="338"/>
    </row>
    <row r="557" spans="27:28" x14ac:dyDescent="0.3">
      <c r="AA557" s="338">
        <f t="shared" si="8"/>
        <v>34700</v>
      </c>
      <c r="AB557" s="338"/>
    </row>
    <row r="558" spans="27:28" x14ac:dyDescent="0.3">
      <c r="AA558" s="338">
        <f t="shared" si="8"/>
        <v>34700</v>
      </c>
      <c r="AB558" s="338"/>
    </row>
    <row r="559" spans="27:28" x14ac:dyDescent="0.3">
      <c r="AA559" s="338">
        <f t="shared" si="8"/>
        <v>34700</v>
      </c>
      <c r="AB559" s="338"/>
    </row>
    <row r="560" spans="27:28" x14ac:dyDescent="0.3">
      <c r="AA560" s="338">
        <f t="shared" si="8"/>
        <v>34700</v>
      </c>
      <c r="AB560" s="338"/>
    </row>
    <row r="561" spans="27:28" x14ac:dyDescent="0.3">
      <c r="AA561" s="338">
        <f t="shared" si="8"/>
        <v>34700</v>
      </c>
      <c r="AB561" s="338"/>
    </row>
    <row r="562" spans="27:28" x14ac:dyDescent="0.3">
      <c r="AA562" s="338">
        <f t="shared" si="8"/>
        <v>34700</v>
      </c>
      <c r="AB562" s="338"/>
    </row>
    <row r="563" spans="27:28" x14ac:dyDescent="0.3">
      <c r="AA563" s="338">
        <f t="shared" si="8"/>
        <v>34700</v>
      </c>
      <c r="AB563" s="338"/>
    </row>
    <row r="564" spans="27:28" x14ac:dyDescent="0.3">
      <c r="AA564" s="338">
        <f t="shared" si="8"/>
        <v>34700</v>
      </c>
      <c r="AB564" s="338"/>
    </row>
    <row r="565" spans="27:28" x14ac:dyDescent="0.3">
      <c r="AA565" s="338">
        <f t="shared" si="8"/>
        <v>34700</v>
      </c>
      <c r="AB565" s="338"/>
    </row>
    <row r="566" spans="27:28" x14ac:dyDescent="0.3">
      <c r="AA566" s="338">
        <f t="shared" si="8"/>
        <v>34700</v>
      </c>
      <c r="AB566" s="338"/>
    </row>
    <row r="567" spans="27:28" x14ac:dyDescent="0.3">
      <c r="AA567" s="338">
        <f t="shared" si="8"/>
        <v>34700</v>
      </c>
      <c r="AB567" s="338"/>
    </row>
    <row r="568" spans="27:28" x14ac:dyDescent="0.3">
      <c r="AA568" s="338">
        <f t="shared" si="8"/>
        <v>34700</v>
      </c>
      <c r="AB568" s="338"/>
    </row>
    <row r="569" spans="27:28" x14ac:dyDescent="0.3">
      <c r="AA569" s="338">
        <f t="shared" si="8"/>
        <v>34700</v>
      </c>
      <c r="AB569" s="338"/>
    </row>
    <row r="570" spans="27:28" x14ac:dyDescent="0.3">
      <c r="AA570" s="338">
        <f t="shared" si="8"/>
        <v>34700</v>
      </c>
      <c r="AB570" s="338"/>
    </row>
    <row r="571" spans="27:28" x14ac:dyDescent="0.3">
      <c r="AA571" s="338">
        <f t="shared" si="8"/>
        <v>34700</v>
      </c>
      <c r="AB571" s="338"/>
    </row>
    <row r="572" spans="27:28" x14ac:dyDescent="0.3">
      <c r="AA572" s="338">
        <f t="shared" si="8"/>
        <v>34700</v>
      </c>
      <c r="AB572" s="338"/>
    </row>
    <row r="573" spans="27:28" x14ac:dyDescent="0.3">
      <c r="AA573" s="338">
        <f t="shared" si="8"/>
        <v>34700</v>
      </c>
      <c r="AB573" s="338"/>
    </row>
    <row r="574" spans="27:28" x14ac:dyDescent="0.3">
      <c r="AA574" s="338">
        <f t="shared" si="8"/>
        <v>34700</v>
      </c>
      <c r="AB574" s="338"/>
    </row>
    <row r="575" spans="27:28" x14ac:dyDescent="0.3">
      <c r="AA575" s="338">
        <f t="shared" si="8"/>
        <v>34700</v>
      </c>
      <c r="AB575" s="338"/>
    </row>
    <row r="576" spans="27:28" x14ac:dyDescent="0.3">
      <c r="AA576" s="338">
        <f t="shared" si="8"/>
        <v>34700</v>
      </c>
      <c r="AB576" s="338"/>
    </row>
    <row r="577" spans="27:28" x14ac:dyDescent="0.3">
      <c r="AA577" s="338">
        <f t="shared" ref="AA577:AA640" si="9">IFERROR(
IF(ISNUMBER(C577),C577,DATE(VALUE(RIGHT(C577,4)),VALUE(MID(SUBSTITUTE(C577,"/","-"),FIND("-",SUBSTITUTE(C577,"/","-"))+1,FIND("-",SUBSTITUTE(C577,"/","-"),FIND("-",SUBSTITUTE(C577,"/","-"))+1)-FIND("-",SUBSTITUTE(C577,"/","-"))-1)),VALUE(LEFT(SUBSTITUTE(C577,"/","-"),FIND("-",SUBSTITUTE(C577,"/","-"))-1)))),
DATE(1995,1,1)
)</f>
        <v>34700</v>
      </c>
      <c r="AB577" s="338"/>
    </row>
    <row r="578" spans="27:28" x14ac:dyDescent="0.3">
      <c r="AA578" s="338">
        <f t="shared" si="9"/>
        <v>34700</v>
      </c>
      <c r="AB578" s="338"/>
    </row>
    <row r="579" spans="27:28" x14ac:dyDescent="0.3">
      <c r="AA579" s="338">
        <f t="shared" si="9"/>
        <v>34700</v>
      </c>
      <c r="AB579" s="338"/>
    </row>
    <row r="580" spans="27:28" x14ac:dyDescent="0.3">
      <c r="AA580" s="338">
        <f t="shared" si="9"/>
        <v>34700</v>
      </c>
      <c r="AB580" s="338"/>
    </row>
    <row r="581" spans="27:28" x14ac:dyDescent="0.3">
      <c r="AA581" s="338">
        <f t="shared" si="9"/>
        <v>34700</v>
      </c>
      <c r="AB581" s="338"/>
    </row>
    <row r="582" spans="27:28" x14ac:dyDescent="0.3">
      <c r="AA582" s="338">
        <f t="shared" si="9"/>
        <v>34700</v>
      </c>
      <c r="AB582" s="338"/>
    </row>
    <row r="583" spans="27:28" x14ac:dyDescent="0.3">
      <c r="AA583" s="338">
        <f t="shared" si="9"/>
        <v>34700</v>
      </c>
      <c r="AB583" s="338"/>
    </row>
    <row r="584" spans="27:28" x14ac:dyDescent="0.3">
      <c r="AA584" s="338">
        <f t="shared" si="9"/>
        <v>34700</v>
      </c>
      <c r="AB584" s="338"/>
    </row>
    <row r="585" spans="27:28" x14ac:dyDescent="0.3">
      <c r="AA585" s="338">
        <f t="shared" si="9"/>
        <v>34700</v>
      </c>
      <c r="AB585" s="338"/>
    </row>
    <row r="586" spans="27:28" x14ac:dyDescent="0.3">
      <c r="AA586" s="338">
        <f t="shared" si="9"/>
        <v>34700</v>
      </c>
      <c r="AB586" s="338"/>
    </row>
    <row r="587" spans="27:28" x14ac:dyDescent="0.3">
      <c r="AA587" s="338">
        <f t="shared" si="9"/>
        <v>34700</v>
      </c>
      <c r="AB587" s="338"/>
    </row>
    <row r="588" spans="27:28" x14ac:dyDescent="0.3">
      <c r="AA588" s="338">
        <f t="shared" si="9"/>
        <v>34700</v>
      </c>
      <c r="AB588" s="338"/>
    </row>
    <row r="589" spans="27:28" x14ac:dyDescent="0.3">
      <c r="AA589" s="338">
        <f t="shared" si="9"/>
        <v>34700</v>
      </c>
      <c r="AB589" s="338"/>
    </row>
    <row r="590" spans="27:28" x14ac:dyDescent="0.3">
      <c r="AA590" s="338">
        <f t="shared" si="9"/>
        <v>34700</v>
      </c>
      <c r="AB590" s="338"/>
    </row>
    <row r="591" spans="27:28" x14ac:dyDescent="0.3">
      <c r="AA591" s="338">
        <f t="shared" si="9"/>
        <v>34700</v>
      </c>
      <c r="AB591" s="338"/>
    </row>
    <row r="592" spans="27:28" x14ac:dyDescent="0.3">
      <c r="AA592" s="338">
        <f t="shared" si="9"/>
        <v>34700</v>
      </c>
      <c r="AB592" s="338"/>
    </row>
    <row r="593" spans="27:28" x14ac:dyDescent="0.3">
      <c r="AA593" s="338">
        <f t="shared" si="9"/>
        <v>34700</v>
      </c>
      <c r="AB593" s="338"/>
    </row>
    <row r="594" spans="27:28" x14ac:dyDescent="0.3">
      <c r="AA594" s="338">
        <f t="shared" si="9"/>
        <v>34700</v>
      </c>
      <c r="AB594" s="338"/>
    </row>
    <row r="595" spans="27:28" x14ac:dyDescent="0.3">
      <c r="AA595" s="338">
        <f t="shared" si="9"/>
        <v>34700</v>
      </c>
      <c r="AB595" s="338"/>
    </row>
    <row r="596" spans="27:28" x14ac:dyDescent="0.3">
      <c r="AA596" s="338">
        <f t="shared" si="9"/>
        <v>34700</v>
      </c>
      <c r="AB596" s="338"/>
    </row>
    <row r="597" spans="27:28" x14ac:dyDescent="0.3">
      <c r="AA597" s="338">
        <f t="shared" si="9"/>
        <v>34700</v>
      </c>
      <c r="AB597" s="338"/>
    </row>
    <row r="598" spans="27:28" x14ac:dyDescent="0.3">
      <c r="AA598" s="338">
        <f t="shared" si="9"/>
        <v>34700</v>
      </c>
      <c r="AB598" s="338"/>
    </row>
    <row r="599" spans="27:28" x14ac:dyDescent="0.3">
      <c r="AA599" s="338">
        <f t="shared" si="9"/>
        <v>34700</v>
      </c>
      <c r="AB599" s="338"/>
    </row>
    <row r="600" spans="27:28" x14ac:dyDescent="0.3">
      <c r="AA600" s="338">
        <f t="shared" si="9"/>
        <v>34700</v>
      </c>
      <c r="AB600" s="338"/>
    </row>
    <row r="601" spans="27:28" x14ac:dyDescent="0.3">
      <c r="AA601" s="338">
        <f t="shared" si="9"/>
        <v>34700</v>
      </c>
      <c r="AB601" s="338"/>
    </row>
    <row r="602" spans="27:28" x14ac:dyDescent="0.3">
      <c r="AA602" s="338">
        <f t="shared" si="9"/>
        <v>34700</v>
      </c>
      <c r="AB602" s="338"/>
    </row>
    <row r="603" spans="27:28" x14ac:dyDescent="0.3">
      <c r="AA603" s="338">
        <f t="shared" si="9"/>
        <v>34700</v>
      </c>
      <c r="AB603" s="338"/>
    </row>
    <row r="604" spans="27:28" x14ac:dyDescent="0.3">
      <c r="AA604" s="338">
        <f t="shared" si="9"/>
        <v>34700</v>
      </c>
      <c r="AB604" s="338"/>
    </row>
    <row r="605" spans="27:28" x14ac:dyDescent="0.3">
      <c r="AA605" s="338">
        <f t="shared" si="9"/>
        <v>34700</v>
      </c>
      <c r="AB605" s="338"/>
    </row>
    <row r="606" spans="27:28" x14ac:dyDescent="0.3">
      <c r="AA606" s="338">
        <f t="shared" si="9"/>
        <v>34700</v>
      </c>
      <c r="AB606" s="338"/>
    </row>
    <row r="607" spans="27:28" x14ac:dyDescent="0.3">
      <c r="AA607" s="338">
        <f t="shared" si="9"/>
        <v>34700</v>
      </c>
      <c r="AB607" s="338"/>
    </row>
    <row r="608" spans="27:28" x14ac:dyDescent="0.3">
      <c r="AA608" s="338">
        <f t="shared" si="9"/>
        <v>34700</v>
      </c>
      <c r="AB608" s="338"/>
    </row>
    <row r="609" spans="27:28" x14ac:dyDescent="0.3">
      <c r="AA609" s="338">
        <f t="shared" si="9"/>
        <v>34700</v>
      </c>
      <c r="AB609" s="338"/>
    </row>
    <row r="610" spans="27:28" x14ac:dyDescent="0.3">
      <c r="AA610" s="338">
        <f t="shared" si="9"/>
        <v>34700</v>
      </c>
      <c r="AB610" s="338"/>
    </row>
    <row r="611" spans="27:28" x14ac:dyDescent="0.3">
      <c r="AA611" s="338">
        <f t="shared" si="9"/>
        <v>34700</v>
      </c>
      <c r="AB611" s="338"/>
    </row>
    <row r="612" spans="27:28" x14ac:dyDescent="0.3">
      <c r="AA612" s="338">
        <f t="shared" si="9"/>
        <v>34700</v>
      </c>
      <c r="AB612" s="338"/>
    </row>
    <row r="613" spans="27:28" x14ac:dyDescent="0.3">
      <c r="AA613" s="338">
        <f t="shared" si="9"/>
        <v>34700</v>
      </c>
      <c r="AB613" s="338"/>
    </row>
    <row r="614" spans="27:28" x14ac:dyDescent="0.3">
      <c r="AA614" s="338">
        <f t="shared" si="9"/>
        <v>34700</v>
      </c>
      <c r="AB614" s="338"/>
    </row>
    <row r="615" spans="27:28" x14ac:dyDescent="0.3">
      <c r="AA615" s="338">
        <f t="shared" si="9"/>
        <v>34700</v>
      </c>
      <c r="AB615" s="338"/>
    </row>
    <row r="616" spans="27:28" x14ac:dyDescent="0.3">
      <c r="AA616" s="338">
        <f t="shared" si="9"/>
        <v>34700</v>
      </c>
      <c r="AB616" s="338"/>
    </row>
    <row r="617" spans="27:28" x14ac:dyDescent="0.3">
      <c r="AA617" s="338">
        <f t="shared" si="9"/>
        <v>34700</v>
      </c>
      <c r="AB617" s="338"/>
    </row>
    <row r="618" spans="27:28" x14ac:dyDescent="0.3">
      <c r="AA618" s="338">
        <f t="shared" si="9"/>
        <v>34700</v>
      </c>
      <c r="AB618" s="338"/>
    </row>
    <row r="619" spans="27:28" x14ac:dyDescent="0.3">
      <c r="AA619" s="338">
        <f t="shared" si="9"/>
        <v>34700</v>
      </c>
      <c r="AB619" s="338"/>
    </row>
    <row r="620" spans="27:28" x14ac:dyDescent="0.3">
      <c r="AA620" s="338">
        <f t="shared" si="9"/>
        <v>34700</v>
      </c>
      <c r="AB620" s="338"/>
    </row>
    <row r="621" spans="27:28" x14ac:dyDescent="0.3">
      <c r="AA621" s="338">
        <f t="shared" si="9"/>
        <v>34700</v>
      </c>
      <c r="AB621" s="338"/>
    </row>
    <row r="622" spans="27:28" x14ac:dyDescent="0.3">
      <c r="AA622" s="338">
        <f t="shared" si="9"/>
        <v>34700</v>
      </c>
      <c r="AB622" s="338"/>
    </row>
    <row r="623" spans="27:28" x14ac:dyDescent="0.3">
      <c r="AA623" s="338">
        <f t="shared" si="9"/>
        <v>34700</v>
      </c>
      <c r="AB623" s="338"/>
    </row>
    <row r="624" spans="27:28" x14ac:dyDescent="0.3">
      <c r="AA624" s="338">
        <f t="shared" si="9"/>
        <v>34700</v>
      </c>
      <c r="AB624" s="338"/>
    </row>
    <row r="625" spans="27:28" x14ac:dyDescent="0.3">
      <c r="AA625" s="338">
        <f t="shared" si="9"/>
        <v>34700</v>
      </c>
      <c r="AB625" s="338"/>
    </row>
    <row r="626" spans="27:28" x14ac:dyDescent="0.3">
      <c r="AA626" s="338">
        <f t="shared" si="9"/>
        <v>34700</v>
      </c>
      <c r="AB626" s="338"/>
    </row>
    <row r="627" spans="27:28" x14ac:dyDescent="0.3">
      <c r="AA627" s="338">
        <f t="shared" si="9"/>
        <v>34700</v>
      </c>
      <c r="AB627" s="338"/>
    </row>
    <row r="628" spans="27:28" x14ac:dyDescent="0.3">
      <c r="AA628" s="338">
        <f t="shared" si="9"/>
        <v>34700</v>
      </c>
      <c r="AB628" s="338"/>
    </row>
    <row r="629" spans="27:28" x14ac:dyDescent="0.3">
      <c r="AA629" s="338">
        <f t="shared" si="9"/>
        <v>34700</v>
      </c>
      <c r="AB629" s="338"/>
    </row>
    <row r="630" spans="27:28" x14ac:dyDescent="0.3">
      <c r="AA630" s="338">
        <f t="shared" si="9"/>
        <v>34700</v>
      </c>
      <c r="AB630" s="338"/>
    </row>
    <row r="631" spans="27:28" x14ac:dyDescent="0.3">
      <c r="AA631" s="338">
        <f t="shared" si="9"/>
        <v>34700</v>
      </c>
      <c r="AB631" s="338"/>
    </row>
    <row r="632" spans="27:28" x14ac:dyDescent="0.3">
      <c r="AA632" s="338">
        <f t="shared" si="9"/>
        <v>34700</v>
      </c>
      <c r="AB632" s="338"/>
    </row>
    <row r="633" spans="27:28" x14ac:dyDescent="0.3">
      <c r="AA633" s="338">
        <f t="shared" si="9"/>
        <v>34700</v>
      </c>
      <c r="AB633" s="338"/>
    </row>
    <row r="634" spans="27:28" x14ac:dyDescent="0.3">
      <c r="AA634" s="338">
        <f t="shared" si="9"/>
        <v>34700</v>
      </c>
      <c r="AB634" s="338"/>
    </row>
    <row r="635" spans="27:28" x14ac:dyDescent="0.3">
      <c r="AA635" s="338">
        <f t="shared" si="9"/>
        <v>34700</v>
      </c>
      <c r="AB635" s="338"/>
    </row>
    <row r="636" spans="27:28" x14ac:dyDescent="0.3">
      <c r="AA636" s="338">
        <f t="shared" si="9"/>
        <v>34700</v>
      </c>
      <c r="AB636" s="338"/>
    </row>
    <row r="637" spans="27:28" x14ac:dyDescent="0.3">
      <c r="AA637" s="338">
        <f t="shared" si="9"/>
        <v>34700</v>
      </c>
      <c r="AB637" s="338"/>
    </row>
    <row r="638" spans="27:28" x14ac:dyDescent="0.3">
      <c r="AA638" s="338">
        <f t="shared" si="9"/>
        <v>34700</v>
      </c>
      <c r="AB638" s="338"/>
    </row>
    <row r="639" spans="27:28" x14ac:dyDescent="0.3">
      <c r="AA639" s="338">
        <f t="shared" si="9"/>
        <v>34700</v>
      </c>
      <c r="AB639" s="338"/>
    </row>
    <row r="640" spans="27:28" x14ac:dyDescent="0.3">
      <c r="AA640" s="338">
        <f t="shared" si="9"/>
        <v>34700</v>
      </c>
      <c r="AB640" s="338"/>
    </row>
    <row r="641" spans="27:28" x14ac:dyDescent="0.3">
      <c r="AA641" s="338">
        <f t="shared" ref="AA641:AA704" si="10">IFERROR(
IF(ISNUMBER(C641),C641,DATE(VALUE(RIGHT(C641,4)),VALUE(MID(SUBSTITUTE(C641,"/","-"),FIND("-",SUBSTITUTE(C641,"/","-"))+1,FIND("-",SUBSTITUTE(C641,"/","-"),FIND("-",SUBSTITUTE(C641,"/","-"))+1)-FIND("-",SUBSTITUTE(C641,"/","-"))-1)),VALUE(LEFT(SUBSTITUTE(C641,"/","-"),FIND("-",SUBSTITUTE(C641,"/","-"))-1)))),
DATE(1995,1,1)
)</f>
        <v>34700</v>
      </c>
      <c r="AB641" s="338"/>
    </row>
    <row r="642" spans="27:28" x14ac:dyDescent="0.3">
      <c r="AA642" s="338">
        <f t="shared" si="10"/>
        <v>34700</v>
      </c>
      <c r="AB642" s="338"/>
    </row>
    <row r="643" spans="27:28" x14ac:dyDescent="0.3">
      <c r="AA643" s="338">
        <f t="shared" si="10"/>
        <v>34700</v>
      </c>
      <c r="AB643" s="338"/>
    </row>
    <row r="644" spans="27:28" x14ac:dyDescent="0.3">
      <c r="AA644" s="338">
        <f t="shared" si="10"/>
        <v>34700</v>
      </c>
      <c r="AB644" s="338"/>
    </row>
    <row r="645" spans="27:28" x14ac:dyDescent="0.3">
      <c r="AA645" s="338">
        <f t="shared" si="10"/>
        <v>34700</v>
      </c>
      <c r="AB645" s="338"/>
    </row>
    <row r="646" spans="27:28" x14ac:dyDescent="0.3">
      <c r="AA646" s="338">
        <f t="shared" si="10"/>
        <v>34700</v>
      </c>
      <c r="AB646" s="338"/>
    </row>
    <row r="647" spans="27:28" x14ac:dyDescent="0.3">
      <c r="AA647" s="338">
        <f t="shared" si="10"/>
        <v>34700</v>
      </c>
      <c r="AB647" s="338"/>
    </row>
    <row r="648" spans="27:28" x14ac:dyDescent="0.3">
      <c r="AA648" s="338">
        <f t="shared" si="10"/>
        <v>34700</v>
      </c>
      <c r="AB648" s="338"/>
    </row>
    <row r="649" spans="27:28" x14ac:dyDescent="0.3">
      <c r="AA649" s="338">
        <f t="shared" si="10"/>
        <v>34700</v>
      </c>
      <c r="AB649" s="338"/>
    </row>
    <row r="650" spans="27:28" x14ac:dyDescent="0.3">
      <c r="AA650" s="338">
        <f t="shared" si="10"/>
        <v>34700</v>
      </c>
      <c r="AB650" s="338"/>
    </row>
    <row r="651" spans="27:28" x14ac:dyDescent="0.3">
      <c r="AA651" s="338">
        <f t="shared" si="10"/>
        <v>34700</v>
      </c>
      <c r="AB651" s="338"/>
    </row>
    <row r="652" spans="27:28" x14ac:dyDescent="0.3">
      <c r="AA652" s="338">
        <f t="shared" si="10"/>
        <v>34700</v>
      </c>
      <c r="AB652" s="338"/>
    </row>
    <row r="653" spans="27:28" x14ac:dyDescent="0.3">
      <c r="AA653" s="338">
        <f t="shared" si="10"/>
        <v>34700</v>
      </c>
      <c r="AB653" s="338"/>
    </row>
    <row r="654" spans="27:28" x14ac:dyDescent="0.3">
      <c r="AA654" s="338">
        <f t="shared" si="10"/>
        <v>34700</v>
      </c>
      <c r="AB654" s="338"/>
    </row>
    <row r="655" spans="27:28" x14ac:dyDescent="0.3">
      <c r="AA655" s="338">
        <f t="shared" si="10"/>
        <v>34700</v>
      </c>
      <c r="AB655" s="338"/>
    </row>
    <row r="656" spans="27:28" x14ac:dyDescent="0.3">
      <c r="AA656" s="338">
        <f t="shared" si="10"/>
        <v>34700</v>
      </c>
      <c r="AB656" s="338"/>
    </row>
    <row r="657" spans="27:28" x14ac:dyDescent="0.3">
      <c r="AA657" s="338">
        <f t="shared" si="10"/>
        <v>34700</v>
      </c>
      <c r="AB657" s="338"/>
    </row>
    <row r="658" spans="27:28" x14ac:dyDescent="0.3">
      <c r="AA658" s="338">
        <f t="shared" si="10"/>
        <v>34700</v>
      </c>
      <c r="AB658" s="338"/>
    </row>
    <row r="659" spans="27:28" x14ac:dyDescent="0.3">
      <c r="AA659" s="338">
        <f t="shared" si="10"/>
        <v>34700</v>
      </c>
      <c r="AB659" s="338"/>
    </row>
    <row r="660" spans="27:28" x14ac:dyDescent="0.3">
      <c r="AA660" s="338">
        <f t="shared" si="10"/>
        <v>34700</v>
      </c>
      <c r="AB660" s="338"/>
    </row>
    <row r="661" spans="27:28" x14ac:dyDescent="0.3">
      <c r="AA661" s="338">
        <f t="shared" si="10"/>
        <v>34700</v>
      </c>
      <c r="AB661" s="338"/>
    </row>
    <row r="662" spans="27:28" x14ac:dyDescent="0.3">
      <c r="AA662" s="338">
        <f t="shared" si="10"/>
        <v>34700</v>
      </c>
      <c r="AB662" s="338"/>
    </row>
    <row r="663" spans="27:28" x14ac:dyDescent="0.3">
      <c r="AA663" s="338">
        <f t="shared" si="10"/>
        <v>34700</v>
      </c>
      <c r="AB663" s="338"/>
    </row>
    <row r="664" spans="27:28" x14ac:dyDescent="0.3">
      <c r="AA664" s="338">
        <f t="shared" si="10"/>
        <v>34700</v>
      </c>
      <c r="AB664" s="338"/>
    </row>
    <row r="665" spans="27:28" x14ac:dyDescent="0.3">
      <c r="AA665" s="338">
        <f t="shared" si="10"/>
        <v>34700</v>
      </c>
      <c r="AB665" s="338"/>
    </row>
    <row r="666" spans="27:28" x14ac:dyDescent="0.3">
      <c r="AA666" s="338">
        <f t="shared" si="10"/>
        <v>34700</v>
      </c>
      <c r="AB666" s="338"/>
    </row>
    <row r="667" spans="27:28" x14ac:dyDescent="0.3">
      <c r="AA667" s="338">
        <f t="shared" si="10"/>
        <v>34700</v>
      </c>
      <c r="AB667" s="338"/>
    </row>
    <row r="668" spans="27:28" x14ac:dyDescent="0.3">
      <c r="AA668" s="338">
        <f t="shared" si="10"/>
        <v>34700</v>
      </c>
      <c r="AB668" s="338"/>
    </row>
    <row r="669" spans="27:28" x14ac:dyDescent="0.3">
      <c r="AA669" s="338">
        <f t="shared" si="10"/>
        <v>34700</v>
      </c>
      <c r="AB669" s="338"/>
    </row>
    <row r="670" spans="27:28" x14ac:dyDescent="0.3">
      <c r="AA670" s="338">
        <f t="shared" si="10"/>
        <v>34700</v>
      </c>
      <c r="AB670" s="338"/>
    </row>
    <row r="671" spans="27:28" x14ac:dyDescent="0.3">
      <c r="AA671" s="338">
        <f t="shared" si="10"/>
        <v>34700</v>
      </c>
      <c r="AB671" s="338"/>
    </row>
    <row r="672" spans="27:28" x14ac:dyDescent="0.3">
      <c r="AA672" s="338">
        <f t="shared" si="10"/>
        <v>34700</v>
      </c>
      <c r="AB672" s="338"/>
    </row>
    <row r="673" spans="27:28" x14ac:dyDescent="0.3">
      <c r="AA673" s="338">
        <f t="shared" si="10"/>
        <v>34700</v>
      </c>
      <c r="AB673" s="338"/>
    </row>
    <row r="674" spans="27:28" x14ac:dyDescent="0.3">
      <c r="AA674" s="338">
        <f t="shared" si="10"/>
        <v>34700</v>
      </c>
      <c r="AB674" s="338"/>
    </row>
    <row r="675" spans="27:28" x14ac:dyDescent="0.3">
      <c r="AA675" s="338">
        <f t="shared" si="10"/>
        <v>34700</v>
      </c>
      <c r="AB675" s="338"/>
    </row>
    <row r="676" spans="27:28" x14ac:dyDescent="0.3">
      <c r="AA676" s="338">
        <f t="shared" si="10"/>
        <v>34700</v>
      </c>
      <c r="AB676" s="338"/>
    </row>
    <row r="677" spans="27:28" x14ac:dyDescent="0.3">
      <c r="AA677" s="338">
        <f t="shared" si="10"/>
        <v>34700</v>
      </c>
      <c r="AB677" s="338"/>
    </row>
    <row r="678" spans="27:28" x14ac:dyDescent="0.3">
      <c r="AA678" s="338">
        <f t="shared" si="10"/>
        <v>34700</v>
      </c>
      <c r="AB678" s="338"/>
    </row>
    <row r="679" spans="27:28" x14ac:dyDescent="0.3">
      <c r="AA679" s="338">
        <f t="shared" si="10"/>
        <v>34700</v>
      </c>
      <c r="AB679" s="338"/>
    </row>
    <row r="680" spans="27:28" x14ac:dyDescent="0.3">
      <c r="AA680" s="338">
        <f t="shared" si="10"/>
        <v>34700</v>
      </c>
      <c r="AB680" s="338"/>
    </row>
    <row r="681" spans="27:28" x14ac:dyDescent="0.3">
      <c r="AA681" s="338">
        <f t="shared" si="10"/>
        <v>34700</v>
      </c>
      <c r="AB681" s="338"/>
    </row>
    <row r="682" spans="27:28" x14ac:dyDescent="0.3">
      <c r="AA682" s="338">
        <f t="shared" si="10"/>
        <v>34700</v>
      </c>
      <c r="AB682" s="338"/>
    </row>
    <row r="683" spans="27:28" x14ac:dyDescent="0.3">
      <c r="AA683" s="338">
        <f t="shared" si="10"/>
        <v>34700</v>
      </c>
      <c r="AB683" s="338"/>
    </row>
    <row r="684" spans="27:28" x14ac:dyDescent="0.3">
      <c r="AA684" s="338">
        <f t="shared" si="10"/>
        <v>34700</v>
      </c>
      <c r="AB684" s="338"/>
    </row>
    <row r="685" spans="27:28" x14ac:dyDescent="0.3">
      <c r="AA685" s="338">
        <f t="shared" si="10"/>
        <v>34700</v>
      </c>
      <c r="AB685" s="338"/>
    </row>
    <row r="686" spans="27:28" x14ac:dyDescent="0.3">
      <c r="AA686" s="338">
        <f t="shared" si="10"/>
        <v>34700</v>
      </c>
      <c r="AB686" s="338"/>
    </row>
    <row r="687" spans="27:28" x14ac:dyDescent="0.3">
      <c r="AA687" s="338">
        <f t="shared" si="10"/>
        <v>34700</v>
      </c>
      <c r="AB687" s="338"/>
    </row>
    <row r="688" spans="27:28" x14ac:dyDescent="0.3">
      <c r="AA688" s="338">
        <f t="shared" si="10"/>
        <v>34700</v>
      </c>
      <c r="AB688" s="338"/>
    </row>
    <row r="689" spans="27:28" x14ac:dyDescent="0.3">
      <c r="AA689" s="338">
        <f t="shared" si="10"/>
        <v>34700</v>
      </c>
      <c r="AB689" s="338"/>
    </row>
    <row r="690" spans="27:28" x14ac:dyDescent="0.3">
      <c r="AA690" s="338">
        <f t="shared" si="10"/>
        <v>34700</v>
      </c>
      <c r="AB690" s="338"/>
    </row>
    <row r="691" spans="27:28" x14ac:dyDescent="0.3">
      <c r="AA691" s="338">
        <f t="shared" si="10"/>
        <v>34700</v>
      </c>
      <c r="AB691" s="338"/>
    </row>
    <row r="692" spans="27:28" x14ac:dyDescent="0.3">
      <c r="AA692" s="338">
        <f t="shared" si="10"/>
        <v>34700</v>
      </c>
      <c r="AB692" s="338"/>
    </row>
    <row r="693" spans="27:28" x14ac:dyDescent="0.3">
      <c r="AA693" s="338">
        <f t="shared" si="10"/>
        <v>34700</v>
      </c>
      <c r="AB693" s="338"/>
    </row>
    <row r="694" spans="27:28" x14ac:dyDescent="0.3">
      <c r="AA694" s="338">
        <f t="shared" si="10"/>
        <v>34700</v>
      </c>
      <c r="AB694" s="338"/>
    </row>
    <row r="695" spans="27:28" x14ac:dyDescent="0.3">
      <c r="AA695" s="338">
        <f t="shared" si="10"/>
        <v>34700</v>
      </c>
      <c r="AB695" s="338"/>
    </row>
    <row r="696" spans="27:28" x14ac:dyDescent="0.3">
      <c r="AA696" s="338">
        <f t="shared" si="10"/>
        <v>34700</v>
      </c>
      <c r="AB696" s="338"/>
    </row>
    <row r="697" spans="27:28" x14ac:dyDescent="0.3">
      <c r="AA697" s="338">
        <f t="shared" si="10"/>
        <v>34700</v>
      </c>
      <c r="AB697" s="338"/>
    </row>
    <row r="698" spans="27:28" x14ac:dyDescent="0.3">
      <c r="AA698" s="338">
        <f t="shared" si="10"/>
        <v>34700</v>
      </c>
      <c r="AB698" s="338"/>
    </row>
    <row r="699" spans="27:28" x14ac:dyDescent="0.3">
      <c r="AA699" s="338">
        <f t="shared" si="10"/>
        <v>34700</v>
      </c>
      <c r="AB699" s="338"/>
    </row>
    <row r="700" spans="27:28" x14ac:dyDescent="0.3">
      <c r="AA700" s="338">
        <f t="shared" si="10"/>
        <v>34700</v>
      </c>
      <c r="AB700" s="338"/>
    </row>
    <row r="701" spans="27:28" x14ac:dyDescent="0.3">
      <c r="AA701" s="338">
        <f t="shared" si="10"/>
        <v>34700</v>
      </c>
      <c r="AB701" s="338"/>
    </row>
    <row r="702" spans="27:28" x14ac:dyDescent="0.3">
      <c r="AA702" s="338">
        <f t="shared" si="10"/>
        <v>34700</v>
      </c>
      <c r="AB702" s="338"/>
    </row>
    <row r="703" spans="27:28" x14ac:dyDescent="0.3">
      <c r="AA703" s="338">
        <f t="shared" si="10"/>
        <v>34700</v>
      </c>
      <c r="AB703" s="338"/>
    </row>
    <row r="704" spans="27:28" x14ac:dyDescent="0.3">
      <c r="AA704" s="338">
        <f t="shared" si="10"/>
        <v>34700</v>
      </c>
      <c r="AB704" s="338"/>
    </row>
    <row r="705" spans="27:28" x14ac:dyDescent="0.3">
      <c r="AA705" s="338">
        <f t="shared" ref="AA705:AA768" si="11">IFERROR(
IF(ISNUMBER(C705),C705,DATE(VALUE(RIGHT(C705,4)),VALUE(MID(SUBSTITUTE(C705,"/","-"),FIND("-",SUBSTITUTE(C705,"/","-"))+1,FIND("-",SUBSTITUTE(C705,"/","-"),FIND("-",SUBSTITUTE(C705,"/","-"))+1)-FIND("-",SUBSTITUTE(C705,"/","-"))-1)),VALUE(LEFT(SUBSTITUTE(C705,"/","-"),FIND("-",SUBSTITUTE(C705,"/","-"))-1)))),
DATE(1995,1,1)
)</f>
        <v>34700</v>
      </c>
      <c r="AB705" s="338"/>
    </row>
    <row r="706" spans="27:28" x14ac:dyDescent="0.3">
      <c r="AA706" s="338">
        <f t="shared" si="11"/>
        <v>34700</v>
      </c>
      <c r="AB706" s="338"/>
    </row>
    <row r="707" spans="27:28" x14ac:dyDescent="0.3">
      <c r="AA707" s="338">
        <f t="shared" si="11"/>
        <v>34700</v>
      </c>
      <c r="AB707" s="338"/>
    </row>
    <row r="708" spans="27:28" x14ac:dyDescent="0.3">
      <c r="AA708" s="338">
        <f t="shared" si="11"/>
        <v>34700</v>
      </c>
      <c r="AB708" s="338"/>
    </row>
    <row r="709" spans="27:28" x14ac:dyDescent="0.3">
      <c r="AA709" s="338">
        <f t="shared" si="11"/>
        <v>34700</v>
      </c>
      <c r="AB709" s="338"/>
    </row>
    <row r="710" spans="27:28" x14ac:dyDescent="0.3">
      <c r="AA710" s="338">
        <f t="shared" si="11"/>
        <v>34700</v>
      </c>
      <c r="AB710" s="338"/>
    </row>
    <row r="711" spans="27:28" x14ac:dyDescent="0.3">
      <c r="AA711" s="338">
        <f t="shared" si="11"/>
        <v>34700</v>
      </c>
      <c r="AB711" s="338"/>
    </row>
    <row r="712" spans="27:28" x14ac:dyDescent="0.3">
      <c r="AA712" s="338">
        <f t="shared" si="11"/>
        <v>34700</v>
      </c>
      <c r="AB712" s="338"/>
    </row>
    <row r="713" spans="27:28" x14ac:dyDescent="0.3">
      <c r="AA713" s="338">
        <f t="shared" si="11"/>
        <v>34700</v>
      </c>
      <c r="AB713" s="338"/>
    </row>
    <row r="714" spans="27:28" x14ac:dyDescent="0.3">
      <c r="AA714" s="338">
        <f t="shared" si="11"/>
        <v>34700</v>
      </c>
      <c r="AB714" s="338"/>
    </row>
    <row r="715" spans="27:28" x14ac:dyDescent="0.3">
      <c r="AA715" s="338">
        <f t="shared" si="11"/>
        <v>34700</v>
      </c>
      <c r="AB715" s="338"/>
    </row>
    <row r="716" spans="27:28" x14ac:dyDescent="0.3">
      <c r="AA716" s="338">
        <f t="shared" si="11"/>
        <v>34700</v>
      </c>
      <c r="AB716" s="338"/>
    </row>
    <row r="717" spans="27:28" x14ac:dyDescent="0.3">
      <c r="AA717" s="338">
        <f t="shared" si="11"/>
        <v>34700</v>
      </c>
      <c r="AB717" s="338"/>
    </row>
    <row r="718" spans="27:28" x14ac:dyDescent="0.3">
      <c r="AA718" s="338">
        <f t="shared" si="11"/>
        <v>34700</v>
      </c>
      <c r="AB718" s="338"/>
    </row>
    <row r="719" spans="27:28" x14ac:dyDescent="0.3">
      <c r="AA719" s="338">
        <f t="shared" si="11"/>
        <v>34700</v>
      </c>
      <c r="AB719" s="338"/>
    </row>
    <row r="720" spans="27:28" x14ac:dyDescent="0.3">
      <c r="AA720" s="338">
        <f t="shared" si="11"/>
        <v>34700</v>
      </c>
      <c r="AB720" s="338"/>
    </row>
    <row r="721" spans="27:28" x14ac:dyDescent="0.3">
      <c r="AA721" s="338">
        <f t="shared" si="11"/>
        <v>34700</v>
      </c>
      <c r="AB721" s="338"/>
    </row>
    <row r="722" spans="27:28" x14ac:dyDescent="0.3">
      <c r="AA722" s="338">
        <f t="shared" si="11"/>
        <v>34700</v>
      </c>
      <c r="AB722" s="338"/>
    </row>
    <row r="723" spans="27:28" x14ac:dyDescent="0.3">
      <c r="AA723" s="338">
        <f t="shared" si="11"/>
        <v>34700</v>
      </c>
      <c r="AB723" s="338"/>
    </row>
    <row r="724" spans="27:28" x14ac:dyDescent="0.3">
      <c r="AA724" s="338">
        <f t="shared" si="11"/>
        <v>34700</v>
      </c>
      <c r="AB724" s="338"/>
    </row>
    <row r="725" spans="27:28" x14ac:dyDescent="0.3">
      <c r="AA725" s="338">
        <f t="shared" si="11"/>
        <v>34700</v>
      </c>
      <c r="AB725" s="338"/>
    </row>
    <row r="726" spans="27:28" x14ac:dyDescent="0.3">
      <c r="AA726" s="338">
        <f t="shared" si="11"/>
        <v>34700</v>
      </c>
      <c r="AB726" s="338"/>
    </row>
    <row r="727" spans="27:28" x14ac:dyDescent="0.3">
      <c r="AA727" s="338">
        <f t="shared" si="11"/>
        <v>34700</v>
      </c>
      <c r="AB727" s="338"/>
    </row>
    <row r="728" spans="27:28" x14ac:dyDescent="0.3">
      <c r="AA728" s="338">
        <f t="shared" si="11"/>
        <v>34700</v>
      </c>
      <c r="AB728" s="338"/>
    </row>
    <row r="729" spans="27:28" x14ac:dyDescent="0.3">
      <c r="AA729" s="338">
        <f t="shared" si="11"/>
        <v>34700</v>
      </c>
      <c r="AB729" s="338"/>
    </row>
    <row r="730" spans="27:28" x14ac:dyDescent="0.3">
      <c r="AA730" s="338">
        <f t="shared" si="11"/>
        <v>34700</v>
      </c>
      <c r="AB730" s="338"/>
    </row>
    <row r="731" spans="27:28" x14ac:dyDescent="0.3">
      <c r="AA731" s="338">
        <f t="shared" si="11"/>
        <v>34700</v>
      </c>
      <c r="AB731" s="338"/>
    </row>
    <row r="732" spans="27:28" x14ac:dyDescent="0.3">
      <c r="AA732" s="338">
        <f t="shared" si="11"/>
        <v>34700</v>
      </c>
      <c r="AB732" s="338"/>
    </row>
    <row r="733" spans="27:28" x14ac:dyDescent="0.3">
      <c r="AA733" s="338">
        <f t="shared" si="11"/>
        <v>34700</v>
      </c>
      <c r="AB733" s="338"/>
    </row>
    <row r="734" spans="27:28" x14ac:dyDescent="0.3">
      <c r="AA734" s="338">
        <f t="shared" si="11"/>
        <v>34700</v>
      </c>
      <c r="AB734" s="338"/>
    </row>
    <row r="735" spans="27:28" x14ac:dyDescent="0.3">
      <c r="AA735" s="338">
        <f t="shared" si="11"/>
        <v>34700</v>
      </c>
      <c r="AB735" s="338"/>
    </row>
    <row r="736" spans="27:28" x14ac:dyDescent="0.3">
      <c r="AA736" s="338">
        <f t="shared" si="11"/>
        <v>34700</v>
      </c>
      <c r="AB736" s="338"/>
    </row>
    <row r="737" spans="27:28" x14ac:dyDescent="0.3">
      <c r="AA737" s="338">
        <f t="shared" si="11"/>
        <v>34700</v>
      </c>
      <c r="AB737" s="338"/>
    </row>
    <row r="738" spans="27:28" x14ac:dyDescent="0.3">
      <c r="AA738" s="338">
        <f t="shared" si="11"/>
        <v>34700</v>
      </c>
      <c r="AB738" s="338"/>
    </row>
    <row r="739" spans="27:28" x14ac:dyDescent="0.3">
      <c r="AA739" s="338">
        <f t="shared" si="11"/>
        <v>34700</v>
      </c>
      <c r="AB739" s="338"/>
    </row>
    <row r="740" spans="27:28" x14ac:dyDescent="0.3">
      <c r="AA740" s="338">
        <f t="shared" si="11"/>
        <v>34700</v>
      </c>
      <c r="AB740" s="338"/>
    </row>
    <row r="741" spans="27:28" x14ac:dyDescent="0.3">
      <c r="AA741" s="338">
        <f t="shared" si="11"/>
        <v>34700</v>
      </c>
      <c r="AB741" s="338"/>
    </row>
    <row r="742" spans="27:28" x14ac:dyDescent="0.3">
      <c r="AA742" s="338">
        <f t="shared" si="11"/>
        <v>34700</v>
      </c>
      <c r="AB742" s="338"/>
    </row>
    <row r="743" spans="27:28" x14ac:dyDescent="0.3">
      <c r="AA743" s="338">
        <f t="shared" si="11"/>
        <v>34700</v>
      </c>
      <c r="AB743" s="338"/>
    </row>
    <row r="744" spans="27:28" x14ac:dyDescent="0.3">
      <c r="AA744" s="338">
        <f t="shared" si="11"/>
        <v>34700</v>
      </c>
      <c r="AB744" s="338"/>
    </row>
    <row r="745" spans="27:28" x14ac:dyDescent="0.3">
      <c r="AA745" s="338">
        <f t="shared" si="11"/>
        <v>34700</v>
      </c>
      <c r="AB745" s="338"/>
    </row>
    <row r="746" spans="27:28" x14ac:dyDescent="0.3">
      <c r="AA746" s="338">
        <f t="shared" si="11"/>
        <v>34700</v>
      </c>
      <c r="AB746" s="338"/>
    </row>
    <row r="747" spans="27:28" x14ac:dyDescent="0.3">
      <c r="AA747" s="338">
        <f t="shared" si="11"/>
        <v>34700</v>
      </c>
      <c r="AB747" s="338"/>
    </row>
    <row r="748" spans="27:28" x14ac:dyDescent="0.3">
      <c r="AA748" s="338">
        <f t="shared" si="11"/>
        <v>34700</v>
      </c>
      <c r="AB748" s="338"/>
    </row>
    <row r="749" spans="27:28" x14ac:dyDescent="0.3">
      <c r="AA749" s="338">
        <f t="shared" si="11"/>
        <v>34700</v>
      </c>
      <c r="AB749" s="338"/>
    </row>
    <row r="750" spans="27:28" x14ac:dyDescent="0.3">
      <c r="AA750" s="338">
        <f t="shared" si="11"/>
        <v>34700</v>
      </c>
      <c r="AB750" s="338"/>
    </row>
    <row r="751" spans="27:28" x14ac:dyDescent="0.3">
      <c r="AA751" s="338">
        <f t="shared" si="11"/>
        <v>34700</v>
      </c>
      <c r="AB751" s="338"/>
    </row>
    <row r="752" spans="27:28" x14ac:dyDescent="0.3">
      <c r="AA752" s="338">
        <f t="shared" si="11"/>
        <v>34700</v>
      </c>
      <c r="AB752" s="338"/>
    </row>
    <row r="753" spans="27:28" x14ac:dyDescent="0.3">
      <c r="AA753" s="338">
        <f t="shared" si="11"/>
        <v>34700</v>
      </c>
      <c r="AB753" s="338"/>
    </row>
    <row r="754" spans="27:28" x14ac:dyDescent="0.3">
      <c r="AA754" s="338">
        <f t="shared" si="11"/>
        <v>34700</v>
      </c>
      <c r="AB754" s="338"/>
    </row>
    <row r="755" spans="27:28" x14ac:dyDescent="0.3">
      <c r="AA755" s="338">
        <f t="shared" si="11"/>
        <v>34700</v>
      </c>
      <c r="AB755" s="338"/>
    </row>
    <row r="756" spans="27:28" x14ac:dyDescent="0.3">
      <c r="AA756" s="338">
        <f t="shared" si="11"/>
        <v>34700</v>
      </c>
      <c r="AB756" s="338"/>
    </row>
    <row r="757" spans="27:28" x14ac:dyDescent="0.3">
      <c r="AA757" s="338">
        <f t="shared" si="11"/>
        <v>34700</v>
      </c>
      <c r="AB757" s="338"/>
    </row>
    <row r="758" spans="27:28" x14ac:dyDescent="0.3">
      <c r="AA758" s="338">
        <f t="shared" si="11"/>
        <v>34700</v>
      </c>
      <c r="AB758" s="338"/>
    </row>
    <row r="759" spans="27:28" x14ac:dyDescent="0.3">
      <c r="AA759" s="338">
        <f t="shared" si="11"/>
        <v>34700</v>
      </c>
      <c r="AB759" s="338"/>
    </row>
    <row r="760" spans="27:28" x14ac:dyDescent="0.3">
      <c r="AA760" s="338">
        <f t="shared" si="11"/>
        <v>34700</v>
      </c>
      <c r="AB760" s="338"/>
    </row>
    <row r="761" spans="27:28" x14ac:dyDescent="0.3">
      <c r="AA761" s="338">
        <f t="shared" si="11"/>
        <v>34700</v>
      </c>
      <c r="AB761" s="338"/>
    </row>
    <row r="762" spans="27:28" x14ac:dyDescent="0.3">
      <c r="AA762" s="338">
        <f t="shared" si="11"/>
        <v>34700</v>
      </c>
      <c r="AB762" s="338"/>
    </row>
    <row r="763" spans="27:28" x14ac:dyDescent="0.3">
      <c r="AA763" s="338">
        <f t="shared" si="11"/>
        <v>34700</v>
      </c>
      <c r="AB763" s="338"/>
    </row>
    <row r="764" spans="27:28" x14ac:dyDescent="0.3">
      <c r="AA764" s="338">
        <f t="shared" si="11"/>
        <v>34700</v>
      </c>
      <c r="AB764" s="338"/>
    </row>
    <row r="765" spans="27:28" x14ac:dyDescent="0.3">
      <c r="AA765" s="338">
        <f t="shared" si="11"/>
        <v>34700</v>
      </c>
      <c r="AB765" s="338"/>
    </row>
    <row r="766" spans="27:28" x14ac:dyDescent="0.3">
      <c r="AA766" s="338">
        <f t="shared" si="11"/>
        <v>34700</v>
      </c>
      <c r="AB766" s="338"/>
    </row>
    <row r="767" spans="27:28" x14ac:dyDescent="0.3">
      <c r="AA767" s="338">
        <f t="shared" si="11"/>
        <v>34700</v>
      </c>
      <c r="AB767" s="338"/>
    </row>
    <row r="768" spans="27:28" x14ac:dyDescent="0.3">
      <c r="AA768" s="338">
        <f t="shared" si="11"/>
        <v>34700</v>
      </c>
      <c r="AB768" s="338"/>
    </row>
    <row r="769" spans="27:28" x14ac:dyDescent="0.3">
      <c r="AA769" s="338">
        <f t="shared" ref="AA769:AA832" si="12">IFERROR(
IF(ISNUMBER(C769),C769,DATE(VALUE(RIGHT(C769,4)),VALUE(MID(SUBSTITUTE(C769,"/","-"),FIND("-",SUBSTITUTE(C769,"/","-"))+1,FIND("-",SUBSTITUTE(C769,"/","-"),FIND("-",SUBSTITUTE(C769,"/","-"))+1)-FIND("-",SUBSTITUTE(C769,"/","-"))-1)),VALUE(LEFT(SUBSTITUTE(C769,"/","-"),FIND("-",SUBSTITUTE(C769,"/","-"))-1)))),
DATE(1995,1,1)
)</f>
        <v>34700</v>
      </c>
      <c r="AB769" s="338"/>
    </row>
    <row r="770" spans="27:28" x14ac:dyDescent="0.3">
      <c r="AA770" s="338">
        <f t="shared" si="12"/>
        <v>34700</v>
      </c>
      <c r="AB770" s="338"/>
    </row>
    <row r="771" spans="27:28" x14ac:dyDescent="0.3">
      <c r="AA771" s="338">
        <f t="shared" si="12"/>
        <v>34700</v>
      </c>
      <c r="AB771" s="338"/>
    </row>
    <row r="772" spans="27:28" x14ac:dyDescent="0.3">
      <c r="AA772" s="338">
        <f t="shared" si="12"/>
        <v>34700</v>
      </c>
      <c r="AB772" s="338"/>
    </row>
    <row r="773" spans="27:28" x14ac:dyDescent="0.3">
      <c r="AA773" s="338">
        <f t="shared" si="12"/>
        <v>34700</v>
      </c>
      <c r="AB773" s="338"/>
    </row>
    <row r="774" spans="27:28" x14ac:dyDescent="0.3">
      <c r="AA774" s="338">
        <f t="shared" si="12"/>
        <v>34700</v>
      </c>
      <c r="AB774" s="338"/>
    </row>
    <row r="775" spans="27:28" x14ac:dyDescent="0.3">
      <c r="AA775" s="338">
        <f t="shared" si="12"/>
        <v>34700</v>
      </c>
      <c r="AB775" s="338"/>
    </row>
    <row r="776" spans="27:28" x14ac:dyDescent="0.3">
      <c r="AA776" s="338">
        <f t="shared" si="12"/>
        <v>34700</v>
      </c>
      <c r="AB776" s="338"/>
    </row>
    <row r="777" spans="27:28" x14ac:dyDescent="0.3">
      <c r="AA777" s="338">
        <f t="shared" si="12"/>
        <v>34700</v>
      </c>
      <c r="AB777" s="338"/>
    </row>
    <row r="778" spans="27:28" x14ac:dyDescent="0.3">
      <c r="AA778" s="338">
        <f t="shared" si="12"/>
        <v>34700</v>
      </c>
      <c r="AB778" s="338"/>
    </row>
    <row r="779" spans="27:28" x14ac:dyDescent="0.3">
      <c r="AA779" s="338">
        <f t="shared" si="12"/>
        <v>34700</v>
      </c>
      <c r="AB779" s="338"/>
    </row>
    <row r="780" spans="27:28" x14ac:dyDescent="0.3">
      <c r="AA780" s="338">
        <f t="shared" si="12"/>
        <v>34700</v>
      </c>
      <c r="AB780" s="338"/>
    </row>
    <row r="781" spans="27:28" x14ac:dyDescent="0.3">
      <c r="AA781" s="338">
        <f t="shared" si="12"/>
        <v>34700</v>
      </c>
      <c r="AB781" s="338"/>
    </row>
    <row r="782" spans="27:28" x14ac:dyDescent="0.3">
      <c r="AA782" s="338">
        <f t="shared" si="12"/>
        <v>34700</v>
      </c>
      <c r="AB782" s="338"/>
    </row>
    <row r="783" spans="27:28" x14ac:dyDescent="0.3">
      <c r="AA783" s="338">
        <f t="shared" si="12"/>
        <v>34700</v>
      </c>
      <c r="AB783" s="338"/>
    </row>
    <row r="784" spans="27:28" x14ac:dyDescent="0.3">
      <c r="AA784" s="338">
        <f t="shared" si="12"/>
        <v>34700</v>
      </c>
      <c r="AB784" s="338"/>
    </row>
    <row r="785" spans="27:28" x14ac:dyDescent="0.3">
      <c r="AA785" s="338">
        <f t="shared" si="12"/>
        <v>34700</v>
      </c>
      <c r="AB785" s="338"/>
    </row>
    <row r="786" spans="27:28" x14ac:dyDescent="0.3">
      <c r="AA786" s="338">
        <f t="shared" si="12"/>
        <v>34700</v>
      </c>
      <c r="AB786" s="338"/>
    </row>
    <row r="787" spans="27:28" x14ac:dyDescent="0.3">
      <c r="AA787" s="338">
        <f t="shared" si="12"/>
        <v>34700</v>
      </c>
      <c r="AB787" s="338"/>
    </row>
    <row r="788" spans="27:28" x14ac:dyDescent="0.3">
      <c r="AA788" s="338">
        <f t="shared" si="12"/>
        <v>34700</v>
      </c>
      <c r="AB788" s="338"/>
    </row>
    <row r="789" spans="27:28" x14ac:dyDescent="0.3">
      <c r="AA789" s="338">
        <f t="shared" si="12"/>
        <v>34700</v>
      </c>
      <c r="AB789" s="338"/>
    </row>
    <row r="790" spans="27:28" x14ac:dyDescent="0.3">
      <c r="AA790" s="338">
        <f t="shared" si="12"/>
        <v>34700</v>
      </c>
      <c r="AB790" s="338"/>
    </row>
    <row r="791" spans="27:28" x14ac:dyDescent="0.3">
      <c r="AA791" s="338">
        <f t="shared" si="12"/>
        <v>34700</v>
      </c>
      <c r="AB791" s="338"/>
    </row>
    <row r="792" spans="27:28" x14ac:dyDescent="0.3">
      <c r="AA792" s="338">
        <f t="shared" si="12"/>
        <v>34700</v>
      </c>
      <c r="AB792" s="338"/>
    </row>
    <row r="793" spans="27:28" x14ac:dyDescent="0.3">
      <c r="AA793" s="338">
        <f t="shared" si="12"/>
        <v>34700</v>
      </c>
      <c r="AB793" s="338"/>
    </row>
    <row r="794" spans="27:28" x14ac:dyDescent="0.3">
      <c r="AA794" s="338">
        <f t="shared" si="12"/>
        <v>34700</v>
      </c>
      <c r="AB794" s="338"/>
    </row>
    <row r="795" spans="27:28" x14ac:dyDescent="0.3">
      <c r="AA795" s="338">
        <f t="shared" si="12"/>
        <v>34700</v>
      </c>
      <c r="AB795" s="338"/>
    </row>
    <row r="796" spans="27:28" x14ac:dyDescent="0.3">
      <c r="AA796" s="338">
        <f t="shared" si="12"/>
        <v>34700</v>
      </c>
      <c r="AB796" s="338"/>
    </row>
    <row r="797" spans="27:28" x14ac:dyDescent="0.3">
      <c r="AA797" s="338">
        <f t="shared" si="12"/>
        <v>34700</v>
      </c>
      <c r="AB797" s="338"/>
    </row>
    <row r="798" spans="27:28" x14ac:dyDescent="0.3">
      <c r="AA798" s="338">
        <f t="shared" si="12"/>
        <v>34700</v>
      </c>
      <c r="AB798" s="338"/>
    </row>
    <row r="799" spans="27:28" x14ac:dyDescent="0.3">
      <c r="AA799" s="338">
        <f t="shared" si="12"/>
        <v>34700</v>
      </c>
      <c r="AB799" s="338"/>
    </row>
    <row r="800" spans="27:28" x14ac:dyDescent="0.3">
      <c r="AA800" s="338">
        <f t="shared" si="12"/>
        <v>34700</v>
      </c>
      <c r="AB800" s="338"/>
    </row>
    <row r="801" spans="27:28" x14ac:dyDescent="0.3">
      <c r="AA801" s="338">
        <f t="shared" si="12"/>
        <v>34700</v>
      </c>
      <c r="AB801" s="338"/>
    </row>
    <row r="802" spans="27:28" x14ac:dyDescent="0.3">
      <c r="AA802" s="338">
        <f t="shared" si="12"/>
        <v>34700</v>
      </c>
      <c r="AB802" s="338"/>
    </row>
    <row r="803" spans="27:28" x14ac:dyDescent="0.3">
      <c r="AA803" s="338">
        <f t="shared" si="12"/>
        <v>34700</v>
      </c>
      <c r="AB803" s="338"/>
    </row>
    <row r="804" spans="27:28" x14ac:dyDescent="0.3">
      <c r="AA804" s="338">
        <f t="shared" si="12"/>
        <v>34700</v>
      </c>
      <c r="AB804" s="338"/>
    </row>
    <row r="805" spans="27:28" x14ac:dyDescent="0.3">
      <c r="AA805" s="338">
        <f t="shared" si="12"/>
        <v>34700</v>
      </c>
      <c r="AB805" s="338"/>
    </row>
    <row r="806" spans="27:28" x14ac:dyDescent="0.3">
      <c r="AA806" s="338">
        <f t="shared" si="12"/>
        <v>34700</v>
      </c>
      <c r="AB806" s="338"/>
    </row>
    <row r="807" spans="27:28" x14ac:dyDescent="0.3">
      <c r="AA807" s="338">
        <f t="shared" si="12"/>
        <v>34700</v>
      </c>
      <c r="AB807" s="338"/>
    </row>
    <row r="808" spans="27:28" x14ac:dyDescent="0.3">
      <c r="AA808" s="338">
        <f t="shared" si="12"/>
        <v>34700</v>
      </c>
      <c r="AB808" s="338"/>
    </row>
    <row r="809" spans="27:28" x14ac:dyDescent="0.3">
      <c r="AA809" s="338">
        <f t="shared" si="12"/>
        <v>34700</v>
      </c>
      <c r="AB809" s="338"/>
    </row>
    <row r="810" spans="27:28" x14ac:dyDescent="0.3">
      <c r="AA810" s="338">
        <f t="shared" si="12"/>
        <v>34700</v>
      </c>
      <c r="AB810" s="338"/>
    </row>
    <row r="811" spans="27:28" x14ac:dyDescent="0.3">
      <c r="AA811" s="338">
        <f t="shared" si="12"/>
        <v>34700</v>
      </c>
      <c r="AB811" s="338"/>
    </row>
    <row r="812" spans="27:28" x14ac:dyDescent="0.3">
      <c r="AA812" s="338">
        <f t="shared" si="12"/>
        <v>34700</v>
      </c>
      <c r="AB812" s="338"/>
    </row>
    <row r="813" spans="27:28" x14ac:dyDescent="0.3">
      <c r="AA813" s="338">
        <f t="shared" si="12"/>
        <v>34700</v>
      </c>
      <c r="AB813" s="338"/>
    </row>
    <row r="814" spans="27:28" x14ac:dyDescent="0.3">
      <c r="AA814" s="338">
        <f t="shared" si="12"/>
        <v>34700</v>
      </c>
      <c r="AB814" s="338"/>
    </row>
    <row r="815" spans="27:28" x14ac:dyDescent="0.3">
      <c r="AA815" s="338">
        <f t="shared" si="12"/>
        <v>34700</v>
      </c>
      <c r="AB815" s="338"/>
    </row>
    <row r="816" spans="27:28" x14ac:dyDescent="0.3">
      <c r="AA816" s="338">
        <f t="shared" si="12"/>
        <v>34700</v>
      </c>
      <c r="AB816" s="338"/>
    </row>
    <row r="817" spans="27:28" x14ac:dyDescent="0.3">
      <c r="AA817" s="338">
        <f t="shared" si="12"/>
        <v>34700</v>
      </c>
      <c r="AB817" s="338"/>
    </row>
    <row r="818" spans="27:28" x14ac:dyDescent="0.3">
      <c r="AA818" s="338">
        <f t="shared" si="12"/>
        <v>34700</v>
      </c>
      <c r="AB818" s="338"/>
    </row>
    <row r="819" spans="27:28" x14ac:dyDescent="0.3">
      <c r="AA819" s="338">
        <f t="shared" si="12"/>
        <v>34700</v>
      </c>
      <c r="AB819" s="338"/>
    </row>
    <row r="820" spans="27:28" x14ac:dyDescent="0.3">
      <c r="AA820" s="338">
        <f t="shared" si="12"/>
        <v>34700</v>
      </c>
      <c r="AB820" s="338"/>
    </row>
    <row r="821" spans="27:28" x14ac:dyDescent="0.3">
      <c r="AA821" s="338">
        <f t="shared" si="12"/>
        <v>34700</v>
      </c>
      <c r="AB821" s="338"/>
    </row>
    <row r="822" spans="27:28" x14ac:dyDescent="0.3">
      <c r="AA822" s="338">
        <f t="shared" si="12"/>
        <v>34700</v>
      </c>
      <c r="AB822" s="338"/>
    </row>
    <row r="823" spans="27:28" x14ac:dyDescent="0.3">
      <c r="AA823" s="338">
        <f t="shared" si="12"/>
        <v>34700</v>
      </c>
      <c r="AB823" s="338"/>
    </row>
    <row r="824" spans="27:28" x14ac:dyDescent="0.3">
      <c r="AA824" s="338">
        <f t="shared" si="12"/>
        <v>34700</v>
      </c>
      <c r="AB824" s="338"/>
    </row>
    <row r="825" spans="27:28" x14ac:dyDescent="0.3">
      <c r="AA825" s="338">
        <f t="shared" si="12"/>
        <v>34700</v>
      </c>
      <c r="AB825" s="338"/>
    </row>
    <row r="826" spans="27:28" x14ac:dyDescent="0.3">
      <c r="AA826" s="338">
        <f t="shared" si="12"/>
        <v>34700</v>
      </c>
      <c r="AB826" s="338"/>
    </row>
    <row r="827" spans="27:28" x14ac:dyDescent="0.3">
      <c r="AA827" s="338">
        <f t="shared" si="12"/>
        <v>34700</v>
      </c>
      <c r="AB827" s="338"/>
    </row>
    <row r="828" spans="27:28" x14ac:dyDescent="0.3">
      <c r="AA828" s="338">
        <f t="shared" si="12"/>
        <v>34700</v>
      </c>
      <c r="AB828" s="338"/>
    </row>
    <row r="829" spans="27:28" x14ac:dyDescent="0.3">
      <c r="AA829" s="338">
        <f t="shared" si="12"/>
        <v>34700</v>
      </c>
      <c r="AB829" s="338"/>
    </row>
    <row r="830" spans="27:28" x14ac:dyDescent="0.3">
      <c r="AA830" s="338">
        <f t="shared" si="12"/>
        <v>34700</v>
      </c>
      <c r="AB830" s="338"/>
    </row>
    <row r="831" spans="27:28" x14ac:dyDescent="0.3">
      <c r="AA831" s="338">
        <f t="shared" si="12"/>
        <v>34700</v>
      </c>
      <c r="AB831" s="338"/>
    </row>
    <row r="832" spans="27:28" x14ac:dyDescent="0.3">
      <c r="AA832" s="338">
        <f t="shared" si="12"/>
        <v>34700</v>
      </c>
      <c r="AB832" s="338"/>
    </row>
    <row r="833" spans="27:28" x14ac:dyDescent="0.3">
      <c r="AA833" s="338">
        <f t="shared" ref="AA833:AA896" si="13">IFERROR(
IF(ISNUMBER(C833),C833,DATE(VALUE(RIGHT(C833,4)),VALUE(MID(SUBSTITUTE(C833,"/","-"),FIND("-",SUBSTITUTE(C833,"/","-"))+1,FIND("-",SUBSTITUTE(C833,"/","-"),FIND("-",SUBSTITUTE(C833,"/","-"))+1)-FIND("-",SUBSTITUTE(C833,"/","-"))-1)),VALUE(LEFT(SUBSTITUTE(C833,"/","-"),FIND("-",SUBSTITUTE(C833,"/","-"))-1)))),
DATE(1995,1,1)
)</f>
        <v>34700</v>
      </c>
      <c r="AB833" s="338"/>
    </row>
    <row r="834" spans="27:28" x14ac:dyDescent="0.3">
      <c r="AA834" s="338">
        <f t="shared" si="13"/>
        <v>34700</v>
      </c>
      <c r="AB834" s="338"/>
    </row>
    <row r="835" spans="27:28" x14ac:dyDescent="0.3">
      <c r="AA835" s="338">
        <f t="shared" si="13"/>
        <v>34700</v>
      </c>
      <c r="AB835" s="338"/>
    </row>
    <row r="836" spans="27:28" x14ac:dyDescent="0.3">
      <c r="AA836" s="338">
        <f t="shared" si="13"/>
        <v>34700</v>
      </c>
      <c r="AB836" s="338"/>
    </row>
    <row r="837" spans="27:28" x14ac:dyDescent="0.3">
      <c r="AA837" s="338">
        <f t="shared" si="13"/>
        <v>34700</v>
      </c>
      <c r="AB837" s="338"/>
    </row>
    <row r="838" spans="27:28" x14ac:dyDescent="0.3">
      <c r="AA838" s="338">
        <f t="shared" si="13"/>
        <v>34700</v>
      </c>
      <c r="AB838" s="338"/>
    </row>
    <row r="839" spans="27:28" x14ac:dyDescent="0.3">
      <c r="AA839" s="338">
        <f t="shared" si="13"/>
        <v>34700</v>
      </c>
      <c r="AB839" s="338"/>
    </row>
    <row r="840" spans="27:28" x14ac:dyDescent="0.3">
      <c r="AA840" s="338">
        <f t="shared" si="13"/>
        <v>34700</v>
      </c>
      <c r="AB840" s="338"/>
    </row>
    <row r="841" spans="27:28" x14ac:dyDescent="0.3">
      <c r="AA841" s="338">
        <f t="shared" si="13"/>
        <v>34700</v>
      </c>
      <c r="AB841" s="338"/>
    </row>
    <row r="842" spans="27:28" x14ac:dyDescent="0.3">
      <c r="AA842" s="338">
        <f t="shared" si="13"/>
        <v>34700</v>
      </c>
      <c r="AB842" s="338"/>
    </row>
    <row r="843" spans="27:28" x14ac:dyDescent="0.3">
      <c r="AA843" s="338">
        <f t="shared" si="13"/>
        <v>34700</v>
      </c>
      <c r="AB843" s="338"/>
    </row>
    <row r="844" spans="27:28" x14ac:dyDescent="0.3">
      <c r="AA844" s="338">
        <f t="shared" si="13"/>
        <v>34700</v>
      </c>
      <c r="AB844" s="338"/>
    </row>
    <row r="845" spans="27:28" x14ac:dyDescent="0.3">
      <c r="AA845" s="338">
        <f t="shared" si="13"/>
        <v>34700</v>
      </c>
      <c r="AB845" s="338"/>
    </row>
    <row r="846" spans="27:28" x14ac:dyDescent="0.3">
      <c r="AA846" s="338">
        <f t="shared" si="13"/>
        <v>34700</v>
      </c>
      <c r="AB846" s="338"/>
    </row>
    <row r="847" spans="27:28" x14ac:dyDescent="0.3">
      <c r="AA847" s="338">
        <f t="shared" si="13"/>
        <v>34700</v>
      </c>
      <c r="AB847" s="338"/>
    </row>
    <row r="848" spans="27:28" x14ac:dyDescent="0.3">
      <c r="AA848" s="338">
        <f t="shared" si="13"/>
        <v>34700</v>
      </c>
      <c r="AB848" s="338"/>
    </row>
    <row r="849" spans="27:28" x14ac:dyDescent="0.3">
      <c r="AA849" s="338">
        <f t="shared" si="13"/>
        <v>34700</v>
      </c>
      <c r="AB849" s="338"/>
    </row>
    <row r="850" spans="27:28" x14ac:dyDescent="0.3">
      <c r="AA850" s="338">
        <f t="shared" si="13"/>
        <v>34700</v>
      </c>
      <c r="AB850" s="338"/>
    </row>
    <row r="851" spans="27:28" x14ac:dyDescent="0.3">
      <c r="AA851" s="338">
        <f t="shared" si="13"/>
        <v>34700</v>
      </c>
      <c r="AB851" s="338"/>
    </row>
    <row r="852" spans="27:28" x14ac:dyDescent="0.3">
      <c r="AA852" s="338">
        <f t="shared" si="13"/>
        <v>34700</v>
      </c>
      <c r="AB852" s="338"/>
    </row>
    <row r="853" spans="27:28" x14ac:dyDescent="0.3">
      <c r="AA853" s="338">
        <f t="shared" si="13"/>
        <v>34700</v>
      </c>
      <c r="AB853" s="338"/>
    </row>
    <row r="854" spans="27:28" x14ac:dyDescent="0.3">
      <c r="AA854" s="338">
        <f t="shared" si="13"/>
        <v>34700</v>
      </c>
      <c r="AB854" s="338"/>
    </row>
    <row r="855" spans="27:28" x14ac:dyDescent="0.3">
      <c r="AA855" s="338">
        <f t="shared" si="13"/>
        <v>34700</v>
      </c>
      <c r="AB855" s="338"/>
    </row>
    <row r="856" spans="27:28" x14ac:dyDescent="0.3">
      <c r="AA856" s="338">
        <f t="shared" si="13"/>
        <v>34700</v>
      </c>
      <c r="AB856" s="338"/>
    </row>
    <row r="857" spans="27:28" x14ac:dyDescent="0.3">
      <c r="AA857" s="338">
        <f t="shared" si="13"/>
        <v>34700</v>
      </c>
      <c r="AB857" s="338"/>
    </row>
    <row r="858" spans="27:28" x14ac:dyDescent="0.3">
      <c r="AA858" s="338">
        <f t="shared" si="13"/>
        <v>34700</v>
      </c>
      <c r="AB858" s="338"/>
    </row>
    <row r="859" spans="27:28" x14ac:dyDescent="0.3">
      <c r="AA859" s="338">
        <f t="shared" si="13"/>
        <v>34700</v>
      </c>
      <c r="AB859" s="338"/>
    </row>
    <row r="860" spans="27:28" x14ac:dyDescent="0.3">
      <c r="AA860" s="338">
        <f t="shared" si="13"/>
        <v>34700</v>
      </c>
      <c r="AB860" s="338"/>
    </row>
    <row r="861" spans="27:28" x14ac:dyDescent="0.3">
      <c r="AA861" s="338">
        <f t="shared" si="13"/>
        <v>34700</v>
      </c>
      <c r="AB861" s="338"/>
    </row>
    <row r="862" spans="27:28" x14ac:dyDescent="0.3">
      <c r="AA862" s="338">
        <f t="shared" si="13"/>
        <v>34700</v>
      </c>
      <c r="AB862" s="338"/>
    </row>
    <row r="863" spans="27:28" x14ac:dyDescent="0.3">
      <c r="AA863" s="338">
        <f t="shared" si="13"/>
        <v>34700</v>
      </c>
      <c r="AB863" s="338"/>
    </row>
    <row r="864" spans="27:28" x14ac:dyDescent="0.3">
      <c r="AA864" s="338">
        <f t="shared" si="13"/>
        <v>34700</v>
      </c>
      <c r="AB864" s="338"/>
    </row>
    <row r="865" spans="27:28" x14ac:dyDescent="0.3">
      <c r="AA865" s="338">
        <f t="shared" si="13"/>
        <v>34700</v>
      </c>
      <c r="AB865" s="338"/>
    </row>
    <row r="866" spans="27:28" x14ac:dyDescent="0.3">
      <c r="AA866" s="338">
        <f t="shared" si="13"/>
        <v>34700</v>
      </c>
      <c r="AB866" s="338"/>
    </row>
    <row r="867" spans="27:28" x14ac:dyDescent="0.3">
      <c r="AA867" s="338">
        <f t="shared" si="13"/>
        <v>34700</v>
      </c>
      <c r="AB867" s="338"/>
    </row>
    <row r="868" spans="27:28" x14ac:dyDescent="0.3">
      <c r="AA868" s="338">
        <f t="shared" si="13"/>
        <v>34700</v>
      </c>
      <c r="AB868" s="338"/>
    </row>
    <row r="869" spans="27:28" x14ac:dyDescent="0.3">
      <c r="AA869" s="338">
        <f t="shared" si="13"/>
        <v>34700</v>
      </c>
      <c r="AB869" s="338"/>
    </row>
    <row r="870" spans="27:28" x14ac:dyDescent="0.3">
      <c r="AA870" s="338">
        <f t="shared" si="13"/>
        <v>34700</v>
      </c>
      <c r="AB870" s="338"/>
    </row>
    <row r="871" spans="27:28" x14ac:dyDescent="0.3">
      <c r="AA871" s="338">
        <f t="shared" si="13"/>
        <v>34700</v>
      </c>
      <c r="AB871" s="338"/>
    </row>
    <row r="872" spans="27:28" x14ac:dyDescent="0.3">
      <c r="AA872" s="338">
        <f t="shared" si="13"/>
        <v>34700</v>
      </c>
      <c r="AB872" s="338"/>
    </row>
    <row r="873" spans="27:28" x14ac:dyDescent="0.3">
      <c r="AA873" s="338">
        <f t="shared" si="13"/>
        <v>34700</v>
      </c>
      <c r="AB873" s="338"/>
    </row>
    <row r="874" spans="27:28" x14ac:dyDescent="0.3">
      <c r="AA874" s="338">
        <f t="shared" si="13"/>
        <v>34700</v>
      </c>
      <c r="AB874" s="338"/>
    </row>
    <row r="875" spans="27:28" x14ac:dyDescent="0.3">
      <c r="AA875" s="338">
        <f t="shared" si="13"/>
        <v>34700</v>
      </c>
      <c r="AB875" s="338"/>
    </row>
    <row r="876" spans="27:28" x14ac:dyDescent="0.3">
      <c r="AA876" s="338">
        <f t="shared" si="13"/>
        <v>34700</v>
      </c>
      <c r="AB876" s="338"/>
    </row>
    <row r="877" spans="27:28" x14ac:dyDescent="0.3">
      <c r="AA877" s="338">
        <f t="shared" si="13"/>
        <v>34700</v>
      </c>
      <c r="AB877" s="338"/>
    </row>
    <row r="878" spans="27:28" x14ac:dyDescent="0.3">
      <c r="AA878" s="338">
        <f t="shared" si="13"/>
        <v>34700</v>
      </c>
      <c r="AB878" s="338"/>
    </row>
    <row r="879" spans="27:28" x14ac:dyDescent="0.3">
      <c r="AA879" s="338">
        <f t="shared" si="13"/>
        <v>34700</v>
      </c>
      <c r="AB879" s="338"/>
    </row>
    <row r="880" spans="27:28" x14ac:dyDescent="0.3">
      <c r="AA880" s="338">
        <f t="shared" si="13"/>
        <v>34700</v>
      </c>
      <c r="AB880" s="338"/>
    </row>
    <row r="881" spans="27:28" x14ac:dyDescent="0.3">
      <c r="AA881" s="338">
        <f t="shared" si="13"/>
        <v>34700</v>
      </c>
      <c r="AB881" s="338"/>
    </row>
    <row r="882" spans="27:28" x14ac:dyDescent="0.3">
      <c r="AA882" s="338">
        <f t="shared" si="13"/>
        <v>34700</v>
      </c>
      <c r="AB882" s="338"/>
    </row>
    <row r="883" spans="27:28" x14ac:dyDescent="0.3">
      <c r="AA883" s="338">
        <f t="shared" si="13"/>
        <v>34700</v>
      </c>
      <c r="AB883" s="338"/>
    </row>
    <row r="884" spans="27:28" x14ac:dyDescent="0.3">
      <c r="AA884" s="338">
        <f t="shared" si="13"/>
        <v>34700</v>
      </c>
      <c r="AB884" s="338"/>
    </row>
    <row r="885" spans="27:28" x14ac:dyDescent="0.3">
      <c r="AA885" s="338">
        <f t="shared" si="13"/>
        <v>34700</v>
      </c>
      <c r="AB885" s="338"/>
    </row>
    <row r="886" spans="27:28" x14ac:dyDescent="0.3">
      <c r="AA886" s="338">
        <f t="shared" si="13"/>
        <v>34700</v>
      </c>
      <c r="AB886" s="338"/>
    </row>
    <row r="887" spans="27:28" x14ac:dyDescent="0.3">
      <c r="AA887" s="338">
        <f t="shared" si="13"/>
        <v>34700</v>
      </c>
      <c r="AB887" s="338"/>
    </row>
    <row r="888" spans="27:28" x14ac:dyDescent="0.3">
      <c r="AA888" s="338">
        <f t="shared" si="13"/>
        <v>34700</v>
      </c>
      <c r="AB888" s="338"/>
    </row>
    <row r="889" spans="27:28" x14ac:dyDescent="0.3">
      <c r="AA889" s="338">
        <f t="shared" si="13"/>
        <v>34700</v>
      </c>
      <c r="AB889" s="338"/>
    </row>
    <row r="890" spans="27:28" x14ac:dyDescent="0.3">
      <c r="AA890" s="338">
        <f t="shared" si="13"/>
        <v>34700</v>
      </c>
      <c r="AB890" s="338"/>
    </row>
    <row r="891" spans="27:28" x14ac:dyDescent="0.3">
      <c r="AA891" s="338">
        <f t="shared" si="13"/>
        <v>34700</v>
      </c>
      <c r="AB891" s="338"/>
    </row>
    <row r="892" spans="27:28" x14ac:dyDescent="0.3">
      <c r="AA892" s="338">
        <f t="shared" si="13"/>
        <v>34700</v>
      </c>
      <c r="AB892" s="338"/>
    </row>
    <row r="893" spans="27:28" x14ac:dyDescent="0.3">
      <c r="AA893" s="338">
        <f t="shared" si="13"/>
        <v>34700</v>
      </c>
      <c r="AB893" s="338"/>
    </row>
    <row r="894" spans="27:28" x14ac:dyDescent="0.3">
      <c r="AA894" s="338">
        <f t="shared" si="13"/>
        <v>34700</v>
      </c>
      <c r="AB894" s="338"/>
    </row>
    <row r="895" spans="27:28" x14ac:dyDescent="0.3">
      <c r="AA895" s="338">
        <f t="shared" si="13"/>
        <v>34700</v>
      </c>
      <c r="AB895" s="338"/>
    </row>
    <row r="896" spans="27:28" x14ac:dyDescent="0.3">
      <c r="AA896" s="338">
        <f t="shared" si="13"/>
        <v>34700</v>
      </c>
      <c r="AB896" s="338"/>
    </row>
    <row r="897" spans="27:28" x14ac:dyDescent="0.3">
      <c r="AA897" s="338">
        <f t="shared" ref="AA897:AA960" si="14">IFERROR(
IF(ISNUMBER(C897),C897,DATE(VALUE(RIGHT(C897,4)),VALUE(MID(SUBSTITUTE(C897,"/","-"),FIND("-",SUBSTITUTE(C897,"/","-"))+1,FIND("-",SUBSTITUTE(C897,"/","-"),FIND("-",SUBSTITUTE(C897,"/","-"))+1)-FIND("-",SUBSTITUTE(C897,"/","-"))-1)),VALUE(LEFT(SUBSTITUTE(C897,"/","-"),FIND("-",SUBSTITUTE(C897,"/","-"))-1)))),
DATE(1995,1,1)
)</f>
        <v>34700</v>
      </c>
      <c r="AB897" s="338"/>
    </row>
    <row r="898" spans="27:28" x14ac:dyDescent="0.3">
      <c r="AA898" s="338">
        <f t="shared" si="14"/>
        <v>34700</v>
      </c>
      <c r="AB898" s="338"/>
    </row>
    <row r="899" spans="27:28" x14ac:dyDescent="0.3">
      <c r="AA899" s="338">
        <f t="shared" si="14"/>
        <v>34700</v>
      </c>
      <c r="AB899" s="338"/>
    </row>
    <row r="900" spans="27:28" x14ac:dyDescent="0.3">
      <c r="AA900" s="338">
        <f t="shared" si="14"/>
        <v>34700</v>
      </c>
      <c r="AB900" s="338"/>
    </row>
    <row r="901" spans="27:28" x14ac:dyDescent="0.3">
      <c r="AA901" s="338">
        <f t="shared" si="14"/>
        <v>34700</v>
      </c>
      <c r="AB901" s="338"/>
    </row>
    <row r="902" spans="27:28" x14ac:dyDescent="0.3">
      <c r="AA902" s="338">
        <f t="shared" si="14"/>
        <v>34700</v>
      </c>
      <c r="AB902" s="338"/>
    </row>
    <row r="903" spans="27:28" x14ac:dyDescent="0.3">
      <c r="AA903" s="338">
        <f t="shared" si="14"/>
        <v>34700</v>
      </c>
      <c r="AB903" s="338"/>
    </row>
    <row r="904" spans="27:28" x14ac:dyDescent="0.3">
      <c r="AA904" s="338">
        <f t="shared" si="14"/>
        <v>34700</v>
      </c>
      <c r="AB904" s="338"/>
    </row>
    <row r="905" spans="27:28" x14ac:dyDescent="0.3">
      <c r="AA905" s="338">
        <f t="shared" si="14"/>
        <v>34700</v>
      </c>
      <c r="AB905" s="338"/>
    </row>
    <row r="906" spans="27:28" x14ac:dyDescent="0.3">
      <c r="AA906" s="338">
        <f t="shared" si="14"/>
        <v>34700</v>
      </c>
      <c r="AB906" s="338"/>
    </row>
    <row r="907" spans="27:28" x14ac:dyDescent="0.3">
      <c r="AA907" s="338">
        <f t="shared" si="14"/>
        <v>34700</v>
      </c>
      <c r="AB907" s="338"/>
    </row>
    <row r="908" spans="27:28" x14ac:dyDescent="0.3">
      <c r="AA908" s="338">
        <f t="shared" si="14"/>
        <v>34700</v>
      </c>
      <c r="AB908" s="338"/>
    </row>
    <row r="909" spans="27:28" x14ac:dyDescent="0.3">
      <c r="AA909" s="338">
        <f t="shared" si="14"/>
        <v>34700</v>
      </c>
      <c r="AB909" s="338"/>
    </row>
    <row r="910" spans="27:28" x14ac:dyDescent="0.3">
      <c r="AA910" s="338">
        <f t="shared" si="14"/>
        <v>34700</v>
      </c>
      <c r="AB910" s="338"/>
    </row>
    <row r="911" spans="27:28" x14ac:dyDescent="0.3">
      <c r="AA911" s="338">
        <f t="shared" si="14"/>
        <v>34700</v>
      </c>
      <c r="AB911" s="338"/>
    </row>
    <row r="912" spans="27:28" x14ac:dyDescent="0.3">
      <c r="AA912" s="338">
        <f t="shared" si="14"/>
        <v>34700</v>
      </c>
      <c r="AB912" s="338"/>
    </row>
    <row r="913" spans="27:28" x14ac:dyDescent="0.3">
      <c r="AA913" s="338">
        <f t="shared" si="14"/>
        <v>34700</v>
      </c>
      <c r="AB913" s="338"/>
    </row>
    <row r="914" spans="27:28" x14ac:dyDescent="0.3">
      <c r="AA914" s="338">
        <f t="shared" si="14"/>
        <v>34700</v>
      </c>
      <c r="AB914" s="338"/>
    </row>
    <row r="915" spans="27:28" x14ac:dyDescent="0.3">
      <c r="AA915" s="338">
        <f t="shared" si="14"/>
        <v>34700</v>
      </c>
      <c r="AB915" s="338"/>
    </row>
    <row r="916" spans="27:28" x14ac:dyDescent="0.3">
      <c r="AA916" s="338">
        <f t="shared" si="14"/>
        <v>34700</v>
      </c>
      <c r="AB916" s="338"/>
    </row>
    <row r="917" spans="27:28" x14ac:dyDescent="0.3">
      <c r="AA917" s="338">
        <f t="shared" si="14"/>
        <v>34700</v>
      </c>
      <c r="AB917" s="338"/>
    </row>
    <row r="918" spans="27:28" x14ac:dyDescent="0.3">
      <c r="AA918" s="338">
        <f t="shared" si="14"/>
        <v>34700</v>
      </c>
      <c r="AB918" s="338"/>
    </row>
    <row r="919" spans="27:28" x14ac:dyDescent="0.3">
      <c r="AA919" s="338">
        <f t="shared" si="14"/>
        <v>34700</v>
      </c>
      <c r="AB919" s="338"/>
    </row>
    <row r="920" spans="27:28" x14ac:dyDescent="0.3">
      <c r="AA920" s="338">
        <f t="shared" si="14"/>
        <v>34700</v>
      </c>
      <c r="AB920" s="338"/>
    </row>
    <row r="921" spans="27:28" x14ac:dyDescent="0.3">
      <c r="AA921" s="338">
        <f t="shared" si="14"/>
        <v>34700</v>
      </c>
      <c r="AB921" s="338"/>
    </row>
    <row r="922" spans="27:28" x14ac:dyDescent="0.3">
      <c r="AA922" s="338">
        <f t="shared" si="14"/>
        <v>34700</v>
      </c>
      <c r="AB922" s="338"/>
    </row>
    <row r="923" spans="27:28" x14ac:dyDescent="0.3">
      <c r="AA923" s="338">
        <f t="shared" si="14"/>
        <v>34700</v>
      </c>
      <c r="AB923" s="338"/>
    </row>
    <row r="924" spans="27:28" x14ac:dyDescent="0.3">
      <c r="AA924" s="338">
        <f t="shared" si="14"/>
        <v>34700</v>
      </c>
      <c r="AB924" s="338"/>
    </row>
    <row r="925" spans="27:28" x14ac:dyDescent="0.3">
      <c r="AA925" s="338">
        <f t="shared" si="14"/>
        <v>34700</v>
      </c>
      <c r="AB925" s="338"/>
    </row>
    <row r="926" spans="27:28" x14ac:dyDescent="0.3">
      <c r="AA926" s="338">
        <f t="shared" si="14"/>
        <v>34700</v>
      </c>
      <c r="AB926" s="338"/>
    </row>
    <row r="927" spans="27:28" x14ac:dyDescent="0.3">
      <c r="AA927" s="338">
        <f t="shared" si="14"/>
        <v>34700</v>
      </c>
      <c r="AB927" s="338"/>
    </row>
    <row r="928" spans="27:28" x14ac:dyDescent="0.3">
      <c r="AA928" s="338">
        <f t="shared" si="14"/>
        <v>34700</v>
      </c>
      <c r="AB928" s="338"/>
    </row>
    <row r="929" spans="27:28" x14ac:dyDescent="0.3">
      <c r="AA929" s="338">
        <f t="shared" si="14"/>
        <v>34700</v>
      </c>
      <c r="AB929" s="338"/>
    </row>
    <row r="930" spans="27:28" x14ac:dyDescent="0.3">
      <c r="AA930" s="338">
        <f t="shared" si="14"/>
        <v>34700</v>
      </c>
      <c r="AB930" s="338"/>
    </row>
    <row r="931" spans="27:28" x14ac:dyDescent="0.3">
      <c r="AA931" s="338">
        <f t="shared" si="14"/>
        <v>34700</v>
      </c>
      <c r="AB931" s="338"/>
    </row>
    <row r="932" spans="27:28" x14ac:dyDescent="0.3">
      <c r="AA932" s="338">
        <f t="shared" si="14"/>
        <v>34700</v>
      </c>
      <c r="AB932" s="338"/>
    </row>
    <row r="933" spans="27:28" x14ac:dyDescent="0.3">
      <c r="AA933" s="338">
        <f t="shared" si="14"/>
        <v>34700</v>
      </c>
      <c r="AB933" s="338"/>
    </row>
    <row r="934" spans="27:28" x14ac:dyDescent="0.3">
      <c r="AA934" s="338">
        <f t="shared" si="14"/>
        <v>34700</v>
      </c>
      <c r="AB934" s="338"/>
    </row>
    <row r="935" spans="27:28" x14ac:dyDescent="0.3">
      <c r="AA935" s="338">
        <f t="shared" si="14"/>
        <v>34700</v>
      </c>
      <c r="AB935" s="338"/>
    </row>
    <row r="936" spans="27:28" x14ac:dyDescent="0.3">
      <c r="AA936" s="338">
        <f t="shared" si="14"/>
        <v>34700</v>
      </c>
      <c r="AB936" s="338"/>
    </row>
    <row r="937" spans="27:28" x14ac:dyDescent="0.3">
      <c r="AA937" s="338">
        <f t="shared" si="14"/>
        <v>34700</v>
      </c>
      <c r="AB937" s="338"/>
    </row>
    <row r="938" spans="27:28" x14ac:dyDescent="0.3">
      <c r="AA938" s="338">
        <f t="shared" si="14"/>
        <v>34700</v>
      </c>
      <c r="AB938" s="338"/>
    </row>
    <row r="939" spans="27:28" x14ac:dyDescent="0.3">
      <c r="AA939" s="338">
        <f t="shared" si="14"/>
        <v>34700</v>
      </c>
      <c r="AB939" s="338"/>
    </row>
    <row r="940" spans="27:28" x14ac:dyDescent="0.3">
      <c r="AA940" s="338">
        <f t="shared" si="14"/>
        <v>34700</v>
      </c>
      <c r="AB940" s="338"/>
    </row>
    <row r="941" spans="27:28" x14ac:dyDescent="0.3">
      <c r="AA941" s="338">
        <f t="shared" si="14"/>
        <v>34700</v>
      </c>
      <c r="AB941" s="338"/>
    </row>
    <row r="942" spans="27:28" x14ac:dyDescent="0.3">
      <c r="AA942" s="338">
        <f t="shared" si="14"/>
        <v>34700</v>
      </c>
      <c r="AB942" s="338"/>
    </row>
    <row r="943" spans="27:28" x14ac:dyDescent="0.3">
      <c r="AA943" s="338">
        <f t="shared" si="14"/>
        <v>34700</v>
      </c>
      <c r="AB943" s="338"/>
    </row>
    <row r="944" spans="27:28" x14ac:dyDescent="0.3">
      <c r="AA944" s="338">
        <f t="shared" si="14"/>
        <v>34700</v>
      </c>
      <c r="AB944" s="338"/>
    </row>
    <row r="945" spans="27:28" x14ac:dyDescent="0.3">
      <c r="AA945" s="338">
        <f t="shared" si="14"/>
        <v>34700</v>
      </c>
      <c r="AB945" s="338"/>
    </row>
    <row r="946" spans="27:28" x14ac:dyDescent="0.3">
      <c r="AA946" s="338">
        <f t="shared" si="14"/>
        <v>34700</v>
      </c>
      <c r="AB946" s="338"/>
    </row>
    <row r="947" spans="27:28" x14ac:dyDescent="0.3">
      <c r="AA947" s="338">
        <f t="shared" si="14"/>
        <v>34700</v>
      </c>
      <c r="AB947" s="338"/>
    </row>
    <row r="948" spans="27:28" x14ac:dyDescent="0.3">
      <c r="AA948" s="338">
        <f t="shared" si="14"/>
        <v>34700</v>
      </c>
      <c r="AB948" s="338"/>
    </row>
    <row r="949" spans="27:28" x14ac:dyDescent="0.3">
      <c r="AA949" s="338">
        <f t="shared" si="14"/>
        <v>34700</v>
      </c>
      <c r="AB949" s="338"/>
    </row>
    <row r="950" spans="27:28" x14ac:dyDescent="0.3">
      <c r="AA950" s="338">
        <f t="shared" si="14"/>
        <v>34700</v>
      </c>
      <c r="AB950" s="338"/>
    </row>
    <row r="951" spans="27:28" x14ac:dyDescent="0.3">
      <c r="AA951" s="338">
        <f t="shared" si="14"/>
        <v>34700</v>
      </c>
      <c r="AB951" s="338"/>
    </row>
    <row r="952" spans="27:28" x14ac:dyDescent="0.3">
      <c r="AA952" s="338">
        <f t="shared" si="14"/>
        <v>34700</v>
      </c>
      <c r="AB952" s="338"/>
    </row>
    <row r="953" spans="27:28" x14ac:dyDescent="0.3">
      <c r="AA953" s="338">
        <f t="shared" si="14"/>
        <v>34700</v>
      </c>
      <c r="AB953" s="338"/>
    </row>
    <row r="954" spans="27:28" x14ac:dyDescent="0.3">
      <c r="AA954" s="338">
        <f t="shared" si="14"/>
        <v>34700</v>
      </c>
      <c r="AB954" s="338"/>
    </row>
    <row r="955" spans="27:28" x14ac:dyDescent="0.3">
      <c r="AA955" s="338">
        <f t="shared" si="14"/>
        <v>34700</v>
      </c>
      <c r="AB955" s="338"/>
    </row>
    <row r="956" spans="27:28" x14ac:dyDescent="0.3">
      <c r="AA956" s="338">
        <f t="shared" si="14"/>
        <v>34700</v>
      </c>
      <c r="AB956" s="338"/>
    </row>
    <row r="957" spans="27:28" x14ac:dyDescent="0.3">
      <c r="AA957" s="338">
        <f t="shared" si="14"/>
        <v>34700</v>
      </c>
      <c r="AB957" s="338"/>
    </row>
    <row r="958" spans="27:28" x14ac:dyDescent="0.3">
      <c r="AA958" s="338">
        <f t="shared" si="14"/>
        <v>34700</v>
      </c>
      <c r="AB958" s="338"/>
    </row>
    <row r="959" spans="27:28" x14ac:dyDescent="0.3">
      <c r="AA959" s="338">
        <f t="shared" si="14"/>
        <v>34700</v>
      </c>
      <c r="AB959" s="338"/>
    </row>
    <row r="960" spans="27:28" x14ac:dyDescent="0.3">
      <c r="AA960" s="338">
        <f t="shared" si="14"/>
        <v>34700</v>
      </c>
      <c r="AB960" s="338"/>
    </row>
    <row r="961" spans="27:28" x14ac:dyDescent="0.3">
      <c r="AA961" s="338">
        <f t="shared" ref="AA961:AA1024" si="15">IFERROR(
IF(ISNUMBER(C961),C961,DATE(VALUE(RIGHT(C961,4)),VALUE(MID(SUBSTITUTE(C961,"/","-"),FIND("-",SUBSTITUTE(C961,"/","-"))+1,FIND("-",SUBSTITUTE(C961,"/","-"),FIND("-",SUBSTITUTE(C961,"/","-"))+1)-FIND("-",SUBSTITUTE(C961,"/","-"))-1)),VALUE(LEFT(SUBSTITUTE(C961,"/","-"),FIND("-",SUBSTITUTE(C961,"/","-"))-1)))),
DATE(1995,1,1)
)</f>
        <v>34700</v>
      </c>
      <c r="AB961" s="338"/>
    </row>
    <row r="962" spans="27:28" x14ac:dyDescent="0.3">
      <c r="AA962" s="338">
        <f t="shared" si="15"/>
        <v>34700</v>
      </c>
      <c r="AB962" s="338"/>
    </row>
    <row r="963" spans="27:28" x14ac:dyDescent="0.3">
      <c r="AA963" s="338">
        <f t="shared" si="15"/>
        <v>34700</v>
      </c>
      <c r="AB963" s="338"/>
    </row>
    <row r="964" spans="27:28" x14ac:dyDescent="0.3">
      <c r="AA964" s="338">
        <f t="shared" si="15"/>
        <v>34700</v>
      </c>
      <c r="AB964" s="338"/>
    </row>
    <row r="965" spans="27:28" x14ac:dyDescent="0.3">
      <c r="AA965" s="338">
        <f t="shared" si="15"/>
        <v>34700</v>
      </c>
      <c r="AB965" s="338"/>
    </row>
    <row r="966" spans="27:28" x14ac:dyDescent="0.3">
      <c r="AA966" s="338">
        <f t="shared" si="15"/>
        <v>34700</v>
      </c>
      <c r="AB966" s="338"/>
    </row>
    <row r="967" spans="27:28" x14ac:dyDescent="0.3">
      <c r="AA967" s="338">
        <f t="shared" si="15"/>
        <v>34700</v>
      </c>
      <c r="AB967" s="338"/>
    </row>
    <row r="968" spans="27:28" x14ac:dyDescent="0.3">
      <c r="AA968" s="338">
        <f t="shared" si="15"/>
        <v>34700</v>
      </c>
      <c r="AB968" s="338"/>
    </row>
    <row r="969" spans="27:28" x14ac:dyDescent="0.3">
      <c r="AA969" s="338">
        <f t="shared" si="15"/>
        <v>34700</v>
      </c>
      <c r="AB969" s="338"/>
    </row>
    <row r="970" spans="27:28" x14ac:dyDescent="0.3">
      <c r="AA970" s="338">
        <f t="shared" si="15"/>
        <v>34700</v>
      </c>
      <c r="AB970" s="338"/>
    </row>
    <row r="971" spans="27:28" x14ac:dyDescent="0.3">
      <c r="AA971" s="338">
        <f t="shared" si="15"/>
        <v>34700</v>
      </c>
      <c r="AB971" s="338"/>
    </row>
    <row r="972" spans="27:28" x14ac:dyDescent="0.3">
      <c r="AA972" s="338">
        <f t="shared" si="15"/>
        <v>34700</v>
      </c>
      <c r="AB972" s="338"/>
    </row>
    <row r="973" spans="27:28" x14ac:dyDescent="0.3">
      <c r="AA973" s="338">
        <f t="shared" si="15"/>
        <v>34700</v>
      </c>
      <c r="AB973" s="338"/>
    </row>
    <row r="974" spans="27:28" x14ac:dyDescent="0.3">
      <c r="AA974" s="338">
        <f t="shared" si="15"/>
        <v>34700</v>
      </c>
      <c r="AB974" s="338"/>
    </row>
    <row r="975" spans="27:28" x14ac:dyDescent="0.3">
      <c r="AA975" s="338">
        <f t="shared" si="15"/>
        <v>34700</v>
      </c>
      <c r="AB975" s="338"/>
    </row>
    <row r="976" spans="27:28" x14ac:dyDescent="0.3">
      <c r="AA976" s="338">
        <f t="shared" si="15"/>
        <v>34700</v>
      </c>
      <c r="AB976" s="338"/>
    </row>
    <row r="977" spans="27:28" x14ac:dyDescent="0.3">
      <c r="AA977" s="338">
        <f t="shared" si="15"/>
        <v>34700</v>
      </c>
      <c r="AB977" s="338"/>
    </row>
    <row r="978" spans="27:28" x14ac:dyDescent="0.3">
      <c r="AA978" s="338">
        <f t="shared" si="15"/>
        <v>34700</v>
      </c>
      <c r="AB978" s="338"/>
    </row>
    <row r="979" spans="27:28" x14ac:dyDescent="0.3">
      <c r="AA979" s="338">
        <f t="shared" si="15"/>
        <v>34700</v>
      </c>
      <c r="AB979" s="338"/>
    </row>
    <row r="980" spans="27:28" x14ac:dyDescent="0.3">
      <c r="AA980" s="338">
        <f t="shared" si="15"/>
        <v>34700</v>
      </c>
      <c r="AB980" s="338"/>
    </row>
    <row r="981" spans="27:28" x14ac:dyDescent="0.3">
      <c r="AA981" s="338">
        <f t="shared" si="15"/>
        <v>34700</v>
      </c>
      <c r="AB981" s="338"/>
    </row>
    <row r="982" spans="27:28" x14ac:dyDescent="0.3">
      <c r="AA982" s="338">
        <f t="shared" si="15"/>
        <v>34700</v>
      </c>
      <c r="AB982" s="338"/>
    </row>
    <row r="983" spans="27:28" x14ac:dyDescent="0.3">
      <c r="AA983" s="338">
        <f t="shared" si="15"/>
        <v>34700</v>
      </c>
      <c r="AB983" s="338"/>
    </row>
    <row r="984" spans="27:28" x14ac:dyDescent="0.3">
      <c r="AA984" s="338">
        <f t="shared" si="15"/>
        <v>34700</v>
      </c>
      <c r="AB984" s="338"/>
    </row>
    <row r="985" spans="27:28" x14ac:dyDescent="0.3">
      <c r="AA985" s="338">
        <f t="shared" si="15"/>
        <v>34700</v>
      </c>
      <c r="AB985" s="338"/>
    </row>
    <row r="986" spans="27:28" x14ac:dyDescent="0.3">
      <c r="AA986" s="338">
        <f t="shared" si="15"/>
        <v>34700</v>
      </c>
      <c r="AB986" s="338"/>
    </row>
    <row r="987" spans="27:28" x14ac:dyDescent="0.3">
      <c r="AA987" s="338">
        <f t="shared" si="15"/>
        <v>34700</v>
      </c>
      <c r="AB987" s="338"/>
    </row>
    <row r="988" spans="27:28" x14ac:dyDescent="0.3">
      <c r="AA988" s="338">
        <f t="shared" si="15"/>
        <v>34700</v>
      </c>
      <c r="AB988" s="338"/>
    </row>
    <row r="989" spans="27:28" x14ac:dyDescent="0.3">
      <c r="AA989" s="338">
        <f t="shared" si="15"/>
        <v>34700</v>
      </c>
      <c r="AB989" s="338"/>
    </row>
    <row r="990" spans="27:28" x14ac:dyDescent="0.3">
      <c r="AA990" s="338">
        <f t="shared" si="15"/>
        <v>34700</v>
      </c>
      <c r="AB990" s="338"/>
    </row>
    <row r="991" spans="27:28" x14ac:dyDescent="0.3">
      <c r="AA991" s="338">
        <f t="shared" si="15"/>
        <v>34700</v>
      </c>
      <c r="AB991" s="338"/>
    </row>
    <row r="992" spans="27:28" x14ac:dyDescent="0.3">
      <c r="AA992" s="338">
        <f t="shared" si="15"/>
        <v>34700</v>
      </c>
      <c r="AB992" s="338"/>
    </row>
    <row r="993" spans="27:28" x14ac:dyDescent="0.3">
      <c r="AA993" s="338">
        <f t="shared" si="15"/>
        <v>34700</v>
      </c>
      <c r="AB993" s="338"/>
    </row>
    <row r="994" spans="27:28" x14ac:dyDescent="0.3">
      <c r="AA994" s="338">
        <f t="shared" si="15"/>
        <v>34700</v>
      </c>
      <c r="AB994" s="338"/>
    </row>
    <row r="995" spans="27:28" x14ac:dyDescent="0.3">
      <c r="AA995" s="338">
        <f t="shared" si="15"/>
        <v>34700</v>
      </c>
      <c r="AB995" s="338"/>
    </row>
    <row r="996" spans="27:28" x14ac:dyDescent="0.3">
      <c r="AA996" s="338">
        <f t="shared" si="15"/>
        <v>34700</v>
      </c>
      <c r="AB996" s="338"/>
    </row>
    <row r="997" spans="27:28" x14ac:dyDescent="0.3">
      <c r="AA997" s="338">
        <f t="shared" si="15"/>
        <v>34700</v>
      </c>
      <c r="AB997" s="338"/>
    </row>
    <row r="998" spans="27:28" x14ac:dyDescent="0.3">
      <c r="AA998" s="338">
        <f t="shared" si="15"/>
        <v>34700</v>
      </c>
      <c r="AB998" s="338"/>
    </row>
    <row r="999" spans="27:28" x14ac:dyDescent="0.3">
      <c r="AA999" s="338">
        <f t="shared" si="15"/>
        <v>34700</v>
      </c>
      <c r="AB999" s="338"/>
    </row>
    <row r="1000" spans="27:28" x14ac:dyDescent="0.3">
      <c r="AA1000" s="338">
        <f t="shared" si="15"/>
        <v>34700</v>
      </c>
      <c r="AB1000" s="338"/>
    </row>
    <row r="1001" spans="27:28" x14ac:dyDescent="0.3">
      <c r="AA1001" s="338">
        <f t="shared" si="15"/>
        <v>34700</v>
      </c>
      <c r="AB1001" s="338"/>
    </row>
    <row r="1002" spans="27:28" x14ac:dyDescent="0.3">
      <c r="AA1002" s="338">
        <f t="shared" si="15"/>
        <v>34700</v>
      </c>
      <c r="AB1002" s="338"/>
    </row>
    <row r="1003" spans="27:28" x14ac:dyDescent="0.3">
      <c r="AA1003" s="338">
        <f t="shared" si="15"/>
        <v>34700</v>
      </c>
      <c r="AB1003" s="338"/>
    </row>
    <row r="1004" spans="27:28" x14ac:dyDescent="0.3">
      <c r="AA1004" s="338">
        <f t="shared" si="15"/>
        <v>34700</v>
      </c>
      <c r="AB1004" s="338"/>
    </row>
    <row r="1005" spans="27:28" x14ac:dyDescent="0.3">
      <c r="AA1005" s="338">
        <f t="shared" si="15"/>
        <v>34700</v>
      </c>
      <c r="AB1005" s="338"/>
    </row>
    <row r="1006" spans="27:28" x14ac:dyDescent="0.3">
      <c r="AA1006" s="338">
        <f t="shared" si="15"/>
        <v>34700</v>
      </c>
      <c r="AB1006" s="338"/>
    </row>
    <row r="1007" spans="27:28" x14ac:dyDescent="0.3">
      <c r="AA1007" s="338">
        <f t="shared" si="15"/>
        <v>34700</v>
      </c>
      <c r="AB1007" s="338"/>
    </row>
    <row r="1008" spans="27:28" x14ac:dyDescent="0.3">
      <c r="AA1008" s="338">
        <f t="shared" si="15"/>
        <v>34700</v>
      </c>
      <c r="AB1008" s="338"/>
    </row>
    <row r="1009" spans="27:28" x14ac:dyDescent="0.3">
      <c r="AA1009" s="338">
        <f t="shared" si="15"/>
        <v>34700</v>
      </c>
      <c r="AB1009" s="338"/>
    </row>
    <row r="1010" spans="27:28" x14ac:dyDescent="0.3">
      <c r="AA1010" s="338">
        <f t="shared" si="15"/>
        <v>34700</v>
      </c>
      <c r="AB1010" s="338"/>
    </row>
    <row r="1011" spans="27:28" x14ac:dyDescent="0.3">
      <c r="AA1011" s="338">
        <f t="shared" si="15"/>
        <v>34700</v>
      </c>
      <c r="AB1011" s="338"/>
    </row>
    <row r="1012" spans="27:28" x14ac:dyDescent="0.3">
      <c r="AA1012" s="338">
        <f t="shared" si="15"/>
        <v>34700</v>
      </c>
      <c r="AB1012" s="338"/>
    </row>
    <row r="1013" spans="27:28" x14ac:dyDescent="0.3">
      <c r="AA1013" s="338">
        <f t="shared" si="15"/>
        <v>34700</v>
      </c>
      <c r="AB1013" s="338"/>
    </row>
    <row r="1014" spans="27:28" x14ac:dyDescent="0.3">
      <c r="AA1014" s="338">
        <f t="shared" si="15"/>
        <v>34700</v>
      </c>
      <c r="AB1014" s="338"/>
    </row>
    <row r="1015" spans="27:28" x14ac:dyDescent="0.3">
      <c r="AA1015" s="338">
        <f t="shared" si="15"/>
        <v>34700</v>
      </c>
      <c r="AB1015" s="338"/>
    </row>
    <row r="1016" spans="27:28" x14ac:dyDescent="0.3">
      <c r="AA1016" s="338">
        <f t="shared" si="15"/>
        <v>34700</v>
      </c>
      <c r="AB1016" s="338"/>
    </row>
    <row r="1017" spans="27:28" x14ac:dyDescent="0.3">
      <c r="AA1017" s="338">
        <f t="shared" si="15"/>
        <v>34700</v>
      </c>
      <c r="AB1017" s="338"/>
    </row>
    <row r="1018" spans="27:28" x14ac:dyDescent="0.3">
      <c r="AA1018" s="338">
        <f t="shared" si="15"/>
        <v>34700</v>
      </c>
      <c r="AB1018" s="338"/>
    </row>
    <row r="1019" spans="27:28" x14ac:dyDescent="0.3">
      <c r="AA1019" s="338">
        <f t="shared" si="15"/>
        <v>34700</v>
      </c>
      <c r="AB1019" s="338"/>
    </row>
    <row r="1020" spans="27:28" x14ac:dyDescent="0.3">
      <c r="AA1020" s="338">
        <f t="shared" si="15"/>
        <v>34700</v>
      </c>
      <c r="AB1020" s="338"/>
    </row>
    <row r="1021" spans="27:28" x14ac:dyDescent="0.3">
      <c r="AA1021" s="338">
        <f t="shared" si="15"/>
        <v>34700</v>
      </c>
      <c r="AB1021" s="338"/>
    </row>
    <row r="1022" spans="27:28" x14ac:dyDescent="0.3">
      <c r="AA1022" s="338">
        <f t="shared" si="15"/>
        <v>34700</v>
      </c>
      <c r="AB1022" s="338"/>
    </row>
    <row r="1023" spans="27:28" x14ac:dyDescent="0.3">
      <c r="AA1023" s="338">
        <f t="shared" si="15"/>
        <v>34700</v>
      </c>
      <c r="AB1023" s="338"/>
    </row>
    <row r="1024" spans="27:28" x14ac:dyDescent="0.3">
      <c r="AA1024" s="338">
        <f t="shared" si="15"/>
        <v>34700</v>
      </c>
      <c r="AB1024" s="338"/>
    </row>
    <row r="1025" spans="27:28" x14ac:dyDescent="0.3">
      <c r="AA1025" s="338">
        <f t="shared" ref="AA1025:AA1088" si="16">IFERROR(
IF(ISNUMBER(C1025),C1025,DATE(VALUE(RIGHT(C1025,4)),VALUE(MID(SUBSTITUTE(C1025,"/","-"),FIND("-",SUBSTITUTE(C1025,"/","-"))+1,FIND("-",SUBSTITUTE(C1025,"/","-"),FIND("-",SUBSTITUTE(C1025,"/","-"))+1)-FIND("-",SUBSTITUTE(C1025,"/","-"))-1)),VALUE(LEFT(SUBSTITUTE(C1025,"/","-"),FIND("-",SUBSTITUTE(C1025,"/","-"))-1)))),
DATE(1995,1,1)
)</f>
        <v>34700</v>
      </c>
      <c r="AB1025" s="338"/>
    </row>
    <row r="1026" spans="27:28" x14ac:dyDescent="0.3">
      <c r="AA1026" s="338">
        <f t="shared" si="16"/>
        <v>34700</v>
      </c>
      <c r="AB1026" s="338"/>
    </row>
    <row r="1027" spans="27:28" x14ac:dyDescent="0.3">
      <c r="AA1027" s="338">
        <f t="shared" si="16"/>
        <v>34700</v>
      </c>
      <c r="AB1027" s="338"/>
    </row>
    <row r="1028" spans="27:28" x14ac:dyDescent="0.3">
      <c r="AA1028" s="338">
        <f t="shared" si="16"/>
        <v>34700</v>
      </c>
      <c r="AB1028" s="338"/>
    </row>
    <row r="1029" spans="27:28" x14ac:dyDescent="0.3">
      <c r="AA1029" s="338">
        <f t="shared" si="16"/>
        <v>34700</v>
      </c>
      <c r="AB1029" s="338"/>
    </row>
    <row r="1030" spans="27:28" x14ac:dyDescent="0.3">
      <c r="AA1030" s="338">
        <f t="shared" si="16"/>
        <v>34700</v>
      </c>
      <c r="AB1030" s="338"/>
    </row>
    <row r="1031" spans="27:28" x14ac:dyDescent="0.3">
      <c r="AA1031" s="338">
        <f t="shared" si="16"/>
        <v>34700</v>
      </c>
      <c r="AB1031" s="338"/>
    </row>
    <row r="1032" spans="27:28" x14ac:dyDescent="0.3">
      <c r="AA1032" s="338">
        <f t="shared" si="16"/>
        <v>34700</v>
      </c>
      <c r="AB1032" s="338"/>
    </row>
    <row r="1033" spans="27:28" x14ac:dyDescent="0.3">
      <c r="AA1033" s="338">
        <f t="shared" si="16"/>
        <v>34700</v>
      </c>
      <c r="AB1033" s="338"/>
    </row>
    <row r="1034" spans="27:28" x14ac:dyDescent="0.3">
      <c r="AA1034" s="338">
        <f t="shared" si="16"/>
        <v>34700</v>
      </c>
      <c r="AB1034" s="338"/>
    </row>
    <row r="1035" spans="27:28" x14ac:dyDescent="0.3">
      <c r="AA1035" s="338">
        <f t="shared" si="16"/>
        <v>34700</v>
      </c>
      <c r="AB1035" s="338"/>
    </row>
    <row r="1036" spans="27:28" x14ac:dyDescent="0.3">
      <c r="AA1036" s="338">
        <f t="shared" si="16"/>
        <v>34700</v>
      </c>
      <c r="AB1036" s="338"/>
    </row>
    <row r="1037" spans="27:28" x14ac:dyDescent="0.3">
      <c r="AA1037" s="338">
        <f t="shared" si="16"/>
        <v>34700</v>
      </c>
      <c r="AB1037" s="338"/>
    </row>
    <row r="1038" spans="27:28" x14ac:dyDescent="0.3">
      <c r="AA1038" s="338">
        <f t="shared" si="16"/>
        <v>34700</v>
      </c>
      <c r="AB1038" s="338"/>
    </row>
    <row r="1039" spans="27:28" x14ac:dyDescent="0.3">
      <c r="AA1039" s="338">
        <f t="shared" si="16"/>
        <v>34700</v>
      </c>
      <c r="AB1039" s="338"/>
    </row>
    <row r="1040" spans="27:28" x14ac:dyDescent="0.3">
      <c r="AA1040" s="338">
        <f t="shared" si="16"/>
        <v>34700</v>
      </c>
      <c r="AB1040" s="338"/>
    </row>
    <row r="1041" spans="27:28" x14ac:dyDescent="0.3">
      <c r="AA1041" s="338">
        <f t="shared" si="16"/>
        <v>34700</v>
      </c>
      <c r="AB1041" s="338"/>
    </row>
    <row r="1042" spans="27:28" x14ac:dyDescent="0.3">
      <c r="AA1042" s="338">
        <f t="shared" si="16"/>
        <v>34700</v>
      </c>
      <c r="AB1042" s="338"/>
    </row>
    <row r="1043" spans="27:28" x14ac:dyDescent="0.3">
      <c r="AA1043" s="338">
        <f t="shared" si="16"/>
        <v>34700</v>
      </c>
      <c r="AB1043" s="338"/>
    </row>
    <row r="1044" spans="27:28" x14ac:dyDescent="0.3">
      <c r="AA1044" s="338">
        <f t="shared" si="16"/>
        <v>34700</v>
      </c>
      <c r="AB1044" s="338"/>
    </row>
    <row r="1045" spans="27:28" x14ac:dyDescent="0.3">
      <c r="AA1045" s="338">
        <f t="shared" si="16"/>
        <v>34700</v>
      </c>
      <c r="AB1045" s="338"/>
    </row>
    <row r="1046" spans="27:28" x14ac:dyDescent="0.3">
      <c r="AA1046" s="338">
        <f t="shared" si="16"/>
        <v>34700</v>
      </c>
      <c r="AB1046" s="338"/>
    </row>
    <row r="1047" spans="27:28" x14ac:dyDescent="0.3">
      <c r="AA1047" s="338">
        <f t="shared" si="16"/>
        <v>34700</v>
      </c>
      <c r="AB1047" s="338"/>
    </row>
    <row r="1048" spans="27:28" x14ac:dyDescent="0.3">
      <c r="AA1048" s="338">
        <f t="shared" si="16"/>
        <v>34700</v>
      </c>
      <c r="AB1048" s="338"/>
    </row>
    <row r="1049" spans="27:28" x14ac:dyDescent="0.3">
      <c r="AA1049" s="338">
        <f t="shared" si="16"/>
        <v>34700</v>
      </c>
      <c r="AB1049" s="338"/>
    </row>
    <row r="1050" spans="27:28" x14ac:dyDescent="0.3">
      <c r="AA1050" s="338">
        <f t="shared" si="16"/>
        <v>34700</v>
      </c>
      <c r="AB1050" s="338"/>
    </row>
    <row r="1051" spans="27:28" x14ac:dyDescent="0.3">
      <c r="AA1051" s="338">
        <f t="shared" si="16"/>
        <v>34700</v>
      </c>
      <c r="AB1051" s="338"/>
    </row>
    <row r="1052" spans="27:28" x14ac:dyDescent="0.3">
      <c r="AA1052" s="338">
        <f t="shared" si="16"/>
        <v>34700</v>
      </c>
      <c r="AB1052" s="338"/>
    </row>
    <row r="1053" spans="27:28" x14ac:dyDescent="0.3">
      <c r="AA1053" s="338">
        <f t="shared" si="16"/>
        <v>34700</v>
      </c>
      <c r="AB1053" s="338"/>
    </row>
    <row r="1054" spans="27:28" x14ac:dyDescent="0.3">
      <c r="AA1054" s="338">
        <f t="shared" si="16"/>
        <v>34700</v>
      </c>
      <c r="AB1054" s="338"/>
    </row>
    <row r="1055" spans="27:28" x14ac:dyDescent="0.3">
      <c r="AA1055" s="338">
        <f t="shared" si="16"/>
        <v>34700</v>
      </c>
      <c r="AB1055" s="338"/>
    </row>
    <row r="1056" spans="27:28" x14ac:dyDescent="0.3">
      <c r="AA1056" s="338">
        <f t="shared" si="16"/>
        <v>34700</v>
      </c>
      <c r="AB1056" s="338"/>
    </row>
    <row r="1057" spans="27:28" x14ac:dyDescent="0.3">
      <c r="AA1057" s="338">
        <f t="shared" si="16"/>
        <v>34700</v>
      </c>
      <c r="AB1057" s="338"/>
    </row>
    <row r="1058" spans="27:28" x14ac:dyDescent="0.3">
      <c r="AA1058" s="338">
        <f t="shared" si="16"/>
        <v>34700</v>
      </c>
      <c r="AB1058" s="338"/>
    </row>
    <row r="1059" spans="27:28" x14ac:dyDescent="0.3">
      <c r="AA1059" s="338">
        <f t="shared" si="16"/>
        <v>34700</v>
      </c>
      <c r="AB1059" s="338"/>
    </row>
    <row r="1060" spans="27:28" x14ac:dyDescent="0.3">
      <c r="AA1060" s="338">
        <f t="shared" si="16"/>
        <v>34700</v>
      </c>
      <c r="AB1060" s="338"/>
    </row>
    <row r="1061" spans="27:28" x14ac:dyDescent="0.3">
      <c r="AA1061" s="338">
        <f t="shared" si="16"/>
        <v>34700</v>
      </c>
      <c r="AB1061" s="338"/>
    </row>
    <row r="1062" spans="27:28" x14ac:dyDescent="0.3">
      <c r="AA1062" s="338">
        <f t="shared" si="16"/>
        <v>34700</v>
      </c>
      <c r="AB1062" s="338"/>
    </row>
    <row r="1063" spans="27:28" x14ac:dyDescent="0.3">
      <c r="AA1063" s="338">
        <f t="shared" si="16"/>
        <v>34700</v>
      </c>
      <c r="AB1063" s="338"/>
    </row>
    <row r="1064" spans="27:28" x14ac:dyDescent="0.3">
      <c r="AA1064" s="338">
        <f t="shared" si="16"/>
        <v>34700</v>
      </c>
      <c r="AB1064" s="338"/>
    </row>
    <row r="1065" spans="27:28" x14ac:dyDescent="0.3">
      <c r="AA1065" s="338">
        <f t="shared" si="16"/>
        <v>34700</v>
      </c>
      <c r="AB1065" s="338"/>
    </row>
    <row r="1066" spans="27:28" x14ac:dyDescent="0.3">
      <c r="AA1066" s="338">
        <f t="shared" si="16"/>
        <v>34700</v>
      </c>
      <c r="AB1066" s="338"/>
    </row>
    <row r="1067" spans="27:28" x14ac:dyDescent="0.3">
      <c r="AA1067" s="338">
        <f t="shared" si="16"/>
        <v>34700</v>
      </c>
      <c r="AB1067" s="338"/>
    </row>
    <row r="1068" spans="27:28" x14ac:dyDescent="0.3">
      <c r="AA1068" s="338">
        <f t="shared" si="16"/>
        <v>34700</v>
      </c>
      <c r="AB1068" s="338"/>
    </row>
    <row r="1069" spans="27:28" x14ac:dyDescent="0.3">
      <c r="AA1069" s="338">
        <f t="shared" si="16"/>
        <v>34700</v>
      </c>
      <c r="AB1069" s="338"/>
    </row>
    <row r="1070" spans="27:28" x14ac:dyDescent="0.3">
      <c r="AA1070" s="338">
        <f t="shared" si="16"/>
        <v>34700</v>
      </c>
      <c r="AB1070" s="338"/>
    </row>
    <row r="1071" spans="27:28" x14ac:dyDescent="0.3">
      <c r="AA1071" s="338">
        <f t="shared" si="16"/>
        <v>34700</v>
      </c>
      <c r="AB1071" s="338"/>
    </row>
    <row r="1072" spans="27:28" x14ac:dyDescent="0.3">
      <c r="AA1072" s="338">
        <f t="shared" si="16"/>
        <v>34700</v>
      </c>
      <c r="AB1072" s="338"/>
    </row>
    <row r="1073" spans="27:28" x14ac:dyDescent="0.3">
      <c r="AA1073" s="338">
        <f t="shared" si="16"/>
        <v>34700</v>
      </c>
      <c r="AB1073" s="338"/>
    </row>
    <row r="1074" spans="27:28" x14ac:dyDescent="0.3">
      <c r="AA1074" s="338">
        <f t="shared" si="16"/>
        <v>34700</v>
      </c>
      <c r="AB1074" s="338"/>
    </row>
    <row r="1075" spans="27:28" x14ac:dyDescent="0.3">
      <c r="AA1075" s="338">
        <f t="shared" si="16"/>
        <v>34700</v>
      </c>
      <c r="AB1075" s="338"/>
    </row>
    <row r="1076" spans="27:28" x14ac:dyDescent="0.3">
      <c r="AA1076" s="338">
        <f t="shared" si="16"/>
        <v>34700</v>
      </c>
      <c r="AB1076" s="338"/>
    </row>
    <row r="1077" spans="27:28" x14ac:dyDescent="0.3">
      <c r="AA1077" s="338">
        <f t="shared" si="16"/>
        <v>34700</v>
      </c>
      <c r="AB1077" s="338"/>
    </row>
    <row r="1078" spans="27:28" x14ac:dyDescent="0.3">
      <c r="AA1078" s="338">
        <f t="shared" si="16"/>
        <v>34700</v>
      </c>
      <c r="AB1078" s="338"/>
    </row>
    <row r="1079" spans="27:28" x14ac:dyDescent="0.3">
      <c r="AA1079" s="338">
        <f t="shared" si="16"/>
        <v>34700</v>
      </c>
      <c r="AB1079" s="338"/>
    </row>
    <row r="1080" spans="27:28" x14ac:dyDescent="0.3">
      <c r="AA1080" s="338">
        <f t="shared" si="16"/>
        <v>34700</v>
      </c>
      <c r="AB1080" s="338"/>
    </row>
    <row r="1081" spans="27:28" x14ac:dyDescent="0.3">
      <c r="AA1081" s="338">
        <f t="shared" si="16"/>
        <v>34700</v>
      </c>
      <c r="AB1081" s="338"/>
    </row>
    <row r="1082" spans="27:28" x14ac:dyDescent="0.3">
      <c r="AA1082" s="338">
        <f t="shared" si="16"/>
        <v>34700</v>
      </c>
      <c r="AB1082" s="338"/>
    </row>
    <row r="1083" spans="27:28" x14ac:dyDescent="0.3">
      <c r="AA1083" s="338">
        <f t="shared" si="16"/>
        <v>34700</v>
      </c>
      <c r="AB1083" s="338"/>
    </row>
    <row r="1084" spans="27:28" x14ac:dyDescent="0.3">
      <c r="AA1084" s="338">
        <f t="shared" si="16"/>
        <v>34700</v>
      </c>
      <c r="AB1084" s="338"/>
    </row>
    <row r="1085" spans="27:28" x14ac:dyDescent="0.3">
      <c r="AA1085" s="338">
        <f t="shared" si="16"/>
        <v>34700</v>
      </c>
      <c r="AB1085" s="338"/>
    </row>
    <row r="1086" spans="27:28" x14ac:dyDescent="0.3">
      <c r="AA1086" s="338">
        <f t="shared" si="16"/>
        <v>34700</v>
      </c>
      <c r="AB1086" s="338"/>
    </row>
    <row r="1087" spans="27:28" x14ac:dyDescent="0.3">
      <c r="AA1087" s="338">
        <f t="shared" si="16"/>
        <v>34700</v>
      </c>
      <c r="AB1087" s="338"/>
    </row>
    <row r="1088" spans="27:28" x14ac:dyDescent="0.3">
      <c r="AA1088" s="338">
        <f t="shared" si="16"/>
        <v>34700</v>
      </c>
      <c r="AB1088" s="338"/>
    </row>
    <row r="1089" spans="27:28" x14ac:dyDescent="0.3">
      <c r="AA1089" s="338">
        <f t="shared" ref="AA1089:AA1152" si="17">IFERROR(
IF(ISNUMBER(C1089),C1089,DATE(VALUE(RIGHT(C1089,4)),VALUE(MID(SUBSTITUTE(C1089,"/","-"),FIND("-",SUBSTITUTE(C1089,"/","-"))+1,FIND("-",SUBSTITUTE(C1089,"/","-"),FIND("-",SUBSTITUTE(C1089,"/","-"))+1)-FIND("-",SUBSTITUTE(C1089,"/","-"))-1)),VALUE(LEFT(SUBSTITUTE(C1089,"/","-"),FIND("-",SUBSTITUTE(C1089,"/","-"))-1)))),
DATE(1995,1,1)
)</f>
        <v>34700</v>
      </c>
      <c r="AB1089" s="338"/>
    </row>
    <row r="1090" spans="27:28" x14ac:dyDescent="0.3">
      <c r="AA1090" s="338">
        <f t="shared" si="17"/>
        <v>34700</v>
      </c>
      <c r="AB1090" s="338"/>
    </row>
    <row r="1091" spans="27:28" x14ac:dyDescent="0.3">
      <c r="AA1091" s="338">
        <f t="shared" si="17"/>
        <v>34700</v>
      </c>
      <c r="AB1091" s="338"/>
    </row>
    <row r="1092" spans="27:28" x14ac:dyDescent="0.3">
      <c r="AA1092" s="338">
        <f t="shared" si="17"/>
        <v>34700</v>
      </c>
      <c r="AB1092" s="338"/>
    </row>
    <row r="1093" spans="27:28" x14ac:dyDescent="0.3">
      <c r="AA1093" s="338">
        <f t="shared" si="17"/>
        <v>34700</v>
      </c>
      <c r="AB1093" s="338"/>
    </row>
    <row r="1094" spans="27:28" x14ac:dyDescent="0.3">
      <c r="AA1094" s="338">
        <f t="shared" si="17"/>
        <v>34700</v>
      </c>
      <c r="AB1094" s="338"/>
    </row>
    <row r="1095" spans="27:28" x14ac:dyDescent="0.3">
      <c r="AA1095" s="338">
        <f t="shared" si="17"/>
        <v>34700</v>
      </c>
      <c r="AB1095" s="338"/>
    </row>
    <row r="1096" spans="27:28" x14ac:dyDescent="0.3">
      <c r="AA1096" s="338">
        <f t="shared" si="17"/>
        <v>34700</v>
      </c>
      <c r="AB1096" s="338"/>
    </row>
    <row r="1097" spans="27:28" x14ac:dyDescent="0.3">
      <c r="AA1097" s="338">
        <f t="shared" si="17"/>
        <v>34700</v>
      </c>
      <c r="AB1097" s="338"/>
    </row>
    <row r="1098" spans="27:28" x14ac:dyDescent="0.3">
      <c r="AA1098" s="338">
        <f t="shared" si="17"/>
        <v>34700</v>
      </c>
      <c r="AB1098" s="338"/>
    </row>
    <row r="1099" spans="27:28" x14ac:dyDescent="0.3">
      <c r="AA1099" s="338">
        <f t="shared" si="17"/>
        <v>34700</v>
      </c>
      <c r="AB1099" s="338"/>
    </row>
    <row r="1100" spans="27:28" x14ac:dyDescent="0.3">
      <c r="AA1100" s="338">
        <f t="shared" si="17"/>
        <v>34700</v>
      </c>
      <c r="AB1100" s="338"/>
    </row>
    <row r="1101" spans="27:28" x14ac:dyDescent="0.3">
      <c r="AA1101" s="338">
        <f t="shared" si="17"/>
        <v>34700</v>
      </c>
      <c r="AB1101" s="338"/>
    </row>
    <row r="1102" spans="27:28" x14ac:dyDescent="0.3">
      <c r="AA1102" s="338">
        <f t="shared" si="17"/>
        <v>34700</v>
      </c>
      <c r="AB1102" s="338"/>
    </row>
    <row r="1103" spans="27:28" x14ac:dyDescent="0.3">
      <c r="AA1103" s="338">
        <f t="shared" si="17"/>
        <v>34700</v>
      </c>
      <c r="AB1103" s="338"/>
    </row>
    <row r="1104" spans="27:28" x14ac:dyDescent="0.3">
      <c r="AA1104" s="338">
        <f t="shared" si="17"/>
        <v>34700</v>
      </c>
      <c r="AB1104" s="338"/>
    </row>
    <row r="1105" spans="27:28" x14ac:dyDescent="0.3">
      <c r="AA1105" s="338">
        <f t="shared" si="17"/>
        <v>34700</v>
      </c>
      <c r="AB1105" s="338"/>
    </row>
    <row r="1106" spans="27:28" x14ac:dyDescent="0.3">
      <c r="AA1106" s="338">
        <f t="shared" si="17"/>
        <v>34700</v>
      </c>
      <c r="AB1106" s="338"/>
    </row>
    <row r="1107" spans="27:28" x14ac:dyDescent="0.3">
      <c r="AA1107" s="338">
        <f t="shared" si="17"/>
        <v>34700</v>
      </c>
      <c r="AB1107" s="338"/>
    </row>
    <row r="1108" spans="27:28" x14ac:dyDescent="0.3">
      <c r="AA1108" s="338">
        <f t="shared" si="17"/>
        <v>34700</v>
      </c>
      <c r="AB1108" s="338"/>
    </row>
    <row r="1109" spans="27:28" x14ac:dyDescent="0.3">
      <c r="AA1109" s="338">
        <f t="shared" si="17"/>
        <v>34700</v>
      </c>
      <c r="AB1109" s="338"/>
    </row>
    <row r="1110" spans="27:28" x14ac:dyDescent="0.3">
      <c r="AA1110" s="338">
        <f t="shared" si="17"/>
        <v>34700</v>
      </c>
      <c r="AB1110" s="338"/>
    </row>
    <row r="1111" spans="27:28" x14ac:dyDescent="0.3">
      <c r="AA1111" s="338">
        <f t="shared" si="17"/>
        <v>34700</v>
      </c>
      <c r="AB1111" s="338"/>
    </row>
    <row r="1112" spans="27:28" x14ac:dyDescent="0.3">
      <c r="AA1112" s="338">
        <f t="shared" si="17"/>
        <v>34700</v>
      </c>
      <c r="AB1112" s="338"/>
    </row>
    <row r="1113" spans="27:28" x14ac:dyDescent="0.3">
      <c r="AA1113" s="338">
        <f t="shared" si="17"/>
        <v>34700</v>
      </c>
      <c r="AB1113" s="338"/>
    </row>
    <row r="1114" spans="27:28" x14ac:dyDescent="0.3">
      <c r="AA1114" s="338">
        <f t="shared" si="17"/>
        <v>34700</v>
      </c>
      <c r="AB1114" s="338"/>
    </row>
    <row r="1115" spans="27:28" x14ac:dyDescent="0.3">
      <c r="AA1115" s="338">
        <f t="shared" si="17"/>
        <v>34700</v>
      </c>
      <c r="AB1115" s="338"/>
    </row>
    <row r="1116" spans="27:28" x14ac:dyDescent="0.3">
      <c r="AA1116" s="338">
        <f t="shared" si="17"/>
        <v>34700</v>
      </c>
      <c r="AB1116" s="338"/>
    </row>
    <row r="1117" spans="27:28" x14ac:dyDescent="0.3">
      <c r="AA1117" s="338">
        <f t="shared" si="17"/>
        <v>34700</v>
      </c>
      <c r="AB1117" s="338"/>
    </row>
    <row r="1118" spans="27:28" x14ac:dyDescent="0.3">
      <c r="AA1118" s="338">
        <f t="shared" si="17"/>
        <v>34700</v>
      </c>
      <c r="AB1118" s="338"/>
    </row>
    <row r="1119" spans="27:28" x14ac:dyDescent="0.3">
      <c r="AA1119" s="338">
        <f t="shared" si="17"/>
        <v>34700</v>
      </c>
      <c r="AB1119" s="338"/>
    </row>
    <row r="1120" spans="27:28" x14ac:dyDescent="0.3">
      <c r="AA1120" s="338">
        <f t="shared" si="17"/>
        <v>34700</v>
      </c>
      <c r="AB1120" s="338"/>
    </row>
    <row r="1121" spans="27:28" x14ac:dyDescent="0.3">
      <c r="AA1121" s="338">
        <f t="shared" si="17"/>
        <v>34700</v>
      </c>
      <c r="AB1121" s="338"/>
    </row>
    <row r="1122" spans="27:28" x14ac:dyDescent="0.3">
      <c r="AA1122" s="338">
        <f t="shared" si="17"/>
        <v>34700</v>
      </c>
      <c r="AB1122" s="338"/>
    </row>
    <row r="1123" spans="27:28" x14ac:dyDescent="0.3">
      <c r="AA1123" s="338">
        <f t="shared" si="17"/>
        <v>34700</v>
      </c>
      <c r="AB1123" s="338"/>
    </row>
    <row r="1124" spans="27:28" x14ac:dyDescent="0.3">
      <c r="AA1124" s="338">
        <f t="shared" si="17"/>
        <v>34700</v>
      </c>
      <c r="AB1124" s="338"/>
    </row>
    <row r="1125" spans="27:28" x14ac:dyDescent="0.3">
      <c r="AA1125" s="338">
        <f t="shared" si="17"/>
        <v>34700</v>
      </c>
      <c r="AB1125" s="338"/>
    </row>
    <row r="1126" spans="27:28" x14ac:dyDescent="0.3">
      <c r="AA1126" s="338">
        <f t="shared" si="17"/>
        <v>34700</v>
      </c>
      <c r="AB1126" s="338"/>
    </row>
    <row r="1127" spans="27:28" x14ac:dyDescent="0.3">
      <c r="AA1127" s="338">
        <f t="shared" si="17"/>
        <v>34700</v>
      </c>
      <c r="AB1127" s="338"/>
    </row>
    <row r="1128" spans="27:28" x14ac:dyDescent="0.3">
      <c r="AA1128" s="338">
        <f t="shared" si="17"/>
        <v>34700</v>
      </c>
      <c r="AB1128" s="338"/>
    </row>
    <row r="1129" spans="27:28" x14ac:dyDescent="0.3">
      <c r="AA1129" s="338">
        <f t="shared" si="17"/>
        <v>34700</v>
      </c>
      <c r="AB1129" s="338"/>
    </row>
    <row r="1130" spans="27:28" x14ac:dyDescent="0.3">
      <c r="AA1130" s="338">
        <f t="shared" si="17"/>
        <v>34700</v>
      </c>
      <c r="AB1130" s="338"/>
    </row>
    <row r="1131" spans="27:28" x14ac:dyDescent="0.3">
      <c r="AA1131" s="338">
        <f t="shared" si="17"/>
        <v>34700</v>
      </c>
      <c r="AB1131" s="338"/>
    </row>
    <row r="1132" spans="27:28" x14ac:dyDescent="0.3">
      <c r="AA1132" s="338">
        <f t="shared" si="17"/>
        <v>34700</v>
      </c>
      <c r="AB1132" s="338"/>
    </row>
    <row r="1133" spans="27:28" x14ac:dyDescent="0.3">
      <c r="AA1133" s="338">
        <f t="shared" si="17"/>
        <v>34700</v>
      </c>
      <c r="AB1133" s="338"/>
    </row>
    <row r="1134" spans="27:28" x14ac:dyDescent="0.3">
      <c r="AA1134" s="338">
        <f t="shared" si="17"/>
        <v>34700</v>
      </c>
      <c r="AB1134" s="338"/>
    </row>
    <row r="1135" spans="27:28" x14ac:dyDescent="0.3">
      <c r="AA1135" s="338">
        <f t="shared" si="17"/>
        <v>34700</v>
      </c>
      <c r="AB1135" s="338"/>
    </row>
    <row r="1136" spans="27:28" x14ac:dyDescent="0.3">
      <c r="AA1136" s="338">
        <f t="shared" si="17"/>
        <v>34700</v>
      </c>
      <c r="AB1136" s="338"/>
    </row>
    <row r="1137" spans="27:28" x14ac:dyDescent="0.3">
      <c r="AA1137" s="338">
        <f t="shared" si="17"/>
        <v>34700</v>
      </c>
      <c r="AB1137" s="338"/>
    </row>
    <row r="1138" spans="27:28" x14ac:dyDescent="0.3">
      <c r="AA1138" s="338">
        <f t="shared" si="17"/>
        <v>34700</v>
      </c>
      <c r="AB1138" s="338"/>
    </row>
    <row r="1139" spans="27:28" x14ac:dyDescent="0.3">
      <c r="AA1139" s="338">
        <f t="shared" si="17"/>
        <v>34700</v>
      </c>
      <c r="AB1139" s="338"/>
    </row>
    <row r="1140" spans="27:28" x14ac:dyDescent="0.3">
      <c r="AA1140" s="338">
        <f t="shared" si="17"/>
        <v>34700</v>
      </c>
      <c r="AB1140" s="338"/>
    </row>
    <row r="1141" spans="27:28" x14ac:dyDescent="0.3">
      <c r="AA1141" s="338">
        <f t="shared" si="17"/>
        <v>34700</v>
      </c>
      <c r="AB1141" s="338"/>
    </row>
    <row r="1142" spans="27:28" x14ac:dyDescent="0.3">
      <c r="AA1142" s="338">
        <f t="shared" si="17"/>
        <v>34700</v>
      </c>
      <c r="AB1142" s="338"/>
    </row>
    <row r="1143" spans="27:28" x14ac:dyDescent="0.3">
      <c r="AA1143" s="338">
        <f t="shared" si="17"/>
        <v>34700</v>
      </c>
      <c r="AB1143" s="338"/>
    </row>
    <row r="1144" spans="27:28" x14ac:dyDescent="0.3">
      <c r="AA1144" s="338">
        <f t="shared" si="17"/>
        <v>34700</v>
      </c>
      <c r="AB1144" s="338"/>
    </row>
    <row r="1145" spans="27:28" x14ac:dyDescent="0.3">
      <c r="AA1145" s="338">
        <f t="shared" si="17"/>
        <v>34700</v>
      </c>
      <c r="AB1145" s="338"/>
    </row>
    <row r="1146" spans="27:28" x14ac:dyDescent="0.3">
      <c r="AA1146" s="338">
        <f t="shared" si="17"/>
        <v>34700</v>
      </c>
      <c r="AB1146" s="338"/>
    </row>
    <row r="1147" spans="27:28" x14ac:dyDescent="0.3">
      <c r="AA1147" s="338">
        <f t="shared" si="17"/>
        <v>34700</v>
      </c>
      <c r="AB1147" s="338"/>
    </row>
    <row r="1148" spans="27:28" x14ac:dyDescent="0.3">
      <c r="AA1148" s="338">
        <f t="shared" si="17"/>
        <v>34700</v>
      </c>
      <c r="AB1148" s="338"/>
    </row>
    <row r="1149" spans="27:28" x14ac:dyDescent="0.3">
      <c r="AA1149" s="338">
        <f t="shared" si="17"/>
        <v>34700</v>
      </c>
      <c r="AB1149" s="338"/>
    </row>
    <row r="1150" spans="27:28" x14ac:dyDescent="0.3">
      <c r="AA1150" s="338">
        <f t="shared" si="17"/>
        <v>34700</v>
      </c>
      <c r="AB1150" s="338"/>
    </row>
    <row r="1151" spans="27:28" x14ac:dyDescent="0.3">
      <c r="AA1151" s="338">
        <f t="shared" si="17"/>
        <v>34700</v>
      </c>
      <c r="AB1151" s="338"/>
    </row>
    <row r="1152" spans="27:28" x14ac:dyDescent="0.3">
      <c r="AA1152" s="338">
        <f t="shared" si="17"/>
        <v>34700</v>
      </c>
      <c r="AB1152" s="338"/>
    </row>
    <row r="1153" spans="27:28" x14ac:dyDescent="0.3">
      <c r="AA1153" s="338">
        <f t="shared" ref="AA1153:AA1216" si="18">IFERROR(
IF(ISNUMBER(C1153),C1153,DATE(VALUE(RIGHT(C1153,4)),VALUE(MID(SUBSTITUTE(C1153,"/","-"),FIND("-",SUBSTITUTE(C1153,"/","-"))+1,FIND("-",SUBSTITUTE(C1153,"/","-"),FIND("-",SUBSTITUTE(C1153,"/","-"))+1)-FIND("-",SUBSTITUTE(C1153,"/","-"))-1)),VALUE(LEFT(SUBSTITUTE(C1153,"/","-"),FIND("-",SUBSTITUTE(C1153,"/","-"))-1)))),
DATE(1995,1,1)
)</f>
        <v>34700</v>
      </c>
      <c r="AB1153" s="338"/>
    </row>
    <row r="1154" spans="27:28" x14ac:dyDescent="0.3">
      <c r="AA1154" s="338">
        <f t="shared" si="18"/>
        <v>34700</v>
      </c>
      <c r="AB1154" s="338"/>
    </row>
    <row r="1155" spans="27:28" x14ac:dyDescent="0.3">
      <c r="AA1155" s="338">
        <f t="shared" si="18"/>
        <v>34700</v>
      </c>
      <c r="AB1155" s="338"/>
    </row>
    <row r="1156" spans="27:28" x14ac:dyDescent="0.3">
      <c r="AA1156" s="338">
        <f t="shared" si="18"/>
        <v>34700</v>
      </c>
      <c r="AB1156" s="338"/>
    </row>
    <row r="1157" spans="27:28" x14ac:dyDescent="0.3">
      <c r="AA1157" s="338">
        <f t="shared" si="18"/>
        <v>34700</v>
      </c>
      <c r="AB1157" s="338"/>
    </row>
    <row r="1158" spans="27:28" x14ac:dyDescent="0.3">
      <c r="AA1158" s="338">
        <f t="shared" si="18"/>
        <v>34700</v>
      </c>
      <c r="AB1158" s="338"/>
    </row>
    <row r="1159" spans="27:28" x14ac:dyDescent="0.3">
      <c r="AA1159" s="338">
        <f t="shared" si="18"/>
        <v>34700</v>
      </c>
      <c r="AB1159" s="338"/>
    </row>
    <row r="1160" spans="27:28" x14ac:dyDescent="0.3">
      <c r="AA1160" s="338">
        <f t="shared" si="18"/>
        <v>34700</v>
      </c>
      <c r="AB1160" s="338"/>
    </row>
    <row r="1161" spans="27:28" x14ac:dyDescent="0.3">
      <c r="AA1161" s="338">
        <f t="shared" si="18"/>
        <v>34700</v>
      </c>
      <c r="AB1161" s="338"/>
    </row>
    <row r="1162" spans="27:28" x14ac:dyDescent="0.3">
      <c r="AA1162" s="338">
        <f t="shared" si="18"/>
        <v>34700</v>
      </c>
      <c r="AB1162" s="338"/>
    </row>
    <row r="1163" spans="27:28" x14ac:dyDescent="0.3">
      <c r="AA1163" s="338">
        <f t="shared" si="18"/>
        <v>34700</v>
      </c>
      <c r="AB1163" s="338"/>
    </row>
    <row r="1164" spans="27:28" x14ac:dyDescent="0.3">
      <c r="AA1164" s="338">
        <f t="shared" si="18"/>
        <v>34700</v>
      </c>
      <c r="AB1164" s="338"/>
    </row>
    <row r="1165" spans="27:28" x14ac:dyDescent="0.3">
      <c r="AA1165" s="338">
        <f t="shared" si="18"/>
        <v>34700</v>
      </c>
      <c r="AB1165" s="338"/>
    </row>
    <row r="1166" spans="27:28" x14ac:dyDescent="0.3">
      <c r="AA1166" s="338">
        <f t="shared" si="18"/>
        <v>34700</v>
      </c>
      <c r="AB1166" s="338"/>
    </row>
    <row r="1167" spans="27:28" x14ac:dyDescent="0.3">
      <c r="AA1167" s="338">
        <f t="shared" si="18"/>
        <v>34700</v>
      </c>
      <c r="AB1167" s="338"/>
    </row>
    <row r="1168" spans="27:28" x14ac:dyDescent="0.3">
      <c r="AA1168" s="338">
        <f t="shared" si="18"/>
        <v>34700</v>
      </c>
      <c r="AB1168" s="338"/>
    </row>
    <row r="1169" spans="27:28" x14ac:dyDescent="0.3">
      <c r="AA1169" s="338">
        <f t="shared" si="18"/>
        <v>34700</v>
      </c>
      <c r="AB1169" s="338"/>
    </row>
    <row r="1170" spans="27:28" x14ac:dyDescent="0.3">
      <c r="AA1170" s="338">
        <f t="shared" si="18"/>
        <v>34700</v>
      </c>
      <c r="AB1170" s="338"/>
    </row>
    <row r="1171" spans="27:28" x14ac:dyDescent="0.3">
      <c r="AA1171" s="338">
        <f t="shared" si="18"/>
        <v>34700</v>
      </c>
      <c r="AB1171" s="338"/>
    </row>
    <row r="1172" spans="27:28" x14ac:dyDescent="0.3">
      <c r="AA1172" s="338">
        <f t="shared" si="18"/>
        <v>34700</v>
      </c>
      <c r="AB1172" s="338"/>
    </row>
    <row r="1173" spans="27:28" x14ac:dyDescent="0.3">
      <c r="AA1173" s="338">
        <f t="shared" si="18"/>
        <v>34700</v>
      </c>
      <c r="AB1173" s="338"/>
    </row>
    <row r="1174" spans="27:28" x14ac:dyDescent="0.3">
      <c r="AA1174" s="338">
        <f t="shared" si="18"/>
        <v>34700</v>
      </c>
      <c r="AB1174" s="338"/>
    </row>
    <row r="1175" spans="27:28" x14ac:dyDescent="0.3">
      <c r="AA1175" s="338">
        <f t="shared" si="18"/>
        <v>34700</v>
      </c>
      <c r="AB1175" s="338"/>
    </row>
    <row r="1176" spans="27:28" x14ac:dyDescent="0.3">
      <c r="AA1176" s="338">
        <f t="shared" si="18"/>
        <v>34700</v>
      </c>
      <c r="AB1176" s="338"/>
    </row>
    <row r="1177" spans="27:28" x14ac:dyDescent="0.3">
      <c r="AA1177" s="338">
        <f t="shared" si="18"/>
        <v>34700</v>
      </c>
      <c r="AB1177" s="338"/>
    </row>
    <row r="1178" spans="27:28" x14ac:dyDescent="0.3">
      <c r="AA1178" s="338">
        <f t="shared" si="18"/>
        <v>34700</v>
      </c>
      <c r="AB1178" s="338"/>
    </row>
    <row r="1179" spans="27:28" x14ac:dyDescent="0.3">
      <c r="AA1179" s="338">
        <f t="shared" si="18"/>
        <v>34700</v>
      </c>
      <c r="AB1179" s="338"/>
    </row>
    <row r="1180" spans="27:28" x14ac:dyDescent="0.3">
      <c r="AA1180" s="338">
        <f t="shared" si="18"/>
        <v>34700</v>
      </c>
      <c r="AB1180" s="338"/>
    </row>
    <row r="1181" spans="27:28" x14ac:dyDescent="0.3">
      <c r="AA1181" s="338">
        <f t="shared" si="18"/>
        <v>34700</v>
      </c>
      <c r="AB1181" s="338"/>
    </row>
    <row r="1182" spans="27:28" x14ac:dyDescent="0.3">
      <c r="AA1182" s="338">
        <f t="shared" si="18"/>
        <v>34700</v>
      </c>
      <c r="AB1182" s="338"/>
    </row>
    <row r="1183" spans="27:28" x14ac:dyDescent="0.3">
      <c r="AA1183" s="338">
        <f t="shared" si="18"/>
        <v>34700</v>
      </c>
      <c r="AB1183" s="338"/>
    </row>
    <row r="1184" spans="27:28" x14ac:dyDescent="0.3">
      <c r="AA1184" s="338">
        <f t="shared" si="18"/>
        <v>34700</v>
      </c>
      <c r="AB1184" s="338"/>
    </row>
    <row r="1185" spans="27:28" x14ac:dyDescent="0.3">
      <c r="AA1185" s="338">
        <f t="shared" si="18"/>
        <v>34700</v>
      </c>
      <c r="AB1185" s="338"/>
    </row>
    <row r="1186" spans="27:28" x14ac:dyDescent="0.3">
      <c r="AA1186" s="338">
        <f t="shared" si="18"/>
        <v>34700</v>
      </c>
      <c r="AB1186" s="338"/>
    </row>
    <row r="1187" spans="27:28" x14ac:dyDescent="0.3">
      <c r="AA1187" s="338">
        <f t="shared" si="18"/>
        <v>34700</v>
      </c>
      <c r="AB1187" s="338"/>
    </row>
    <row r="1188" spans="27:28" x14ac:dyDescent="0.3">
      <c r="AA1188" s="338">
        <f t="shared" si="18"/>
        <v>34700</v>
      </c>
      <c r="AB1188" s="338"/>
    </row>
    <row r="1189" spans="27:28" x14ac:dyDescent="0.3">
      <c r="AA1189" s="338">
        <f t="shared" si="18"/>
        <v>34700</v>
      </c>
      <c r="AB1189" s="338"/>
    </row>
    <row r="1190" spans="27:28" x14ac:dyDescent="0.3">
      <c r="AA1190" s="338">
        <f t="shared" si="18"/>
        <v>34700</v>
      </c>
      <c r="AB1190" s="338"/>
    </row>
    <row r="1191" spans="27:28" x14ac:dyDescent="0.3">
      <c r="AA1191" s="338">
        <f t="shared" si="18"/>
        <v>34700</v>
      </c>
      <c r="AB1191" s="338"/>
    </row>
    <row r="1192" spans="27:28" x14ac:dyDescent="0.3">
      <c r="AA1192" s="338">
        <f t="shared" si="18"/>
        <v>34700</v>
      </c>
      <c r="AB1192" s="338"/>
    </row>
    <row r="1193" spans="27:28" x14ac:dyDescent="0.3">
      <c r="AA1193" s="338">
        <f t="shared" si="18"/>
        <v>34700</v>
      </c>
      <c r="AB1193" s="338"/>
    </row>
    <row r="1194" spans="27:28" x14ac:dyDescent="0.3">
      <c r="AA1194" s="338">
        <f t="shared" si="18"/>
        <v>34700</v>
      </c>
      <c r="AB1194" s="338"/>
    </row>
    <row r="1195" spans="27:28" x14ac:dyDescent="0.3">
      <c r="AA1195" s="338">
        <f t="shared" si="18"/>
        <v>34700</v>
      </c>
      <c r="AB1195" s="338"/>
    </row>
    <row r="1196" spans="27:28" x14ac:dyDescent="0.3">
      <c r="AA1196" s="338">
        <f t="shared" si="18"/>
        <v>34700</v>
      </c>
      <c r="AB1196" s="338"/>
    </row>
    <row r="1197" spans="27:28" x14ac:dyDescent="0.3">
      <c r="AA1197" s="338">
        <f t="shared" si="18"/>
        <v>34700</v>
      </c>
      <c r="AB1197" s="338"/>
    </row>
    <row r="1198" spans="27:28" x14ac:dyDescent="0.3">
      <c r="AA1198" s="338">
        <f t="shared" si="18"/>
        <v>34700</v>
      </c>
      <c r="AB1198" s="338"/>
    </row>
    <row r="1199" spans="27:28" x14ac:dyDescent="0.3">
      <c r="AA1199" s="338">
        <f t="shared" si="18"/>
        <v>34700</v>
      </c>
      <c r="AB1199" s="338"/>
    </row>
    <row r="1200" spans="27:28" x14ac:dyDescent="0.3">
      <c r="AA1200" s="338">
        <f t="shared" si="18"/>
        <v>34700</v>
      </c>
      <c r="AB1200" s="338"/>
    </row>
    <row r="1201" spans="27:28" x14ac:dyDescent="0.3">
      <c r="AA1201" s="338">
        <f t="shared" si="18"/>
        <v>34700</v>
      </c>
      <c r="AB1201" s="338"/>
    </row>
    <row r="1202" spans="27:28" x14ac:dyDescent="0.3">
      <c r="AA1202" s="338">
        <f t="shared" si="18"/>
        <v>34700</v>
      </c>
      <c r="AB1202" s="338"/>
    </row>
    <row r="1203" spans="27:28" x14ac:dyDescent="0.3">
      <c r="AA1203" s="338">
        <f t="shared" si="18"/>
        <v>34700</v>
      </c>
      <c r="AB1203" s="338"/>
    </row>
    <row r="1204" spans="27:28" x14ac:dyDescent="0.3">
      <c r="AA1204" s="338">
        <f t="shared" si="18"/>
        <v>34700</v>
      </c>
      <c r="AB1204" s="338"/>
    </row>
    <row r="1205" spans="27:28" x14ac:dyDescent="0.3">
      <c r="AA1205" s="338">
        <f t="shared" si="18"/>
        <v>34700</v>
      </c>
      <c r="AB1205" s="338"/>
    </row>
    <row r="1206" spans="27:28" x14ac:dyDescent="0.3">
      <c r="AA1206" s="338">
        <f t="shared" si="18"/>
        <v>34700</v>
      </c>
      <c r="AB1206" s="338"/>
    </row>
    <row r="1207" spans="27:28" x14ac:dyDescent="0.3">
      <c r="AA1207" s="338">
        <f t="shared" si="18"/>
        <v>34700</v>
      </c>
      <c r="AB1207" s="338"/>
    </row>
    <row r="1208" spans="27:28" x14ac:dyDescent="0.3">
      <c r="AA1208" s="338">
        <f t="shared" si="18"/>
        <v>34700</v>
      </c>
      <c r="AB1208" s="338"/>
    </row>
    <row r="1209" spans="27:28" x14ac:dyDescent="0.3">
      <c r="AA1209" s="338">
        <f t="shared" si="18"/>
        <v>34700</v>
      </c>
      <c r="AB1209" s="338"/>
    </row>
    <row r="1210" spans="27:28" x14ac:dyDescent="0.3">
      <c r="AA1210" s="338">
        <f t="shared" si="18"/>
        <v>34700</v>
      </c>
      <c r="AB1210" s="338"/>
    </row>
    <row r="1211" spans="27:28" x14ac:dyDescent="0.3">
      <c r="AA1211" s="338">
        <f t="shared" si="18"/>
        <v>34700</v>
      </c>
      <c r="AB1211" s="338"/>
    </row>
    <row r="1212" spans="27:28" x14ac:dyDescent="0.3">
      <c r="AA1212" s="338">
        <f t="shared" si="18"/>
        <v>34700</v>
      </c>
      <c r="AB1212" s="338"/>
    </row>
    <row r="1213" spans="27:28" x14ac:dyDescent="0.3">
      <c r="AA1213" s="338">
        <f t="shared" si="18"/>
        <v>34700</v>
      </c>
      <c r="AB1213" s="338"/>
    </row>
    <row r="1214" spans="27:28" x14ac:dyDescent="0.3">
      <c r="AA1214" s="338">
        <f t="shared" si="18"/>
        <v>34700</v>
      </c>
      <c r="AB1214" s="338"/>
    </row>
    <row r="1215" spans="27:28" x14ac:dyDescent="0.3">
      <c r="AA1215" s="338">
        <f t="shared" si="18"/>
        <v>34700</v>
      </c>
      <c r="AB1215" s="338"/>
    </row>
    <row r="1216" spans="27:28" x14ac:dyDescent="0.3">
      <c r="AA1216" s="338">
        <f t="shared" si="18"/>
        <v>34700</v>
      </c>
      <c r="AB1216" s="338"/>
    </row>
    <row r="1217" spans="27:28" x14ac:dyDescent="0.3">
      <c r="AA1217" s="338">
        <f t="shared" ref="AA1217:AA1280" si="19">IFERROR(
IF(ISNUMBER(C1217),C1217,DATE(VALUE(RIGHT(C1217,4)),VALUE(MID(SUBSTITUTE(C1217,"/","-"),FIND("-",SUBSTITUTE(C1217,"/","-"))+1,FIND("-",SUBSTITUTE(C1217,"/","-"),FIND("-",SUBSTITUTE(C1217,"/","-"))+1)-FIND("-",SUBSTITUTE(C1217,"/","-"))-1)),VALUE(LEFT(SUBSTITUTE(C1217,"/","-"),FIND("-",SUBSTITUTE(C1217,"/","-"))-1)))),
DATE(1995,1,1)
)</f>
        <v>34700</v>
      </c>
      <c r="AB1217" s="338"/>
    </row>
    <row r="1218" spans="27:28" x14ac:dyDescent="0.3">
      <c r="AA1218" s="338">
        <f t="shared" si="19"/>
        <v>34700</v>
      </c>
      <c r="AB1218" s="338"/>
    </row>
    <row r="1219" spans="27:28" x14ac:dyDescent="0.3">
      <c r="AA1219" s="338">
        <f t="shared" si="19"/>
        <v>34700</v>
      </c>
      <c r="AB1219" s="338"/>
    </row>
    <row r="1220" spans="27:28" x14ac:dyDescent="0.3">
      <c r="AA1220" s="338">
        <f t="shared" si="19"/>
        <v>34700</v>
      </c>
      <c r="AB1220" s="338"/>
    </row>
    <row r="1221" spans="27:28" x14ac:dyDescent="0.3">
      <c r="AA1221" s="338">
        <f t="shared" si="19"/>
        <v>34700</v>
      </c>
      <c r="AB1221" s="338"/>
    </row>
    <row r="1222" spans="27:28" x14ac:dyDescent="0.3">
      <c r="AA1222" s="338">
        <f t="shared" si="19"/>
        <v>34700</v>
      </c>
      <c r="AB1222" s="338"/>
    </row>
    <row r="1223" spans="27:28" x14ac:dyDescent="0.3">
      <c r="AA1223" s="338">
        <f t="shared" si="19"/>
        <v>34700</v>
      </c>
      <c r="AB1223" s="338"/>
    </row>
    <row r="1224" spans="27:28" x14ac:dyDescent="0.3">
      <c r="AA1224" s="338">
        <f t="shared" si="19"/>
        <v>34700</v>
      </c>
      <c r="AB1224" s="338"/>
    </row>
    <row r="1225" spans="27:28" x14ac:dyDescent="0.3">
      <c r="AA1225" s="338">
        <f t="shared" si="19"/>
        <v>34700</v>
      </c>
      <c r="AB1225" s="338"/>
    </row>
    <row r="1226" spans="27:28" x14ac:dyDescent="0.3">
      <c r="AA1226" s="338">
        <f t="shared" si="19"/>
        <v>34700</v>
      </c>
      <c r="AB1226" s="338"/>
    </row>
    <row r="1227" spans="27:28" x14ac:dyDescent="0.3">
      <c r="AA1227" s="338">
        <f t="shared" si="19"/>
        <v>34700</v>
      </c>
      <c r="AB1227" s="338"/>
    </row>
    <row r="1228" spans="27:28" x14ac:dyDescent="0.3">
      <c r="AA1228" s="338">
        <f t="shared" si="19"/>
        <v>34700</v>
      </c>
      <c r="AB1228" s="338"/>
    </row>
    <row r="1229" spans="27:28" x14ac:dyDescent="0.3">
      <c r="AA1229" s="338">
        <f t="shared" si="19"/>
        <v>34700</v>
      </c>
      <c r="AB1229" s="338"/>
    </row>
    <row r="1230" spans="27:28" x14ac:dyDescent="0.3">
      <c r="AA1230" s="338">
        <f t="shared" si="19"/>
        <v>34700</v>
      </c>
      <c r="AB1230" s="338"/>
    </row>
    <row r="1231" spans="27:28" x14ac:dyDescent="0.3">
      <c r="AA1231" s="338">
        <f t="shared" si="19"/>
        <v>34700</v>
      </c>
      <c r="AB1231" s="338"/>
    </row>
    <row r="1232" spans="27:28" x14ac:dyDescent="0.3">
      <c r="AA1232" s="338">
        <f t="shared" si="19"/>
        <v>34700</v>
      </c>
      <c r="AB1232" s="338"/>
    </row>
    <row r="1233" spans="27:28" x14ac:dyDescent="0.3">
      <c r="AA1233" s="338">
        <f t="shared" si="19"/>
        <v>34700</v>
      </c>
      <c r="AB1233" s="338"/>
    </row>
    <row r="1234" spans="27:28" x14ac:dyDescent="0.3">
      <c r="AA1234" s="338">
        <f t="shared" si="19"/>
        <v>34700</v>
      </c>
      <c r="AB1234" s="338"/>
    </row>
    <row r="1235" spans="27:28" x14ac:dyDescent="0.3">
      <c r="AA1235" s="338">
        <f t="shared" si="19"/>
        <v>34700</v>
      </c>
      <c r="AB1235" s="338"/>
    </row>
    <row r="1236" spans="27:28" x14ac:dyDescent="0.3">
      <c r="AA1236" s="338">
        <f t="shared" si="19"/>
        <v>34700</v>
      </c>
      <c r="AB1236" s="338"/>
    </row>
    <row r="1237" spans="27:28" x14ac:dyDescent="0.3">
      <c r="AA1237" s="338">
        <f t="shared" si="19"/>
        <v>34700</v>
      </c>
      <c r="AB1237" s="338"/>
    </row>
    <row r="1238" spans="27:28" x14ac:dyDescent="0.3">
      <c r="AA1238" s="338">
        <f t="shared" si="19"/>
        <v>34700</v>
      </c>
      <c r="AB1238" s="338"/>
    </row>
    <row r="1239" spans="27:28" x14ac:dyDescent="0.3">
      <c r="AA1239" s="338">
        <f t="shared" si="19"/>
        <v>34700</v>
      </c>
      <c r="AB1239" s="338"/>
    </row>
    <row r="1240" spans="27:28" x14ac:dyDescent="0.3">
      <c r="AA1240" s="338">
        <f t="shared" si="19"/>
        <v>34700</v>
      </c>
      <c r="AB1240" s="338"/>
    </row>
    <row r="1241" spans="27:28" x14ac:dyDescent="0.3">
      <c r="AA1241" s="338">
        <f t="shared" si="19"/>
        <v>34700</v>
      </c>
      <c r="AB1241" s="338"/>
    </row>
    <row r="1242" spans="27:28" x14ac:dyDescent="0.3">
      <c r="AA1242" s="338">
        <f t="shared" si="19"/>
        <v>34700</v>
      </c>
      <c r="AB1242" s="338"/>
    </row>
    <row r="1243" spans="27:28" x14ac:dyDescent="0.3">
      <c r="AA1243" s="338">
        <f t="shared" si="19"/>
        <v>34700</v>
      </c>
      <c r="AB1243" s="338"/>
    </row>
    <row r="1244" spans="27:28" x14ac:dyDescent="0.3">
      <c r="AA1244" s="338">
        <f t="shared" si="19"/>
        <v>34700</v>
      </c>
      <c r="AB1244" s="338"/>
    </row>
    <row r="1245" spans="27:28" x14ac:dyDescent="0.3">
      <c r="AA1245" s="338">
        <f t="shared" si="19"/>
        <v>34700</v>
      </c>
      <c r="AB1245" s="338"/>
    </row>
    <row r="1246" spans="27:28" x14ac:dyDescent="0.3">
      <c r="AA1246" s="338">
        <f t="shared" si="19"/>
        <v>34700</v>
      </c>
      <c r="AB1246" s="338"/>
    </row>
    <row r="1247" spans="27:28" x14ac:dyDescent="0.3">
      <c r="AA1247" s="338">
        <f t="shared" si="19"/>
        <v>34700</v>
      </c>
      <c r="AB1247" s="338"/>
    </row>
    <row r="1248" spans="27:28" x14ac:dyDescent="0.3">
      <c r="AA1248" s="338">
        <f t="shared" si="19"/>
        <v>34700</v>
      </c>
      <c r="AB1248" s="338"/>
    </row>
    <row r="1249" spans="27:28" x14ac:dyDescent="0.3">
      <c r="AA1249" s="338">
        <f t="shared" si="19"/>
        <v>34700</v>
      </c>
      <c r="AB1249" s="338"/>
    </row>
    <row r="1250" spans="27:28" x14ac:dyDescent="0.3">
      <c r="AA1250" s="338">
        <f t="shared" si="19"/>
        <v>34700</v>
      </c>
      <c r="AB1250" s="338"/>
    </row>
    <row r="1251" spans="27:28" x14ac:dyDescent="0.3">
      <c r="AA1251" s="338">
        <f t="shared" si="19"/>
        <v>34700</v>
      </c>
      <c r="AB1251" s="338"/>
    </row>
    <row r="1252" spans="27:28" x14ac:dyDescent="0.3">
      <c r="AA1252" s="338">
        <f t="shared" si="19"/>
        <v>34700</v>
      </c>
      <c r="AB1252" s="338"/>
    </row>
    <row r="1253" spans="27:28" x14ac:dyDescent="0.3">
      <c r="AA1253" s="338">
        <f t="shared" si="19"/>
        <v>34700</v>
      </c>
      <c r="AB1253" s="338"/>
    </row>
    <row r="1254" spans="27:28" x14ac:dyDescent="0.3">
      <c r="AA1254" s="338">
        <f t="shared" si="19"/>
        <v>34700</v>
      </c>
      <c r="AB1254" s="338"/>
    </row>
    <row r="1255" spans="27:28" x14ac:dyDescent="0.3">
      <c r="AA1255" s="338">
        <f t="shared" si="19"/>
        <v>34700</v>
      </c>
      <c r="AB1255" s="338"/>
    </row>
    <row r="1256" spans="27:28" x14ac:dyDescent="0.3">
      <c r="AA1256" s="338">
        <f t="shared" si="19"/>
        <v>34700</v>
      </c>
      <c r="AB1256" s="338"/>
    </row>
    <row r="1257" spans="27:28" x14ac:dyDescent="0.3">
      <c r="AA1257" s="338">
        <f t="shared" si="19"/>
        <v>34700</v>
      </c>
      <c r="AB1257" s="338"/>
    </row>
    <row r="1258" spans="27:28" x14ac:dyDescent="0.3">
      <c r="AA1258" s="338">
        <f t="shared" si="19"/>
        <v>34700</v>
      </c>
      <c r="AB1258" s="338"/>
    </row>
    <row r="1259" spans="27:28" x14ac:dyDescent="0.3">
      <c r="AA1259" s="338">
        <f t="shared" si="19"/>
        <v>34700</v>
      </c>
      <c r="AB1259" s="338"/>
    </row>
    <row r="1260" spans="27:28" x14ac:dyDescent="0.3">
      <c r="AA1260" s="338">
        <f t="shared" si="19"/>
        <v>34700</v>
      </c>
      <c r="AB1260" s="338"/>
    </row>
    <row r="1261" spans="27:28" x14ac:dyDescent="0.3">
      <c r="AA1261" s="338">
        <f t="shared" si="19"/>
        <v>34700</v>
      </c>
      <c r="AB1261" s="338"/>
    </row>
    <row r="1262" spans="27:28" x14ac:dyDescent="0.3">
      <c r="AA1262" s="338">
        <f t="shared" si="19"/>
        <v>34700</v>
      </c>
      <c r="AB1262" s="338"/>
    </row>
    <row r="1263" spans="27:28" x14ac:dyDescent="0.3">
      <c r="AA1263" s="338">
        <f t="shared" si="19"/>
        <v>34700</v>
      </c>
      <c r="AB1263" s="338"/>
    </row>
    <row r="1264" spans="27:28" x14ac:dyDescent="0.3">
      <c r="AA1264" s="338">
        <f t="shared" si="19"/>
        <v>34700</v>
      </c>
      <c r="AB1264" s="338"/>
    </row>
    <row r="1265" spans="27:28" x14ac:dyDescent="0.3">
      <c r="AA1265" s="338">
        <f t="shared" si="19"/>
        <v>34700</v>
      </c>
      <c r="AB1265" s="338"/>
    </row>
    <row r="1266" spans="27:28" x14ac:dyDescent="0.3">
      <c r="AA1266" s="338">
        <f t="shared" si="19"/>
        <v>34700</v>
      </c>
      <c r="AB1266" s="338"/>
    </row>
    <row r="1267" spans="27:28" x14ac:dyDescent="0.3">
      <c r="AA1267" s="338">
        <f t="shared" si="19"/>
        <v>34700</v>
      </c>
      <c r="AB1267" s="338"/>
    </row>
    <row r="1268" spans="27:28" x14ac:dyDescent="0.3">
      <c r="AA1268" s="338">
        <f t="shared" si="19"/>
        <v>34700</v>
      </c>
      <c r="AB1268" s="338"/>
    </row>
    <row r="1269" spans="27:28" x14ac:dyDescent="0.3">
      <c r="AA1269" s="338">
        <f t="shared" si="19"/>
        <v>34700</v>
      </c>
      <c r="AB1269" s="338"/>
    </row>
    <row r="1270" spans="27:28" x14ac:dyDescent="0.3">
      <c r="AA1270" s="338">
        <f t="shared" si="19"/>
        <v>34700</v>
      </c>
      <c r="AB1270" s="338"/>
    </row>
    <row r="1271" spans="27:28" x14ac:dyDescent="0.3">
      <c r="AA1271" s="338">
        <f t="shared" si="19"/>
        <v>34700</v>
      </c>
      <c r="AB1271" s="338"/>
    </row>
    <row r="1272" spans="27:28" x14ac:dyDescent="0.3">
      <c r="AA1272" s="338">
        <f t="shared" si="19"/>
        <v>34700</v>
      </c>
      <c r="AB1272" s="338"/>
    </row>
    <row r="1273" spans="27:28" x14ac:dyDescent="0.3">
      <c r="AA1273" s="338">
        <f t="shared" si="19"/>
        <v>34700</v>
      </c>
      <c r="AB1273" s="338"/>
    </row>
    <row r="1274" spans="27:28" x14ac:dyDescent="0.3">
      <c r="AA1274" s="338">
        <f t="shared" si="19"/>
        <v>34700</v>
      </c>
      <c r="AB1274" s="338"/>
    </row>
    <row r="1275" spans="27:28" x14ac:dyDescent="0.3">
      <c r="AA1275" s="338">
        <f t="shared" si="19"/>
        <v>34700</v>
      </c>
      <c r="AB1275" s="338"/>
    </row>
    <row r="1276" spans="27:28" x14ac:dyDescent="0.3">
      <c r="AA1276" s="338">
        <f t="shared" si="19"/>
        <v>34700</v>
      </c>
      <c r="AB1276" s="338"/>
    </row>
    <row r="1277" spans="27:28" x14ac:dyDescent="0.3">
      <c r="AA1277" s="338">
        <f t="shared" si="19"/>
        <v>34700</v>
      </c>
      <c r="AB1277" s="338"/>
    </row>
    <row r="1278" spans="27:28" x14ac:dyDescent="0.3">
      <c r="AA1278" s="338">
        <f t="shared" si="19"/>
        <v>34700</v>
      </c>
      <c r="AB1278" s="338"/>
    </row>
    <row r="1279" spans="27:28" x14ac:dyDescent="0.3">
      <c r="AA1279" s="338">
        <f t="shared" si="19"/>
        <v>34700</v>
      </c>
      <c r="AB1279" s="338"/>
    </row>
    <row r="1280" spans="27:28" x14ac:dyDescent="0.3">
      <c r="AA1280" s="338">
        <f t="shared" si="19"/>
        <v>34700</v>
      </c>
      <c r="AB1280" s="338"/>
    </row>
    <row r="1281" spans="27:28" x14ac:dyDescent="0.3">
      <c r="AA1281" s="338">
        <f t="shared" ref="AA1281:AA1344" si="20">IFERROR(
IF(ISNUMBER(C1281),C1281,DATE(VALUE(RIGHT(C1281,4)),VALUE(MID(SUBSTITUTE(C1281,"/","-"),FIND("-",SUBSTITUTE(C1281,"/","-"))+1,FIND("-",SUBSTITUTE(C1281,"/","-"),FIND("-",SUBSTITUTE(C1281,"/","-"))+1)-FIND("-",SUBSTITUTE(C1281,"/","-"))-1)),VALUE(LEFT(SUBSTITUTE(C1281,"/","-"),FIND("-",SUBSTITUTE(C1281,"/","-"))-1)))),
DATE(1995,1,1)
)</f>
        <v>34700</v>
      </c>
      <c r="AB1281" s="338"/>
    </row>
    <row r="1282" spans="27:28" x14ac:dyDescent="0.3">
      <c r="AA1282" s="338">
        <f t="shared" si="20"/>
        <v>34700</v>
      </c>
      <c r="AB1282" s="338"/>
    </row>
    <row r="1283" spans="27:28" x14ac:dyDescent="0.3">
      <c r="AA1283" s="338">
        <f t="shared" si="20"/>
        <v>34700</v>
      </c>
      <c r="AB1283" s="338"/>
    </row>
    <row r="1284" spans="27:28" x14ac:dyDescent="0.3">
      <c r="AA1284" s="338">
        <f t="shared" si="20"/>
        <v>34700</v>
      </c>
      <c r="AB1284" s="338"/>
    </row>
    <row r="1285" spans="27:28" x14ac:dyDescent="0.3">
      <c r="AA1285" s="338">
        <f t="shared" si="20"/>
        <v>34700</v>
      </c>
      <c r="AB1285" s="338"/>
    </row>
    <row r="1286" spans="27:28" x14ac:dyDescent="0.3">
      <c r="AA1286" s="338">
        <f t="shared" si="20"/>
        <v>34700</v>
      </c>
      <c r="AB1286" s="338"/>
    </row>
    <row r="1287" spans="27:28" x14ac:dyDescent="0.3">
      <c r="AA1287" s="338">
        <f t="shared" si="20"/>
        <v>34700</v>
      </c>
      <c r="AB1287" s="338"/>
    </row>
    <row r="1288" spans="27:28" x14ac:dyDescent="0.3">
      <c r="AA1288" s="338">
        <f t="shared" si="20"/>
        <v>34700</v>
      </c>
      <c r="AB1288" s="338"/>
    </row>
    <row r="1289" spans="27:28" x14ac:dyDescent="0.3">
      <c r="AA1289" s="338">
        <f t="shared" si="20"/>
        <v>34700</v>
      </c>
      <c r="AB1289" s="338"/>
    </row>
    <row r="1290" spans="27:28" x14ac:dyDescent="0.3">
      <c r="AA1290" s="338">
        <f t="shared" si="20"/>
        <v>34700</v>
      </c>
      <c r="AB1290" s="338"/>
    </row>
    <row r="1291" spans="27:28" x14ac:dyDescent="0.3">
      <c r="AA1291" s="338">
        <f t="shared" si="20"/>
        <v>34700</v>
      </c>
      <c r="AB1291" s="338"/>
    </row>
    <row r="1292" spans="27:28" x14ac:dyDescent="0.3">
      <c r="AA1292" s="338">
        <f t="shared" si="20"/>
        <v>34700</v>
      </c>
      <c r="AB1292" s="338"/>
    </row>
    <row r="1293" spans="27:28" x14ac:dyDescent="0.3">
      <c r="AA1293" s="338">
        <f t="shared" si="20"/>
        <v>34700</v>
      </c>
      <c r="AB1293" s="338"/>
    </row>
    <row r="1294" spans="27:28" x14ac:dyDescent="0.3">
      <c r="AA1294" s="338">
        <f t="shared" si="20"/>
        <v>34700</v>
      </c>
      <c r="AB1294" s="338"/>
    </row>
    <row r="1295" spans="27:28" x14ac:dyDescent="0.3">
      <c r="AA1295" s="338">
        <f t="shared" si="20"/>
        <v>34700</v>
      </c>
      <c r="AB1295" s="338"/>
    </row>
    <row r="1296" spans="27:28" x14ac:dyDescent="0.3">
      <c r="AA1296" s="338">
        <f t="shared" si="20"/>
        <v>34700</v>
      </c>
      <c r="AB1296" s="338"/>
    </row>
    <row r="1297" spans="27:28" x14ac:dyDescent="0.3">
      <c r="AA1297" s="338">
        <f t="shared" si="20"/>
        <v>34700</v>
      </c>
      <c r="AB1297" s="338"/>
    </row>
    <row r="1298" spans="27:28" x14ac:dyDescent="0.3">
      <c r="AA1298" s="338">
        <f t="shared" si="20"/>
        <v>34700</v>
      </c>
      <c r="AB1298" s="338"/>
    </row>
    <row r="1299" spans="27:28" x14ac:dyDescent="0.3">
      <c r="AA1299" s="338">
        <f t="shared" si="20"/>
        <v>34700</v>
      </c>
      <c r="AB1299" s="338"/>
    </row>
    <row r="1300" spans="27:28" x14ac:dyDescent="0.3">
      <c r="AA1300" s="338">
        <f t="shared" si="20"/>
        <v>34700</v>
      </c>
      <c r="AB1300" s="338"/>
    </row>
    <row r="1301" spans="27:28" x14ac:dyDescent="0.3">
      <c r="AA1301" s="338">
        <f t="shared" si="20"/>
        <v>34700</v>
      </c>
      <c r="AB1301" s="338"/>
    </row>
    <row r="1302" spans="27:28" x14ac:dyDescent="0.3">
      <c r="AA1302" s="338">
        <f t="shared" si="20"/>
        <v>34700</v>
      </c>
      <c r="AB1302" s="338"/>
    </row>
    <row r="1303" spans="27:28" x14ac:dyDescent="0.3">
      <c r="AA1303" s="338">
        <f t="shared" si="20"/>
        <v>34700</v>
      </c>
      <c r="AB1303" s="338"/>
    </row>
    <row r="1304" spans="27:28" x14ac:dyDescent="0.3">
      <c r="AA1304" s="338">
        <f t="shared" si="20"/>
        <v>34700</v>
      </c>
      <c r="AB1304" s="338"/>
    </row>
    <row r="1305" spans="27:28" x14ac:dyDescent="0.3">
      <c r="AA1305" s="338">
        <f t="shared" si="20"/>
        <v>34700</v>
      </c>
      <c r="AB1305" s="338"/>
    </row>
    <row r="1306" spans="27:28" x14ac:dyDescent="0.3">
      <c r="AA1306" s="338">
        <f t="shared" si="20"/>
        <v>34700</v>
      </c>
      <c r="AB1306" s="338"/>
    </row>
    <row r="1307" spans="27:28" x14ac:dyDescent="0.3">
      <c r="AA1307" s="338">
        <f t="shared" si="20"/>
        <v>34700</v>
      </c>
      <c r="AB1307" s="338"/>
    </row>
    <row r="1308" spans="27:28" x14ac:dyDescent="0.3">
      <c r="AA1308" s="338">
        <f t="shared" si="20"/>
        <v>34700</v>
      </c>
      <c r="AB1308" s="338"/>
    </row>
    <row r="1309" spans="27:28" x14ac:dyDescent="0.3">
      <c r="AA1309" s="338">
        <f t="shared" si="20"/>
        <v>34700</v>
      </c>
      <c r="AB1309" s="338"/>
    </row>
    <row r="1310" spans="27:28" x14ac:dyDescent="0.3">
      <c r="AA1310" s="338">
        <f t="shared" si="20"/>
        <v>34700</v>
      </c>
      <c r="AB1310" s="338"/>
    </row>
    <row r="1311" spans="27:28" x14ac:dyDescent="0.3">
      <c r="AA1311" s="338">
        <f t="shared" si="20"/>
        <v>34700</v>
      </c>
      <c r="AB1311" s="338"/>
    </row>
    <row r="1312" spans="27:28" x14ac:dyDescent="0.3">
      <c r="AA1312" s="338">
        <f t="shared" si="20"/>
        <v>34700</v>
      </c>
      <c r="AB1312" s="338"/>
    </row>
    <row r="1313" spans="27:28" x14ac:dyDescent="0.3">
      <c r="AA1313" s="338">
        <f t="shared" si="20"/>
        <v>34700</v>
      </c>
      <c r="AB1313" s="338"/>
    </row>
    <row r="1314" spans="27:28" x14ac:dyDescent="0.3">
      <c r="AA1314" s="338">
        <f t="shared" si="20"/>
        <v>34700</v>
      </c>
      <c r="AB1314" s="338"/>
    </row>
    <row r="1315" spans="27:28" x14ac:dyDescent="0.3">
      <c r="AA1315" s="338">
        <f t="shared" si="20"/>
        <v>34700</v>
      </c>
      <c r="AB1315" s="338"/>
    </row>
    <row r="1316" spans="27:28" x14ac:dyDescent="0.3">
      <c r="AA1316" s="338">
        <f t="shared" si="20"/>
        <v>34700</v>
      </c>
      <c r="AB1316" s="338"/>
    </row>
    <row r="1317" spans="27:28" x14ac:dyDescent="0.3">
      <c r="AA1317" s="338">
        <f t="shared" si="20"/>
        <v>34700</v>
      </c>
      <c r="AB1317" s="338"/>
    </row>
    <row r="1318" spans="27:28" x14ac:dyDescent="0.3">
      <c r="AA1318" s="338">
        <f t="shared" si="20"/>
        <v>34700</v>
      </c>
      <c r="AB1318" s="338"/>
    </row>
    <row r="1319" spans="27:28" x14ac:dyDescent="0.3">
      <c r="AA1319" s="338">
        <f t="shared" si="20"/>
        <v>34700</v>
      </c>
      <c r="AB1319" s="338"/>
    </row>
    <row r="1320" spans="27:28" x14ac:dyDescent="0.3">
      <c r="AA1320" s="338">
        <f t="shared" si="20"/>
        <v>34700</v>
      </c>
      <c r="AB1320" s="338"/>
    </row>
    <row r="1321" spans="27:28" x14ac:dyDescent="0.3">
      <c r="AA1321" s="338">
        <f t="shared" si="20"/>
        <v>34700</v>
      </c>
      <c r="AB1321" s="338"/>
    </row>
    <row r="1322" spans="27:28" x14ac:dyDescent="0.3">
      <c r="AA1322" s="338">
        <f t="shared" si="20"/>
        <v>34700</v>
      </c>
      <c r="AB1322" s="338"/>
    </row>
    <row r="1323" spans="27:28" x14ac:dyDescent="0.3">
      <c r="AA1323" s="338">
        <f t="shared" si="20"/>
        <v>34700</v>
      </c>
      <c r="AB1323" s="338"/>
    </row>
    <row r="1324" spans="27:28" x14ac:dyDescent="0.3">
      <c r="AA1324" s="338">
        <f t="shared" si="20"/>
        <v>34700</v>
      </c>
      <c r="AB1324" s="338"/>
    </row>
    <row r="1325" spans="27:28" x14ac:dyDescent="0.3">
      <c r="AA1325" s="338">
        <f t="shared" si="20"/>
        <v>34700</v>
      </c>
      <c r="AB1325" s="338"/>
    </row>
    <row r="1326" spans="27:28" x14ac:dyDescent="0.3">
      <c r="AA1326" s="338">
        <f t="shared" si="20"/>
        <v>34700</v>
      </c>
      <c r="AB1326" s="338"/>
    </row>
    <row r="1327" spans="27:28" x14ac:dyDescent="0.3">
      <c r="AA1327" s="338">
        <f t="shared" si="20"/>
        <v>34700</v>
      </c>
      <c r="AB1327" s="338"/>
    </row>
    <row r="1328" spans="27:28" x14ac:dyDescent="0.3">
      <c r="AA1328" s="338">
        <f t="shared" si="20"/>
        <v>34700</v>
      </c>
      <c r="AB1328" s="338"/>
    </row>
    <row r="1329" spans="27:28" x14ac:dyDescent="0.3">
      <c r="AA1329" s="338">
        <f t="shared" si="20"/>
        <v>34700</v>
      </c>
      <c r="AB1329" s="338"/>
    </row>
    <row r="1330" spans="27:28" x14ac:dyDescent="0.3">
      <c r="AA1330" s="338">
        <f t="shared" si="20"/>
        <v>34700</v>
      </c>
      <c r="AB1330" s="338"/>
    </row>
    <row r="1331" spans="27:28" x14ac:dyDescent="0.3">
      <c r="AA1331" s="338">
        <f t="shared" si="20"/>
        <v>34700</v>
      </c>
      <c r="AB1331" s="338"/>
    </row>
    <row r="1332" spans="27:28" x14ac:dyDescent="0.3">
      <c r="AA1332" s="338">
        <f t="shared" si="20"/>
        <v>34700</v>
      </c>
      <c r="AB1332" s="338"/>
    </row>
    <row r="1333" spans="27:28" x14ac:dyDescent="0.3">
      <c r="AA1333" s="338">
        <f t="shared" si="20"/>
        <v>34700</v>
      </c>
      <c r="AB1333" s="338"/>
    </row>
    <row r="1334" spans="27:28" x14ac:dyDescent="0.3">
      <c r="AA1334" s="338">
        <f t="shared" si="20"/>
        <v>34700</v>
      </c>
      <c r="AB1334" s="338"/>
    </row>
    <row r="1335" spans="27:28" x14ac:dyDescent="0.3">
      <c r="AA1335" s="338">
        <f t="shared" si="20"/>
        <v>34700</v>
      </c>
      <c r="AB1335" s="338"/>
    </row>
    <row r="1336" spans="27:28" x14ac:dyDescent="0.3">
      <c r="AA1336" s="338">
        <f t="shared" si="20"/>
        <v>34700</v>
      </c>
      <c r="AB1336" s="338"/>
    </row>
    <row r="1337" spans="27:28" x14ac:dyDescent="0.3">
      <c r="AA1337" s="338">
        <f t="shared" si="20"/>
        <v>34700</v>
      </c>
      <c r="AB1337" s="338"/>
    </row>
    <row r="1338" spans="27:28" x14ac:dyDescent="0.3">
      <c r="AA1338" s="338">
        <f t="shared" si="20"/>
        <v>34700</v>
      </c>
      <c r="AB1338" s="338"/>
    </row>
    <row r="1339" spans="27:28" x14ac:dyDescent="0.3">
      <c r="AA1339" s="338">
        <f t="shared" si="20"/>
        <v>34700</v>
      </c>
      <c r="AB1339" s="338"/>
    </row>
    <row r="1340" spans="27:28" x14ac:dyDescent="0.3">
      <c r="AA1340" s="338">
        <f t="shared" si="20"/>
        <v>34700</v>
      </c>
      <c r="AB1340" s="338"/>
    </row>
    <row r="1341" spans="27:28" x14ac:dyDescent="0.3">
      <c r="AA1341" s="338">
        <f t="shared" si="20"/>
        <v>34700</v>
      </c>
      <c r="AB1341" s="338"/>
    </row>
    <row r="1342" spans="27:28" x14ac:dyDescent="0.3">
      <c r="AA1342" s="338">
        <f t="shared" si="20"/>
        <v>34700</v>
      </c>
      <c r="AB1342" s="338"/>
    </row>
    <row r="1343" spans="27:28" x14ac:dyDescent="0.3">
      <c r="AA1343" s="338">
        <f t="shared" si="20"/>
        <v>34700</v>
      </c>
      <c r="AB1343" s="338"/>
    </row>
    <row r="1344" spans="27:28" x14ac:dyDescent="0.3">
      <c r="AA1344" s="338">
        <f t="shared" si="20"/>
        <v>34700</v>
      </c>
      <c r="AB1344" s="338"/>
    </row>
    <row r="1345" spans="27:28" x14ac:dyDescent="0.3">
      <c r="AA1345" s="338">
        <f t="shared" ref="AA1345:AA1408" si="21">IFERROR(
IF(ISNUMBER(C1345),C1345,DATE(VALUE(RIGHT(C1345,4)),VALUE(MID(SUBSTITUTE(C1345,"/","-"),FIND("-",SUBSTITUTE(C1345,"/","-"))+1,FIND("-",SUBSTITUTE(C1345,"/","-"),FIND("-",SUBSTITUTE(C1345,"/","-"))+1)-FIND("-",SUBSTITUTE(C1345,"/","-"))-1)),VALUE(LEFT(SUBSTITUTE(C1345,"/","-"),FIND("-",SUBSTITUTE(C1345,"/","-"))-1)))),
DATE(1995,1,1)
)</f>
        <v>34700</v>
      </c>
      <c r="AB1345" s="338"/>
    </row>
    <row r="1346" spans="27:28" x14ac:dyDescent="0.3">
      <c r="AA1346" s="338">
        <f t="shared" si="21"/>
        <v>34700</v>
      </c>
      <c r="AB1346" s="338"/>
    </row>
    <row r="1347" spans="27:28" x14ac:dyDescent="0.3">
      <c r="AA1347" s="338">
        <f t="shared" si="21"/>
        <v>34700</v>
      </c>
      <c r="AB1347" s="338"/>
    </row>
    <row r="1348" spans="27:28" x14ac:dyDescent="0.3">
      <c r="AA1348" s="338">
        <f t="shared" si="21"/>
        <v>34700</v>
      </c>
      <c r="AB1348" s="338"/>
    </row>
    <row r="1349" spans="27:28" x14ac:dyDescent="0.3">
      <c r="AA1349" s="338">
        <f t="shared" si="21"/>
        <v>34700</v>
      </c>
      <c r="AB1349" s="338"/>
    </row>
    <row r="1350" spans="27:28" x14ac:dyDescent="0.3">
      <c r="AA1350" s="338">
        <f t="shared" si="21"/>
        <v>34700</v>
      </c>
      <c r="AB1350" s="338"/>
    </row>
    <row r="1351" spans="27:28" x14ac:dyDescent="0.3">
      <c r="AA1351" s="338">
        <f t="shared" si="21"/>
        <v>34700</v>
      </c>
      <c r="AB1351" s="338"/>
    </row>
    <row r="1352" spans="27:28" x14ac:dyDescent="0.3">
      <c r="AA1352" s="338">
        <f t="shared" si="21"/>
        <v>34700</v>
      </c>
      <c r="AB1352" s="338"/>
    </row>
    <row r="1353" spans="27:28" x14ac:dyDescent="0.3">
      <c r="AA1353" s="338">
        <f t="shared" si="21"/>
        <v>34700</v>
      </c>
      <c r="AB1353" s="338"/>
    </row>
    <row r="1354" spans="27:28" x14ac:dyDescent="0.3">
      <c r="AA1354" s="338">
        <f t="shared" si="21"/>
        <v>34700</v>
      </c>
      <c r="AB1354" s="338"/>
    </row>
    <row r="1355" spans="27:28" x14ac:dyDescent="0.3">
      <c r="AA1355" s="338">
        <f t="shared" si="21"/>
        <v>34700</v>
      </c>
      <c r="AB1355" s="338"/>
    </row>
    <row r="1356" spans="27:28" x14ac:dyDescent="0.3">
      <c r="AA1356" s="338">
        <f t="shared" si="21"/>
        <v>34700</v>
      </c>
      <c r="AB1356" s="338"/>
    </row>
    <row r="1357" spans="27:28" x14ac:dyDescent="0.3">
      <c r="AA1357" s="338">
        <f t="shared" si="21"/>
        <v>34700</v>
      </c>
      <c r="AB1357" s="338"/>
    </row>
    <row r="1358" spans="27:28" x14ac:dyDescent="0.3">
      <c r="AA1358" s="338">
        <f t="shared" si="21"/>
        <v>34700</v>
      </c>
      <c r="AB1358" s="338"/>
    </row>
    <row r="1359" spans="27:28" x14ac:dyDescent="0.3">
      <c r="AA1359" s="338">
        <f t="shared" si="21"/>
        <v>34700</v>
      </c>
      <c r="AB1359" s="338"/>
    </row>
    <row r="1360" spans="27:28" x14ac:dyDescent="0.3">
      <c r="AA1360" s="338">
        <f t="shared" si="21"/>
        <v>34700</v>
      </c>
      <c r="AB1360" s="338"/>
    </row>
    <row r="1361" spans="27:28" x14ac:dyDescent="0.3">
      <c r="AA1361" s="338">
        <f t="shared" si="21"/>
        <v>34700</v>
      </c>
      <c r="AB1361" s="338"/>
    </row>
    <row r="1362" spans="27:28" x14ac:dyDescent="0.3">
      <c r="AA1362" s="338">
        <f t="shared" si="21"/>
        <v>34700</v>
      </c>
      <c r="AB1362" s="338"/>
    </row>
    <row r="1363" spans="27:28" x14ac:dyDescent="0.3">
      <c r="AA1363" s="338">
        <f t="shared" si="21"/>
        <v>34700</v>
      </c>
      <c r="AB1363" s="338"/>
    </row>
    <row r="1364" spans="27:28" x14ac:dyDescent="0.3">
      <c r="AA1364" s="338">
        <f t="shared" si="21"/>
        <v>34700</v>
      </c>
      <c r="AB1364" s="338"/>
    </row>
    <row r="1365" spans="27:28" x14ac:dyDescent="0.3">
      <c r="AA1365" s="338">
        <f t="shared" si="21"/>
        <v>34700</v>
      </c>
      <c r="AB1365" s="338"/>
    </row>
    <row r="1366" spans="27:28" x14ac:dyDescent="0.3">
      <c r="AA1366" s="338">
        <f t="shared" si="21"/>
        <v>34700</v>
      </c>
      <c r="AB1366" s="338"/>
    </row>
    <row r="1367" spans="27:28" x14ac:dyDescent="0.3">
      <c r="AA1367" s="338">
        <f t="shared" si="21"/>
        <v>34700</v>
      </c>
      <c r="AB1367" s="338"/>
    </row>
    <row r="1368" spans="27:28" x14ac:dyDescent="0.3">
      <c r="AA1368" s="338">
        <f t="shared" si="21"/>
        <v>34700</v>
      </c>
      <c r="AB1368" s="338"/>
    </row>
    <row r="1369" spans="27:28" x14ac:dyDescent="0.3">
      <c r="AA1369" s="338">
        <f t="shared" si="21"/>
        <v>34700</v>
      </c>
      <c r="AB1369" s="338"/>
    </row>
    <row r="1370" spans="27:28" x14ac:dyDescent="0.3">
      <c r="AA1370" s="338">
        <f t="shared" si="21"/>
        <v>34700</v>
      </c>
      <c r="AB1370" s="338"/>
    </row>
    <row r="1371" spans="27:28" x14ac:dyDescent="0.3">
      <c r="AA1371" s="338">
        <f t="shared" si="21"/>
        <v>34700</v>
      </c>
      <c r="AB1371" s="338"/>
    </row>
    <row r="1372" spans="27:28" x14ac:dyDescent="0.3">
      <c r="AA1372" s="338">
        <f t="shared" si="21"/>
        <v>34700</v>
      </c>
      <c r="AB1372" s="338"/>
    </row>
    <row r="1373" spans="27:28" x14ac:dyDescent="0.3">
      <c r="AA1373" s="338">
        <f t="shared" si="21"/>
        <v>34700</v>
      </c>
      <c r="AB1373" s="338"/>
    </row>
    <row r="1374" spans="27:28" x14ac:dyDescent="0.3">
      <c r="AA1374" s="338">
        <f t="shared" si="21"/>
        <v>34700</v>
      </c>
      <c r="AB1374" s="338"/>
    </row>
    <row r="1375" spans="27:28" x14ac:dyDescent="0.3">
      <c r="AA1375" s="338">
        <f t="shared" si="21"/>
        <v>34700</v>
      </c>
      <c r="AB1375" s="338"/>
    </row>
    <row r="1376" spans="27:28" x14ac:dyDescent="0.3">
      <c r="AA1376" s="338">
        <f t="shared" si="21"/>
        <v>34700</v>
      </c>
      <c r="AB1376" s="338"/>
    </row>
    <row r="1377" spans="27:28" x14ac:dyDescent="0.3">
      <c r="AA1377" s="338">
        <f t="shared" si="21"/>
        <v>34700</v>
      </c>
      <c r="AB1377" s="338"/>
    </row>
    <row r="1378" spans="27:28" x14ac:dyDescent="0.3">
      <c r="AA1378" s="338">
        <f t="shared" si="21"/>
        <v>34700</v>
      </c>
      <c r="AB1378" s="338"/>
    </row>
    <row r="1379" spans="27:28" x14ac:dyDescent="0.3">
      <c r="AA1379" s="338">
        <f t="shared" si="21"/>
        <v>34700</v>
      </c>
      <c r="AB1379" s="338"/>
    </row>
    <row r="1380" spans="27:28" x14ac:dyDescent="0.3">
      <c r="AA1380" s="338">
        <f t="shared" si="21"/>
        <v>34700</v>
      </c>
      <c r="AB1380" s="338"/>
    </row>
    <row r="1381" spans="27:28" x14ac:dyDescent="0.3">
      <c r="AA1381" s="338">
        <f t="shared" si="21"/>
        <v>34700</v>
      </c>
      <c r="AB1381" s="338"/>
    </row>
    <row r="1382" spans="27:28" x14ac:dyDescent="0.3">
      <c r="AA1382" s="338">
        <f t="shared" si="21"/>
        <v>34700</v>
      </c>
      <c r="AB1382" s="338"/>
    </row>
    <row r="1383" spans="27:28" x14ac:dyDescent="0.3">
      <c r="AA1383" s="338">
        <f t="shared" si="21"/>
        <v>34700</v>
      </c>
      <c r="AB1383" s="338"/>
    </row>
    <row r="1384" spans="27:28" x14ac:dyDescent="0.3">
      <c r="AA1384" s="338">
        <f t="shared" si="21"/>
        <v>34700</v>
      </c>
      <c r="AB1384" s="338"/>
    </row>
    <row r="1385" spans="27:28" x14ac:dyDescent="0.3">
      <c r="AA1385" s="338">
        <f t="shared" si="21"/>
        <v>34700</v>
      </c>
      <c r="AB1385" s="338"/>
    </row>
    <row r="1386" spans="27:28" x14ac:dyDescent="0.3">
      <c r="AA1386" s="338">
        <f t="shared" si="21"/>
        <v>34700</v>
      </c>
      <c r="AB1386" s="338"/>
    </row>
    <row r="1387" spans="27:28" x14ac:dyDescent="0.3">
      <c r="AA1387" s="338">
        <f t="shared" si="21"/>
        <v>34700</v>
      </c>
      <c r="AB1387" s="338"/>
    </row>
    <row r="1388" spans="27:28" x14ac:dyDescent="0.3">
      <c r="AA1388" s="338">
        <f t="shared" si="21"/>
        <v>34700</v>
      </c>
      <c r="AB1388" s="338"/>
    </row>
    <row r="1389" spans="27:28" x14ac:dyDescent="0.3">
      <c r="AA1389" s="338">
        <f t="shared" si="21"/>
        <v>34700</v>
      </c>
      <c r="AB1389" s="338"/>
    </row>
    <row r="1390" spans="27:28" x14ac:dyDescent="0.3">
      <c r="AA1390" s="338">
        <f t="shared" si="21"/>
        <v>34700</v>
      </c>
      <c r="AB1390" s="338"/>
    </row>
    <row r="1391" spans="27:28" x14ac:dyDescent="0.3">
      <c r="AA1391" s="338">
        <f t="shared" si="21"/>
        <v>34700</v>
      </c>
      <c r="AB1391" s="338"/>
    </row>
    <row r="1392" spans="27:28" x14ac:dyDescent="0.3">
      <c r="AA1392" s="338">
        <f t="shared" si="21"/>
        <v>34700</v>
      </c>
      <c r="AB1392" s="338"/>
    </row>
    <row r="1393" spans="27:28" x14ac:dyDescent="0.3">
      <c r="AA1393" s="338">
        <f t="shared" si="21"/>
        <v>34700</v>
      </c>
      <c r="AB1393" s="338"/>
    </row>
    <row r="1394" spans="27:28" x14ac:dyDescent="0.3">
      <c r="AA1394" s="338">
        <f t="shared" si="21"/>
        <v>34700</v>
      </c>
      <c r="AB1394" s="338"/>
    </row>
    <row r="1395" spans="27:28" x14ac:dyDescent="0.3">
      <c r="AA1395" s="338">
        <f t="shared" si="21"/>
        <v>34700</v>
      </c>
      <c r="AB1395" s="338"/>
    </row>
    <row r="1396" spans="27:28" x14ac:dyDescent="0.3">
      <c r="AA1396" s="338">
        <f t="shared" si="21"/>
        <v>34700</v>
      </c>
      <c r="AB1396" s="338"/>
    </row>
    <row r="1397" spans="27:28" x14ac:dyDescent="0.3">
      <c r="AA1397" s="338">
        <f t="shared" si="21"/>
        <v>34700</v>
      </c>
      <c r="AB1397" s="338"/>
    </row>
    <row r="1398" spans="27:28" x14ac:dyDescent="0.3">
      <c r="AA1398" s="338">
        <f t="shared" si="21"/>
        <v>34700</v>
      </c>
      <c r="AB1398" s="338"/>
    </row>
    <row r="1399" spans="27:28" x14ac:dyDescent="0.3">
      <c r="AA1399" s="338">
        <f t="shared" si="21"/>
        <v>34700</v>
      </c>
      <c r="AB1399" s="338"/>
    </row>
    <row r="1400" spans="27:28" x14ac:dyDescent="0.3">
      <c r="AA1400" s="338">
        <f t="shared" si="21"/>
        <v>34700</v>
      </c>
      <c r="AB1400" s="338"/>
    </row>
    <row r="1401" spans="27:28" x14ac:dyDescent="0.3">
      <c r="AA1401" s="338">
        <f t="shared" si="21"/>
        <v>34700</v>
      </c>
      <c r="AB1401" s="338"/>
    </row>
    <row r="1402" spans="27:28" x14ac:dyDescent="0.3">
      <c r="AA1402" s="338">
        <f t="shared" si="21"/>
        <v>34700</v>
      </c>
      <c r="AB1402" s="338"/>
    </row>
    <row r="1403" spans="27:28" x14ac:dyDescent="0.3">
      <c r="AA1403" s="338">
        <f t="shared" si="21"/>
        <v>34700</v>
      </c>
      <c r="AB1403" s="338"/>
    </row>
    <row r="1404" spans="27:28" x14ac:dyDescent="0.3">
      <c r="AA1404" s="338">
        <f t="shared" si="21"/>
        <v>34700</v>
      </c>
      <c r="AB1404" s="338"/>
    </row>
    <row r="1405" spans="27:28" x14ac:dyDescent="0.3">
      <c r="AA1405" s="338">
        <f t="shared" si="21"/>
        <v>34700</v>
      </c>
      <c r="AB1405" s="338"/>
    </row>
    <row r="1406" spans="27:28" x14ac:dyDescent="0.3">
      <c r="AA1406" s="338">
        <f t="shared" si="21"/>
        <v>34700</v>
      </c>
      <c r="AB1406" s="338"/>
    </row>
    <row r="1407" spans="27:28" x14ac:dyDescent="0.3">
      <c r="AA1407" s="338">
        <f t="shared" si="21"/>
        <v>34700</v>
      </c>
      <c r="AB1407" s="338"/>
    </row>
    <row r="1408" spans="27:28" x14ac:dyDescent="0.3">
      <c r="AA1408" s="338">
        <f t="shared" si="21"/>
        <v>34700</v>
      </c>
      <c r="AB1408" s="338"/>
    </row>
    <row r="1409" spans="27:28" x14ac:dyDescent="0.3">
      <c r="AA1409" s="338">
        <f t="shared" ref="AA1409:AA1472" si="22">IFERROR(
IF(ISNUMBER(C1409),C1409,DATE(VALUE(RIGHT(C1409,4)),VALUE(MID(SUBSTITUTE(C1409,"/","-"),FIND("-",SUBSTITUTE(C1409,"/","-"))+1,FIND("-",SUBSTITUTE(C1409,"/","-"),FIND("-",SUBSTITUTE(C1409,"/","-"))+1)-FIND("-",SUBSTITUTE(C1409,"/","-"))-1)),VALUE(LEFT(SUBSTITUTE(C1409,"/","-"),FIND("-",SUBSTITUTE(C1409,"/","-"))-1)))),
DATE(1995,1,1)
)</f>
        <v>34700</v>
      </c>
      <c r="AB1409" s="338"/>
    </row>
    <row r="1410" spans="27:28" x14ac:dyDescent="0.3">
      <c r="AA1410" s="338">
        <f t="shared" si="22"/>
        <v>34700</v>
      </c>
      <c r="AB1410" s="338"/>
    </row>
    <row r="1411" spans="27:28" x14ac:dyDescent="0.3">
      <c r="AA1411" s="338">
        <f t="shared" si="22"/>
        <v>34700</v>
      </c>
      <c r="AB1411" s="338"/>
    </row>
    <row r="1412" spans="27:28" x14ac:dyDescent="0.3">
      <c r="AA1412" s="338">
        <f t="shared" si="22"/>
        <v>34700</v>
      </c>
      <c r="AB1412" s="338"/>
    </row>
    <row r="1413" spans="27:28" x14ac:dyDescent="0.3">
      <c r="AA1413" s="338">
        <f t="shared" si="22"/>
        <v>34700</v>
      </c>
      <c r="AB1413" s="338"/>
    </row>
    <row r="1414" spans="27:28" x14ac:dyDescent="0.3">
      <c r="AA1414" s="338">
        <f t="shared" si="22"/>
        <v>34700</v>
      </c>
      <c r="AB1414" s="338"/>
    </row>
    <row r="1415" spans="27:28" x14ac:dyDescent="0.3">
      <c r="AA1415" s="338">
        <f t="shared" si="22"/>
        <v>34700</v>
      </c>
      <c r="AB1415" s="338"/>
    </row>
    <row r="1416" spans="27:28" x14ac:dyDescent="0.3">
      <c r="AA1416" s="338">
        <f t="shared" si="22"/>
        <v>34700</v>
      </c>
      <c r="AB1416" s="338"/>
    </row>
    <row r="1417" spans="27:28" x14ac:dyDescent="0.3">
      <c r="AA1417" s="338">
        <f t="shared" si="22"/>
        <v>34700</v>
      </c>
      <c r="AB1417" s="338"/>
    </row>
    <row r="1418" spans="27:28" x14ac:dyDescent="0.3">
      <c r="AA1418" s="338">
        <f t="shared" si="22"/>
        <v>34700</v>
      </c>
      <c r="AB1418" s="338"/>
    </row>
    <row r="1419" spans="27:28" x14ac:dyDescent="0.3">
      <c r="AA1419" s="338">
        <f t="shared" si="22"/>
        <v>34700</v>
      </c>
      <c r="AB1419" s="338"/>
    </row>
    <row r="1420" spans="27:28" x14ac:dyDescent="0.3">
      <c r="AA1420" s="338">
        <f t="shared" si="22"/>
        <v>34700</v>
      </c>
      <c r="AB1420" s="338"/>
    </row>
    <row r="1421" spans="27:28" x14ac:dyDescent="0.3">
      <c r="AA1421" s="338">
        <f t="shared" si="22"/>
        <v>34700</v>
      </c>
      <c r="AB1421" s="338"/>
    </row>
    <row r="1422" spans="27:28" x14ac:dyDescent="0.3">
      <c r="AA1422" s="338">
        <f t="shared" si="22"/>
        <v>34700</v>
      </c>
      <c r="AB1422" s="338"/>
    </row>
    <row r="1423" spans="27:28" x14ac:dyDescent="0.3">
      <c r="AA1423" s="338">
        <f t="shared" si="22"/>
        <v>34700</v>
      </c>
      <c r="AB1423" s="338"/>
    </row>
    <row r="1424" spans="27:28" x14ac:dyDescent="0.3">
      <c r="AA1424" s="338">
        <f t="shared" si="22"/>
        <v>34700</v>
      </c>
      <c r="AB1424" s="338"/>
    </row>
    <row r="1425" spans="27:28" x14ac:dyDescent="0.3">
      <c r="AA1425" s="338">
        <f t="shared" si="22"/>
        <v>34700</v>
      </c>
      <c r="AB1425" s="338"/>
    </row>
    <row r="1426" spans="27:28" x14ac:dyDescent="0.3">
      <c r="AA1426" s="338">
        <f t="shared" si="22"/>
        <v>34700</v>
      </c>
      <c r="AB1426" s="338"/>
    </row>
    <row r="1427" spans="27:28" x14ac:dyDescent="0.3">
      <c r="AA1427" s="338">
        <f t="shared" si="22"/>
        <v>34700</v>
      </c>
      <c r="AB1427" s="338"/>
    </row>
    <row r="1428" spans="27:28" x14ac:dyDescent="0.3">
      <c r="AA1428" s="338">
        <f t="shared" si="22"/>
        <v>34700</v>
      </c>
      <c r="AB1428" s="338"/>
    </row>
    <row r="1429" spans="27:28" x14ac:dyDescent="0.3">
      <c r="AA1429" s="338">
        <f t="shared" si="22"/>
        <v>34700</v>
      </c>
      <c r="AB1429" s="338"/>
    </row>
    <row r="1430" spans="27:28" x14ac:dyDescent="0.3">
      <c r="AA1430" s="338">
        <f t="shared" si="22"/>
        <v>34700</v>
      </c>
      <c r="AB1430" s="338"/>
    </row>
    <row r="1431" spans="27:28" x14ac:dyDescent="0.3">
      <c r="AA1431" s="338">
        <f t="shared" si="22"/>
        <v>34700</v>
      </c>
      <c r="AB1431" s="338"/>
    </row>
    <row r="1432" spans="27:28" x14ac:dyDescent="0.3">
      <c r="AA1432" s="338">
        <f t="shared" si="22"/>
        <v>34700</v>
      </c>
      <c r="AB1432" s="338"/>
    </row>
    <row r="1433" spans="27:28" x14ac:dyDescent="0.3">
      <c r="AA1433" s="338">
        <f t="shared" si="22"/>
        <v>34700</v>
      </c>
      <c r="AB1433" s="338"/>
    </row>
    <row r="1434" spans="27:28" x14ac:dyDescent="0.3">
      <c r="AA1434" s="338">
        <f t="shared" si="22"/>
        <v>34700</v>
      </c>
      <c r="AB1434" s="338"/>
    </row>
    <row r="1435" spans="27:28" x14ac:dyDescent="0.3">
      <c r="AA1435" s="338">
        <f t="shared" si="22"/>
        <v>34700</v>
      </c>
      <c r="AB1435" s="338"/>
    </row>
    <row r="1436" spans="27:28" x14ac:dyDescent="0.3">
      <c r="AA1436" s="338">
        <f t="shared" si="22"/>
        <v>34700</v>
      </c>
      <c r="AB1436" s="338"/>
    </row>
    <row r="1437" spans="27:28" x14ac:dyDescent="0.3">
      <c r="AA1437" s="338">
        <f t="shared" si="22"/>
        <v>34700</v>
      </c>
      <c r="AB1437" s="338"/>
    </row>
    <row r="1438" spans="27:28" x14ac:dyDescent="0.3">
      <c r="AA1438" s="338">
        <f t="shared" si="22"/>
        <v>34700</v>
      </c>
      <c r="AB1438" s="338"/>
    </row>
    <row r="1439" spans="27:28" x14ac:dyDescent="0.3">
      <c r="AA1439" s="338">
        <f t="shared" si="22"/>
        <v>34700</v>
      </c>
      <c r="AB1439" s="338"/>
    </row>
    <row r="1440" spans="27:28" x14ac:dyDescent="0.3">
      <c r="AA1440" s="338">
        <f t="shared" si="22"/>
        <v>34700</v>
      </c>
      <c r="AB1440" s="338"/>
    </row>
    <row r="1441" spans="27:28" x14ac:dyDescent="0.3">
      <c r="AA1441" s="338">
        <f t="shared" si="22"/>
        <v>34700</v>
      </c>
      <c r="AB1441" s="338"/>
    </row>
    <row r="1442" spans="27:28" x14ac:dyDescent="0.3">
      <c r="AA1442" s="338">
        <f t="shared" si="22"/>
        <v>34700</v>
      </c>
      <c r="AB1442" s="338"/>
    </row>
    <row r="1443" spans="27:28" x14ac:dyDescent="0.3">
      <c r="AA1443" s="338">
        <f t="shared" si="22"/>
        <v>34700</v>
      </c>
      <c r="AB1443" s="338"/>
    </row>
    <row r="1444" spans="27:28" x14ac:dyDescent="0.3">
      <c r="AA1444" s="338">
        <f t="shared" si="22"/>
        <v>34700</v>
      </c>
      <c r="AB1444" s="338"/>
    </row>
    <row r="1445" spans="27:28" x14ac:dyDescent="0.3">
      <c r="AA1445" s="338">
        <f t="shared" si="22"/>
        <v>34700</v>
      </c>
      <c r="AB1445" s="338"/>
    </row>
    <row r="1446" spans="27:28" x14ac:dyDescent="0.3">
      <c r="AA1446" s="338">
        <f t="shared" si="22"/>
        <v>34700</v>
      </c>
      <c r="AB1446" s="338"/>
    </row>
    <row r="1447" spans="27:28" x14ac:dyDescent="0.3">
      <c r="AA1447" s="338">
        <f t="shared" si="22"/>
        <v>34700</v>
      </c>
      <c r="AB1447" s="338"/>
    </row>
    <row r="1448" spans="27:28" x14ac:dyDescent="0.3">
      <c r="AA1448" s="338">
        <f t="shared" si="22"/>
        <v>34700</v>
      </c>
      <c r="AB1448" s="338"/>
    </row>
    <row r="1449" spans="27:28" x14ac:dyDescent="0.3">
      <c r="AA1449" s="338">
        <f t="shared" si="22"/>
        <v>34700</v>
      </c>
      <c r="AB1449" s="338"/>
    </row>
    <row r="1450" spans="27:28" x14ac:dyDescent="0.3">
      <c r="AA1450" s="338">
        <f t="shared" si="22"/>
        <v>34700</v>
      </c>
      <c r="AB1450" s="338"/>
    </row>
    <row r="1451" spans="27:28" x14ac:dyDescent="0.3">
      <c r="AA1451" s="338">
        <f t="shared" si="22"/>
        <v>34700</v>
      </c>
      <c r="AB1451" s="338"/>
    </row>
    <row r="1452" spans="27:28" x14ac:dyDescent="0.3">
      <c r="AA1452" s="338">
        <f t="shared" si="22"/>
        <v>34700</v>
      </c>
      <c r="AB1452" s="338"/>
    </row>
    <row r="1453" spans="27:28" x14ac:dyDescent="0.3">
      <c r="AA1453" s="338">
        <f t="shared" si="22"/>
        <v>34700</v>
      </c>
      <c r="AB1453" s="338"/>
    </row>
    <row r="1454" spans="27:28" x14ac:dyDescent="0.3">
      <c r="AA1454" s="338">
        <f t="shared" si="22"/>
        <v>34700</v>
      </c>
      <c r="AB1454" s="338"/>
    </row>
    <row r="1455" spans="27:28" x14ac:dyDescent="0.3">
      <c r="AA1455" s="338">
        <f t="shared" si="22"/>
        <v>34700</v>
      </c>
      <c r="AB1455" s="338"/>
    </row>
    <row r="1456" spans="27:28" x14ac:dyDescent="0.3">
      <c r="AA1456" s="338">
        <f t="shared" si="22"/>
        <v>34700</v>
      </c>
      <c r="AB1456" s="338"/>
    </row>
    <row r="1457" spans="27:28" x14ac:dyDescent="0.3">
      <c r="AA1457" s="338">
        <f t="shared" si="22"/>
        <v>34700</v>
      </c>
      <c r="AB1457" s="338"/>
    </row>
    <row r="1458" spans="27:28" x14ac:dyDescent="0.3">
      <c r="AA1458" s="338">
        <f t="shared" si="22"/>
        <v>34700</v>
      </c>
      <c r="AB1458" s="338"/>
    </row>
    <row r="1459" spans="27:28" x14ac:dyDescent="0.3">
      <c r="AA1459" s="338">
        <f t="shared" si="22"/>
        <v>34700</v>
      </c>
      <c r="AB1459" s="338"/>
    </row>
    <row r="1460" spans="27:28" x14ac:dyDescent="0.3">
      <c r="AA1460" s="338">
        <f t="shared" si="22"/>
        <v>34700</v>
      </c>
      <c r="AB1460" s="338"/>
    </row>
    <row r="1461" spans="27:28" x14ac:dyDescent="0.3">
      <c r="AA1461" s="338">
        <f t="shared" si="22"/>
        <v>34700</v>
      </c>
      <c r="AB1461" s="338"/>
    </row>
    <row r="1462" spans="27:28" x14ac:dyDescent="0.3">
      <c r="AA1462" s="338">
        <f t="shared" si="22"/>
        <v>34700</v>
      </c>
      <c r="AB1462" s="338"/>
    </row>
    <row r="1463" spans="27:28" x14ac:dyDescent="0.3">
      <c r="AA1463" s="338">
        <f t="shared" si="22"/>
        <v>34700</v>
      </c>
      <c r="AB1463" s="338"/>
    </row>
    <row r="1464" spans="27:28" x14ac:dyDescent="0.3">
      <c r="AA1464" s="338">
        <f t="shared" si="22"/>
        <v>34700</v>
      </c>
      <c r="AB1464" s="338"/>
    </row>
    <row r="1465" spans="27:28" x14ac:dyDescent="0.3">
      <c r="AA1465" s="338">
        <f t="shared" si="22"/>
        <v>34700</v>
      </c>
      <c r="AB1465" s="338"/>
    </row>
    <row r="1466" spans="27:28" x14ac:dyDescent="0.3">
      <c r="AA1466" s="338">
        <f t="shared" si="22"/>
        <v>34700</v>
      </c>
      <c r="AB1466" s="338"/>
    </row>
    <row r="1467" spans="27:28" x14ac:dyDescent="0.3">
      <c r="AA1467" s="338">
        <f t="shared" si="22"/>
        <v>34700</v>
      </c>
      <c r="AB1467" s="338"/>
    </row>
    <row r="1468" spans="27:28" x14ac:dyDescent="0.3">
      <c r="AA1468" s="338">
        <f t="shared" si="22"/>
        <v>34700</v>
      </c>
      <c r="AB1468" s="338"/>
    </row>
    <row r="1469" spans="27:28" x14ac:dyDescent="0.3">
      <c r="AA1469" s="338">
        <f t="shared" si="22"/>
        <v>34700</v>
      </c>
      <c r="AB1469" s="338"/>
    </row>
    <row r="1470" spans="27:28" x14ac:dyDescent="0.3">
      <c r="AA1470" s="338">
        <f t="shared" si="22"/>
        <v>34700</v>
      </c>
      <c r="AB1470" s="338"/>
    </row>
    <row r="1471" spans="27:28" x14ac:dyDescent="0.3">
      <c r="AA1471" s="338">
        <f t="shared" si="22"/>
        <v>34700</v>
      </c>
      <c r="AB1471" s="338"/>
    </row>
    <row r="1472" spans="27:28" x14ac:dyDescent="0.3">
      <c r="AA1472" s="338">
        <f t="shared" si="22"/>
        <v>34700</v>
      </c>
      <c r="AB1472" s="338"/>
    </row>
    <row r="1473" spans="27:28" x14ac:dyDescent="0.3">
      <c r="AA1473" s="338">
        <f t="shared" ref="AA1473:AA1536" si="23">IFERROR(
IF(ISNUMBER(C1473),C1473,DATE(VALUE(RIGHT(C1473,4)),VALUE(MID(SUBSTITUTE(C1473,"/","-"),FIND("-",SUBSTITUTE(C1473,"/","-"))+1,FIND("-",SUBSTITUTE(C1473,"/","-"),FIND("-",SUBSTITUTE(C1473,"/","-"))+1)-FIND("-",SUBSTITUTE(C1473,"/","-"))-1)),VALUE(LEFT(SUBSTITUTE(C1473,"/","-"),FIND("-",SUBSTITUTE(C1473,"/","-"))-1)))),
DATE(1995,1,1)
)</f>
        <v>34700</v>
      </c>
      <c r="AB1473" s="338"/>
    </row>
    <row r="1474" spans="27:28" x14ac:dyDescent="0.3">
      <c r="AA1474" s="338">
        <f t="shared" si="23"/>
        <v>34700</v>
      </c>
      <c r="AB1474" s="338"/>
    </row>
    <row r="1475" spans="27:28" x14ac:dyDescent="0.3">
      <c r="AA1475" s="338">
        <f t="shared" si="23"/>
        <v>34700</v>
      </c>
      <c r="AB1475" s="338"/>
    </row>
    <row r="1476" spans="27:28" x14ac:dyDescent="0.3">
      <c r="AA1476" s="338">
        <f t="shared" si="23"/>
        <v>34700</v>
      </c>
      <c r="AB1476" s="338"/>
    </row>
    <row r="1477" spans="27:28" x14ac:dyDescent="0.3">
      <c r="AA1477" s="338">
        <f t="shared" si="23"/>
        <v>34700</v>
      </c>
      <c r="AB1477" s="338"/>
    </row>
    <row r="1478" spans="27:28" x14ac:dyDescent="0.3">
      <c r="AA1478" s="338">
        <f t="shared" si="23"/>
        <v>34700</v>
      </c>
      <c r="AB1478" s="338"/>
    </row>
    <row r="1479" spans="27:28" x14ac:dyDescent="0.3">
      <c r="AA1479" s="338">
        <f t="shared" si="23"/>
        <v>34700</v>
      </c>
      <c r="AB1479" s="338"/>
    </row>
    <row r="1480" spans="27:28" x14ac:dyDescent="0.3">
      <c r="AA1480" s="338">
        <f t="shared" si="23"/>
        <v>34700</v>
      </c>
      <c r="AB1480" s="338"/>
    </row>
    <row r="1481" spans="27:28" x14ac:dyDescent="0.3">
      <c r="AA1481" s="338">
        <f t="shared" si="23"/>
        <v>34700</v>
      </c>
      <c r="AB1481" s="338"/>
    </row>
    <row r="1482" spans="27:28" x14ac:dyDescent="0.3">
      <c r="AA1482" s="338">
        <f t="shared" si="23"/>
        <v>34700</v>
      </c>
      <c r="AB1482" s="338"/>
    </row>
    <row r="1483" spans="27:28" x14ac:dyDescent="0.3">
      <c r="AA1483" s="338">
        <f t="shared" si="23"/>
        <v>34700</v>
      </c>
      <c r="AB1483" s="338"/>
    </row>
    <row r="1484" spans="27:28" x14ac:dyDescent="0.3">
      <c r="AA1484" s="338">
        <f t="shared" si="23"/>
        <v>34700</v>
      </c>
      <c r="AB1484" s="338"/>
    </row>
    <row r="1485" spans="27:28" x14ac:dyDescent="0.3">
      <c r="AA1485" s="338">
        <f t="shared" si="23"/>
        <v>34700</v>
      </c>
      <c r="AB1485" s="338"/>
    </row>
    <row r="1486" spans="27:28" x14ac:dyDescent="0.3">
      <c r="AA1486" s="338">
        <f t="shared" si="23"/>
        <v>34700</v>
      </c>
      <c r="AB1486" s="338"/>
    </row>
    <row r="1487" spans="27:28" x14ac:dyDescent="0.3">
      <c r="AA1487" s="338">
        <f t="shared" si="23"/>
        <v>34700</v>
      </c>
      <c r="AB1487" s="338"/>
    </row>
    <row r="1488" spans="27:28" x14ac:dyDescent="0.3">
      <c r="AA1488" s="338">
        <f t="shared" si="23"/>
        <v>34700</v>
      </c>
      <c r="AB1488" s="338"/>
    </row>
    <row r="1489" spans="27:28" x14ac:dyDescent="0.3">
      <c r="AA1489" s="338">
        <f t="shared" si="23"/>
        <v>34700</v>
      </c>
      <c r="AB1489" s="338"/>
    </row>
    <row r="1490" spans="27:28" x14ac:dyDescent="0.3">
      <c r="AA1490" s="338">
        <f t="shared" si="23"/>
        <v>34700</v>
      </c>
      <c r="AB1490" s="338"/>
    </row>
    <row r="1491" spans="27:28" x14ac:dyDescent="0.3">
      <c r="AA1491" s="338">
        <f t="shared" si="23"/>
        <v>34700</v>
      </c>
      <c r="AB1491" s="338"/>
    </row>
    <row r="1492" spans="27:28" x14ac:dyDescent="0.3">
      <c r="AA1492" s="338">
        <f t="shared" si="23"/>
        <v>34700</v>
      </c>
      <c r="AB1492" s="338"/>
    </row>
    <row r="1493" spans="27:28" x14ac:dyDescent="0.3">
      <c r="AA1493" s="338">
        <f t="shared" si="23"/>
        <v>34700</v>
      </c>
      <c r="AB1493" s="338"/>
    </row>
    <row r="1494" spans="27:28" x14ac:dyDescent="0.3">
      <c r="AA1494" s="338">
        <f t="shared" si="23"/>
        <v>34700</v>
      </c>
      <c r="AB1494" s="338"/>
    </row>
    <row r="1495" spans="27:28" x14ac:dyDescent="0.3">
      <c r="AA1495" s="338">
        <f t="shared" si="23"/>
        <v>34700</v>
      </c>
      <c r="AB1495" s="338"/>
    </row>
    <row r="1496" spans="27:28" x14ac:dyDescent="0.3">
      <c r="AA1496" s="338">
        <f t="shared" si="23"/>
        <v>34700</v>
      </c>
      <c r="AB1496" s="338"/>
    </row>
    <row r="1497" spans="27:28" x14ac:dyDescent="0.3">
      <c r="AA1497" s="338">
        <f t="shared" si="23"/>
        <v>34700</v>
      </c>
      <c r="AB1497" s="338"/>
    </row>
    <row r="1498" spans="27:28" x14ac:dyDescent="0.3">
      <c r="AA1498" s="338">
        <f t="shared" si="23"/>
        <v>34700</v>
      </c>
      <c r="AB1498" s="338"/>
    </row>
    <row r="1499" spans="27:28" x14ac:dyDescent="0.3">
      <c r="AA1499" s="338">
        <f t="shared" si="23"/>
        <v>34700</v>
      </c>
      <c r="AB1499" s="338"/>
    </row>
    <row r="1500" spans="27:28" x14ac:dyDescent="0.3">
      <c r="AA1500" s="338">
        <f t="shared" si="23"/>
        <v>34700</v>
      </c>
      <c r="AB1500" s="338"/>
    </row>
    <row r="1501" spans="27:28" x14ac:dyDescent="0.3">
      <c r="AA1501" s="338">
        <f t="shared" si="23"/>
        <v>34700</v>
      </c>
      <c r="AB1501" s="338"/>
    </row>
    <row r="1502" spans="27:28" x14ac:dyDescent="0.3">
      <c r="AA1502" s="338">
        <f t="shared" si="23"/>
        <v>34700</v>
      </c>
      <c r="AB1502" s="338"/>
    </row>
    <row r="1503" spans="27:28" x14ac:dyDescent="0.3">
      <c r="AA1503" s="338">
        <f t="shared" si="23"/>
        <v>34700</v>
      </c>
      <c r="AB1503" s="338"/>
    </row>
    <row r="1504" spans="27:28" x14ac:dyDescent="0.3">
      <c r="AA1504" s="338">
        <f t="shared" si="23"/>
        <v>34700</v>
      </c>
      <c r="AB1504" s="338"/>
    </row>
    <row r="1505" spans="27:28" x14ac:dyDescent="0.3">
      <c r="AA1505" s="338">
        <f t="shared" si="23"/>
        <v>34700</v>
      </c>
      <c r="AB1505" s="338"/>
    </row>
    <row r="1506" spans="27:28" x14ac:dyDescent="0.3">
      <c r="AA1506" s="338">
        <f t="shared" si="23"/>
        <v>34700</v>
      </c>
      <c r="AB1506" s="338"/>
    </row>
    <row r="1507" spans="27:28" x14ac:dyDescent="0.3">
      <c r="AA1507" s="338">
        <f t="shared" si="23"/>
        <v>34700</v>
      </c>
      <c r="AB1507" s="338"/>
    </row>
    <row r="1508" spans="27:28" x14ac:dyDescent="0.3">
      <c r="AA1508" s="338">
        <f t="shared" si="23"/>
        <v>34700</v>
      </c>
      <c r="AB1508" s="338"/>
    </row>
    <row r="1509" spans="27:28" x14ac:dyDescent="0.3">
      <c r="AA1509" s="338">
        <f t="shared" si="23"/>
        <v>34700</v>
      </c>
      <c r="AB1509" s="338"/>
    </row>
    <row r="1510" spans="27:28" x14ac:dyDescent="0.3">
      <c r="AA1510" s="338">
        <f t="shared" si="23"/>
        <v>34700</v>
      </c>
      <c r="AB1510" s="338"/>
    </row>
    <row r="1511" spans="27:28" x14ac:dyDescent="0.3">
      <c r="AA1511" s="338">
        <f t="shared" si="23"/>
        <v>34700</v>
      </c>
      <c r="AB1511" s="338"/>
    </row>
    <row r="1512" spans="27:28" x14ac:dyDescent="0.3">
      <c r="AA1512" s="338">
        <f t="shared" si="23"/>
        <v>34700</v>
      </c>
      <c r="AB1512" s="338"/>
    </row>
    <row r="1513" spans="27:28" x14ac:dyDescent="0.3">
      <c r="AA1513" s="338">
        <f t="shared" si="23"/>
        <v>34700</v>
      </c>
      <c r="AB1513" s="338"/>
    </row>
    <row r="1514" spans="27:28" x14ac:dyDescent="0.3">
      <c r="AA1514" s="338">
        <f t="shared" si="23"/>
        <v>34700</v>
      </c>
      <c r="AB1514" s="338"/>
    </row>
    <row r="1515" spans="27:28" x14ac:dyDescent="0.3">
      <c r="AA1515" s="338">
        <f t="shared" si="23"/>
        <v>34700</v>
      </c>
      <c r="AB1515" s="338"/>
    </row>
    <row r="1516" spans="27:28" x14ac:dyDescent="0.3">
      <c r="AA1516" s="338">
        <f t="shared" si="23"/>
        <v>34700</v>
      </c>
      <c r="AB1516" s="338"/>
    </row>
    <row r="1517" spans="27:28" x14ac:dyDescent="0.3">
      <c r="AA1517" s="338">
        <f t="shared" si="23"/>
        <v>34700</v>
      </c>
      <c r="AB1517" s="338"/>
    </row>
    <row r="1518" spans="27:28" x14ac:dyDescent="0.3">
      <c r="AA1518" s="338">
        <f t="shared" si="23"/>
        <v>34700</v>
      </c>
      <c r="AB1518" s="338"/>
    </row>
    <row r="1519" spans="27:28" x14ac:dyDescent="0.3">
      <c r="AA1519" s="338">
        <f t="shared" si="23"/>
        <v>34700</v>
      </c>
      <c r="AB1519" s="338"/>
    </row>
    <row r="1520" spans="27:28" x14ac:dyDescent="0.3">
      <c r="AA1520" s="338">
        <f t="shared" si="23"/>
        <v>34700</v>
      </c>
      <c r="AB1520" s="338"/>
    </row>
    <row r="1521" spans="27:28" x14ac:dyDescent="0.3">
      <c r="AA1521" s="338">
        <f t="shared" si="23"/>
        <v>34700</v>
      </c>
      <c r="AB1521" s="338"/>
    </row>
    <row r="1522" spans="27:28" x14ac:dyDescent="0.3">
      <c r="AA1522" s="338">
        <f t="shared" si="23"/>
        <v>34700</v>
      </c>
      <c r="AB1522" s="338"/>
    </row>
    <row r="1523" spans="27:28" x14ac:dyDescent="0.3">
      <c r="AA1523" s="338">
        <f t="shared" si="23"/>
        <v>34700</v>
      </c>
      <c r="AB1523" s="338"/>
    </row>
    <row r="1524" spans="27:28" x14ac:dyDescent="0.3">
      <c r="AA1524" s="338">
        <f t="shared" si="23"/>
        <v>34700</v>
      </c>
      <c r="AB1524" s="338"/>
    </row>
    <row r="1525" spans="27:28" x14ac:dyDescent="0.3">
      <c r="AA1525" s="338">
        <f t="shared" si="23"/>
        <v>34700</v>
      </c>
      <c r="AB1525" s="338"/>
    </row>
    <row r="1526" spans="27:28" x14ac:dyDescent="0.3">
      <c r="AA1526" s="338">
        <f t="shared" si="23"/>
        <v>34700</v>
      </c>
      <c r="AB1526" s="338"/>
    </row>
    <row r="1527" spans="27:28" x14ac:dyDescent="0.3">
      <c r="AA1527" s="338">
        <f t="shared" si="23"/>
        <v>34700</v>
      </c>
      <c r="AB1527" s="338"/>
    </row>
    <row r="1528" spans="27:28" x14ac:dyDescent="0.3">
      <c r="AA1528" s="338">
        <f t="shared" si="23"/>
        <v>34700</v>
      </c>
      <c r="AB1528" s="338"/>
    </row>
    <row r="1529" spans="27:28" x14ac:dyDescent="0.3">
      <c r="AA1529" s="338">
        <f t="shared" si="23"/>
        <v>34700</v>
      </c>
      <c r="AB1529" s="338"/>
    </row>
    <row r="1530" spans="27:28" x14ac:dyDescent="0.3">
      <c r="AA1530" s="338">
        <f t="shared" si="23"/>
        <v>34700</v>
      </c>
      <c r="AB1530" s="338"/>
    </row>
    <row r="1531" spans="27:28" x14ac:dyDescent="0.3">
      <c r="AA1531" s="338">
        <f t="shared" si="23"/>
        <v>34700</v>
      </c>
      <c r="AB1531" s="338"/>
    </row>
    <row r="1532" spans="27:28" x14ac:dyDescent="0.3">
      <c r="AA1532" s="338">
        <f t="shared" si="23"/>
        <v>34700</v>
      </c>
      <c r="AB1532" s="338"/>
    </row>
    <row r="1533" spans="27:28" x14ac:dyDescent="0.3">
      <c r="AA1533" s="338">
        <f t="shared" si="23"/>
        <v>34700</v>
      </c>
      <c r="AB1533" s="338"/>
    </row>
    <row r="1534" spans="27:28" x14ac:dyDescent="0.3">
      <c r="AA1534" s="338">
        <f t="shared" si="23"/>
        <v>34700</v>
      </c>
      <c r="AB1534" s="338"/>
    </row>
    <row r="1535" spans="27:28" x14ac:dyDescent="0.3">
      <c r="AA1535" s="338">
        <f t="shared" si="23"/>
        <v>34700</v>
      </c>
      <c r="AB1535" s="338"/>
    </row>
    <row r="1536" spans="27:28" x14ac:dyDescent="0.3">
      <c r="AA1536" s="338">
        <f t="shared" si="23"/>
        <v>34700</v>
      </c>
      <c r="AB1536" s="338"/>
    </row>
    <row r="1537" spans="27:28" x14ac:dyDescent="0.3">
      <c r="AA1537" s="338">
        <f t="shared" ref="AA1537:AA1550" si="24">IFERROR(
IF(ISNUMBER(C1537),C1537,DATE(VALUE(RIGHT(C1537,4)),VALUE(MID(SUBSTITUTE(C1537,"/","-"),FIND("-",SUBSTITUTE(C1537,"/","-"))+1,FIND("-",SUBSTITUTE(C1537,"/","-"),FIND("-",SUBSTITUTE(C1537,"/","-"))+1)-FIND("-",SUBSTITUTE(C1537,"/","-"))-1)),VALUE(LEFT(SUBSTITUTE(C1537,"/","-"),FIND("-",SUBSTITUTE(C1537,"/","-"))-1)))),
DATE(1995,1,1)
)</f>
        <v>34700</v>
      </c>
      <c r="AB1537" s="338"/>
    </row>
    <row r="1538" spans="27:28" x14ac:dyDescent="0.3">
      <c r="AA1538" s="338">
        <f t="shared" si="24"/>
        <v>34700</v>
      </c>
      <c r="AB1538" s="338"/>
    </row>
    <row r="1539" spans="27:28" x14ac:dyDescent="0.3">
      <c r="AA1539" s="338">
        <f t="shared" si="24"/>
        <v>34700</v>
      </c>
      <c r="AB1539" s="338"/>
    </row>
    <row r="1540" spans="27:28" x14ac:dyDescent="0.3">
      <c r="AA1540" s="338">
        <f t="shared" si="24"/>
        <v>34700</v>
      </c>
      <c r="AB1540" s="338"/>
    </row>
    <row r="1541" spans="27:28" x14ac:dyDescent="0.3">
      <c r="AA1541" s="338">
        <f t="shared" si="24"/>
        <v>34700</v>
      </c>
      <c r="AB1541" s="338"/>
    </row>
    <row r="1542" spans="27:28" x14ac:dyDescent="0.3">
      <c r="AA1542" s="338">
        <f t="shared" si="24"/>
        <v>34700</v>
      </c>
      <c r="AB1542" s="338"/>
    </row>
    <row r="1543" spans="27:28" x14ac:dyDescent="0.3">
      <c r="AA1543" s="338">
        <f t="shared" si="24"/>
        <v>34700</v>
      </c>
      <c r="AB1543" s="338"/>
    </row>
    <row r="1544" spans="27:28" x14ac:dyDescent="0.3">
      <c r="AA1544" s="338">
        <f t="shared" si="24"/>
        <v>34700</v>
      </c>
      <c r="AB1544" s="338"/>
    </row>
    <row r="1545" spans="27:28" x14ac:dyDescent="0.3">
      <c r="AA1545" s="338">
        <f t="shared" si="24"/>
        <v>34700</v>
      </c>
      <c r="AB1545" s="338"/>
    </row>
    <row r="1546" spans="27:28" x14ac:dyDescent="0.3">
      <c r="AA1546" s="338">
        <f t="shared" si="24"/>
        <v>34700</v>
      </c>
      <c r="AB1546" s="338"/>
    </row>
    <row r="1547" spans="27:28" x14ac:dyDescent="0.3">
      <c r="AA1547" s="338">
        <f t="shared" si="24"/>
        <v>34700</v>
      </c>
      <c r="AB1547" s="338"/>
    </row>
    <row r="1548" spans="27:28" x14ac:dyDescent="0.3">
      <c r="AA1548" s="338">
        <f t="shared" si="24"/>
        <v>34700</v>
      </c>
      <c r="AB1548" s="338"/>
    </row>
    <row r="1549" spans="27:28" x14ac:dyDescent="0.3">
      <c r="AA1549" s="338">
        <f t="shared" si="24"/>
        <v>34700</v>
      </c>
      <c r="AB1549" s="338"/>
    </row>
    <row r="1550" spans="27:28" x14ac:dyDescent="0.3">
      <c r="AA1550" s="338">
        <f t="shared" si="24"/>
        <v>34700</v>
      </c>
      <c r="AB1550" s="338"/>
    </row>
    <row r="1551" spans="27:28" x14ac:dyDescent="0.3">
      <c r="AA1551" s="338"/>
      <c r="AB1551" s="338"/>
    </row>
    <row r="1552" spans="27:28" x14ac:dyDescent="0.3">
      <c r="AA1552" s="338"/>
      <c r="AB1552" s="338"/>
    </row>
    <row r="1553" spans="27:28" x14ac:dyDescent="0.3">
      <c r="AA1553" s="338"/>
      <c r="AB1553" s="338"/>
    </row>
    <row r="1554" spans="27:28" x14ac:dyDescent="0.3">
      <c r="AA1554" s="338"/>
      <c r="AB1554" s="338"/>
    </row>
    <row r="1555" spans="27:28" x14ac:dyDescent="0.3">
      <c r="AA1555" s="338"/>
      <c r="AB1555" s="338"/>
    </row>
    <row r="1556" spans="27:28" x14ac:dyDescent="0.3">
      <c r="AA1556" s="338"/>
      <c r="AB1556" s="338"/>
    </row>
    <row r="1557" spans="27:28" x14ac:dyDescent="0.3">
      <c r="AA1557" s="338"/>
      <c r="AB1557" s="338"/>
    </row>
    <row r="1558" spans="27:28" x14ac:dyDescent="0.3">
      <c r="AA1558" s="338"/>
      <c r="AB1558" s="338"/>
    </row>
  </sheetData>
  <mergeCells count="7">
    <mergeCell ref="A7:Y7"/>
    <mergeCell ref="A1:Y1"/>
    <mergeCell ref="A2:Y2"/>
    <mergeCell ref="A3:Y3"/>
    <mergeCell ref="A4:Y4"/>
    <mergeCell ref="A5:Y5"/>
    <mergeCell ref="A6:Y6"/>
  </mergeCells>
  <hyperlinks>
    <hyperlink ref="B9" r:id="rId1" display="../inter_sales/intersales_print_view.php?req_no=2118" xr:uid="{BB0E1076-7526-44F1-8E51-5B5521010E5F}"/>
    <hyperlink ref="B10" r:id="rId2" display="../inter_sales/intersales_print_view.php?req_no=2209" xr:uid="{B8DE371D-8932-494A-8DEB-3204E61888D9}"/>
    <hyperlink ref="B11" r:id="rId3" display="../inter_sales/intersales_print_view.php?req_no=2288" xr:uid="{E65BF77C-8833-452F-8674-D902B612BBF3}"/>
    <hyperlink ref="B12" r:id="rId4" display="../inter_sales/intersales_print_view.php?req_no=2209" xr:uid="{70985209-9CF4-4361-805E-128C75D10281}"/>
    <hyperlink ref="B13" r:id="rId5" display="../inter_sales/intersales_print_view.php?req_no=2288" xr:uid="{8DA2B3C8-BF48-4913-A1A9-BB1D15D2D984}"/>
    <hyperlink ref="B14" r:id="rId6" display="../inter_sales/intersales_print_view.php?req_no=2118" xr:uid="{BE46006A-0F78-47E8-92FD-A2DBB43E5914}"/>
    <hyperlink ref="B15" r:id="rId7" display="../inter_sales/intersales_print_view.php?req_no=2209" xr:uid="{73C87464-F30D-4515-9F65-9D7AAC6A3B25}"/>
    <hyperlink ref="B16" r:id="rId8" display="../inter_sales/intersales_print_view.php?req_no=2288" xr:uid="{FF790F03-C831-4063-BA0B-F12A1FC5FE48}"/>
    <hyperlink ref="B17" r:id="rId9" display="../inter_sales/intersales_print_view.php?req_no=2116" xr:uid="{6099C0AE-5D64-4953-A812-44861D2EBC4F}"/>
    <hyperlink ref="B18" r:id="rId10" display="../inter_sales/intersales_print_view.php?req_no=2203" xr:uid="{91086725-B8A6-40B1-9712-3D9C727D8CD9}"/>
    <hyperlink ref="B19" r:id="rId11" display="../inter_sales/intersales_print_view.php?req_no=2287" xr:uid="{798809A6-A210-4A7B-99E3-59ADE9C4275F}"/>
    <hyperlink ref="B20" r:id="rId12" display="../inter_sales/intersales_print_view.php?req_no=2116" xr:uid="{A50C7841-45E3-4AC4-B40B-C89F768C1787}"/>
    <hyperlink ref="B21" r:id="rId13" display="../inter_sales/intersales_print_view.php?req_no=2203" xr:uid="{FC265F39-DFDF-4623-9001-93D09EFBE246}"/>
    <hyperlink ref="B22" r:id="rId14" display="../inter_sales/intersales_print_view.php?req_no=2287" xr:uid="{721C62C5-5A7A-4A00-9A18-FAC1F3AD9F4B}"/>
    <hyperlink ref="B23" r:id="rId15" display="../inter_sales/intersales_print_view.php?req_no=2116" xr:uid="{3E0DD2E4-4B4C-4B7D-99C1-4E86B8E35E26}"/>
    <hyperlink ref="B24" r:id="rId16" display="../inter_sales/intersales_print_view.php?req_no=2203" xr:uid="{80747BDF-B297-4162-B83D-25EDF31BC9AC}"/>
    <hyperlink ref="B25" r:id="rId17" display="../inter_sales/intersales_print_view.php?req_no=2287" xr:uid="{BF117E05-62E7-446C-BE58-0E36BD1D3035}"/>
    <hyperlink ref="B26" r:id="rId18" display="../inter_sales/intersales_print_view.php?req_no=2116" xr:uid="{BB8744FA-0B4D-4B19-8EBC-A4E91D844EE1}"/>
    <hyperlink ref="B27" r:id="rId19" display="../inter_sales/intersales_print_view.php?req_no=2203" xr:uid="{FBFEC8C6-2FE6-40ED-9677-7596DFBCBF14}"/>
    <hyperlink ref="B28" r:id="rId20" display="../inter_sales/intersales_print_view.php?req_no=2287" xr:uid="{02CEA096-94ED-49D7-9878-FA376689E6F7}"/>
    <hyperlink ref="B29" r:id="rId21" display="../inter_sales/intersales_print_view.php?req_no=2116" xr:uid="{2D1E4F26-564E-43AA-9337-8EDE61387FD9}"/>
    <hyperlink ref="B30" r:id="rId22" display="../inter_sales/intersales_print_view.php?req_no=2203" xr:uid="{BDA0C7EA-E9B2-467C-9E4D-CAA2C50D5549}"/>
    <hyperlink ref="B31" r:id="rId23" display="../inter_sales/intersales_print_view.php?req_no=2287" xr:uid="{3CE5858E-89FA-4398-8AE3-4ADABBCACFC3}"/>
    <hyperlink ref="B32" r:id="rId24" display="../inter_sales/intersales_print_view.php?req_no=2116" xr:uid="{E3BE339C-C05A-44B9-BD9A-5AAFC89063EA}"/>
    <hyperlink ref="B33" r:id="rId25" display="../inter_sales/intersales_print_view.php?req_no=2203" xr:uid="{3E6C4034-FE7F-4B3F-9BAE-AB87D012E369}"/>
    <hyperlink ref="B34" r:id="rId26" display="../inter_sales/intersales_print_view.php?req_no=2287" xr:uid="{112EA9B3-229E-42E7-8B3C-2AC34273F038}"/>
    <hyperlink ref="B35" r:id="rId27" display="../inter_sales/intersales_print_view.php?req_no=2287" xr:uid="{A8F601F5-10FE-4E8F-A2A0-03D8A2E31302}"/>
    <hyperlink ref="B36" r:id="rId28" display="../inter_sales/intersales_print_view.php?req_no=2116" xr:uid="{80983EF4-AAC2-4BEB-B2E1-857295121C66}"/>
    <hyperlink ref="B37" r:id="rId29" display="../inter_sales/intersales_print_view.php?req_no=2203" xr:uid="{77CE8DA2-25F7-4448-A43E-C511CEC60A40}"/>
    <hyperlink ref="B38" r:id="rId30" display="../inter_sales/intersales_print_view.php?req_no=2287" xr:uid="{1299BBC2-E19A-4533-B0D7-168DD3756CE3}"/>
    <hyperlink ref="B39" r:id="rId31" display="../inter_sales/intersales_print_view.php?req_no=2115" xr:uid="{30A62F93-6C49-473F-A938-005D78815FE0}"/>
    <hyperlink ref="B40" r:id="rId32" display="../inter_sales/intersales_print_view.php?req_no=2202" xr:uid="{C2041FC4-05DC-45FB-97E1-61C14540D68B}"/>
    <hyperlink ref="B41" r:id="rId33" display="../inter_sales/intersales_print_view.php?req_no=2285" xr:uid="{FBF76668-3A70-46B3-8D72-BC3623B4E62B}"/>
    <hyperlink ref="B42" r:id="rId34" display="../inter_sales/intersales_print_view.php?req_no=2115" xr:uid="{850B884F-3F8A-4C2B-A270-85A989F274DB}"/>
    <hyperlink ref="B43" r:id="rId35" display="../inter_sales/intersales_print_view.php?req_no=2202" xr:uid="{F3F086E7-CCF9-4ADE-A2FC-79CC148A4571}"/>
    <hyperlink ref="B44" r:id="rId36" display="../inter_sales/intersales_print_view.php?req_no=2285" xr:uid="{046C2E88-0A17-4E08-BFBE-B7F85B4F237F}"/>
    <hyperlink ref="B45" r:id="rId37" display="../inter_sales/intersales_print_view.php?req_no=2115" xr:uid="{64282A5D-7D0F-4172-912B-C89D326CBED8}"/>
    <hyperlink ref="B46" r:id="rId38" display="../inter_sales/intersales_print_view.php?req_no=2202" xr:uid="{83239424-0516-45FF-A45F-E3D77C252CD0}"/>
    <hyperlink ref="B47" r:id="rId39" display="../inter_sales/intersales_print_view.php?req_no=2285" xr:uid="{E15D583C-3CEB-407C-8532-6368676D486B}"/>
    <hyperlink ref="B48" r:id="rId40" display="../inter_sales/intersales_print_view.php?req_no=2115" xr:uid="{DD09BB89-7D1C-400A-AB17-E38AD84D3421}"/>
    <hyperlink ref="B49" r:id="rId41" display="../inter_sales/intersales_print_view.php?req_no=2202" xr:uid="{7EDF43BF-6FB2-4197-84BC-62EB809A32AB}"/>
    <hyperlink ref="B50" r:id="rId42" display="../inter_sales/intersales_print_view.php?req_no=2285" xr:uid="{6A66C25D-6100-4BF4-B841-540CAFDEA12A}"/>
    <hyperlink ref="B51" r:id="rId43" display="../inter_sales/intersales_print_view.php?req_no=2115" xr:uid="{2A2BBC27-F657-49B7-B3B8-FF3F97C665A3}"/>
    <hyperlink ref="B52" r:id="rId44" display="../inter_sales/intersales_print_view.php?req_no=2202" xr:uid="{A4AFD492-5BF5-4484-857B-297D8216DDC5}"/>
    <hyperlink ref="B53" r:id="rId45" display="../inter_sales/intersales_print_view.php?req_no=2285" xr:uid="{4119E9ED-3215-4984-AD56-7215156F5167}"/>
    <hyperlink ref="B54" r:id="rId46" display="../inter_sales/intersales_print_view.php?req_no=2115" xr:uid="{EAAC1CCF-436C-477A-90DB-DCCA28CCBA31}"/>
    <hyperlink ref="B55" r:id="rId47" display="../inter_sales/intersales_print_view.php?req_no=2202" xr:uid="{E3A4D108-2963-4F7C-9CF5-2264B535E3A1}"/>
    <hyperlink ref="B56" r:id="rId48" display="../inter_sales/intersales_print_view.php?req_no=2285" xr:uid="{7E898BB5-26AB-4A45-A7E8-54C7935AC360}"/>
    <hyperlink ref="B57" r:id="rId49" display="../inter_sales/intersales_print_view.php?req_no=2115" xr:uid="{F198CDC6-6F51-47F9-BCEB-66D5F64555C9}"/>
    <hyperlink ref="B58" r:id="rId50" display="../inter_sales/intersales_print_view.php?req_no=2202" xr:uid="{4A4806C7-C82A-4E74-988D-27BCE77435B5}"/>
    <hyperlink ref="B59" r:id="rId51" display="../inter_sales/intersales_print_view.php?req_no=2285" xr:uid="{2B3B870A-A7DA-4260-818B-D597E1066228}"/>
    <hyperlink ref="B60" r:id="rId52" display="../inter_sales/intersales_print_view.php?req_no=2118" xr:uid="{91D153D7-A702-4B84-A507-A9B5ECE6A283}"/>
    <hyperlink ref="B61" r:id="rId53" display="../inter_sales/intersales_print_view.php?req_no=2209" xr:uid="{1FF7A629-336D-402E-8328-6605B00CFBC8}"/>
    <hyperlink ref="B62" r:id="rId54" display="../inter_sales/intersales_print_view.php?req_no=2288" xr:uid="{9A45476F-C07C-4B46-AF66-AC0BE9E2E5F1}"/>
    <hyperlink ref="B63" r:id="rId55" display="../inter_sales/intersales_print_view.php?req_no=2119" xr:uid="{78E5EA30-7B4B-454C-83B2-6075BF02A3AA}"/>
    <hyperlink ref="B64" r:id="rId56" display="../inter_sales/intersales_print_view.php?req_no=2204" xr:uid="{8B30A224-72FD-4D1A-A0C4-A23C8A166197}"/>
    <hyperlink ref="B65" r:id="rId57" display="../inter_sales/intersales_print_view.php?req_no=2286" xr:uid="{34038A5B-97BF-4EB9-9746-4EA8388CA391}"/>
    <hyperlink ref="B66" r:id="rId58" display="../inter_sales/intersales_print_view.php?req_no=2285" xr:uid="{52BD95EC-A15F-449C-8BD9-98374E91A35C}"/>
    <hyperlink ref="B67" r:id="rId59" display="../inter_sales/intersales_print_view.php?req_no=2118" xr:uid="{69F7FB8F-BE38-42E3-9195-D7C427F82967}"/>
    <hyperlink ref="B68" r:id="rId60" display="../inter_sales/intersales_print_view.php?req_no=2209" xr:uid="{215B8EA7-D92C-49F7-93DD-3D7CE9A46D48}"/>
    <hyperlink ref="B69" r:id="rId61" display="../inter_sales/intersales_print_view.php?req_no=2288" xr:uid="{009CC28C-92D5-4276-8128-E03F2D2FB1C1}"/>
    <hyperlink ref="B70" r:id="rId62" display="../inter_sales/intersales_print_view.php?req_no=2118" xr:uid="{1ABDEED8-AE4C-4CAA-8A2F-D8BACB8978F4}"/>
    <hyperlink ref="B71" r:id="rId63" display="../inter_sales/intersales_print_view.php?req_no=2209" xr:uid="{40963815-2C58-40D7-BF7C-AF567A11FF49}"/>
    <hyperlink ref="B72" r:id="rId64" display="../inter_sales/intersales_print_view.php?req_no=2288" xr:uid="{07D9CF0E-6FC2-40C0-A123-D6AE90447F1E}"/>
    <hyperlink ref="B73" r:id="rId65" display="../inter_sales/intersales_print_view.php?req_no=2260" xr:uid="{419E7D9F-0FB5-43FB-BABE-11BBEC0A2AD0}"/>
    <hyperlink ref="B74" r:id="rId66" display="../inter_sales/intersales_print_view.php?req_no=2203" xr:uid="{0B2DA219-C0C5-4338-A94D-6D827AF421E1}"/>
    <hyperlink ref="B75" r:id="rId67" display="../inter_sales/intersales_print_view.php?req_no=2110" xr:uid="{938F5421-1021-4A43-A0AD-CCDDA1C982E2}"/>
    <hyperlink ref="B76" r:id="rId68" display="../inter_sales/intersales_print_view.php?req_no=2114" xr:uid="{DC19357A-F6FE-455D-AD7A-7FC9B5358779}"/>
    <hyperlink ref="B77" r:id="rId69" display="../inter_sales/intersales_print_view.php?req_no=2211" xr:uid="{62CF7A8B-BE3F-4C42-BACB-51CF67E9CE52}"/>
    <hyperlink ref="B78" r:id="rId70" display="../inter_sales/intersales_print_view.php?req_no=2291" xr:uid="{9FB5B61F-A48D-4D0D-8E24-0FDABBF8BBE0}"/>
    <hyperlink ref="B79" r:id="rId71" display="../inter_sales/intersales_print_view.php?req_no=2110" xr:uid="{69A6C6AF-30B9-4E9F-8DD6-E65E04F16861}"/>
    <hyperlink ref="B80" r:id="rId72" display="../inter_sales/intersales_print_view.php?req_no=2114" xr:uid="{01241482-EFA4-43F3-88D1-8965B3841F4D}"/>
    <hyperlink ref="B81" r:id="rId73" display="../inter_sales/intersales_print_view.php?req_no=2211" xr:uid="{F662B790-BC25-4DD2-A4A9-12CAB9147CF4}"/>
    <hyperlink ref="B82" r:id="rId74" display="../inter_sales/intersales_print_view.php?req_no=2291" xr:uid="{05E6D48F-DD52-41F2-B44F-51D07A4A52E3}"/>
    <hyperlink ref="B83" r:id="rId75" display="../inter_sales/intersales_print_view.php?req_no=2110" xr:uid="{980D141E-56CE-4312-B8D1-CBA3D141BDB5}"/>
    <hyperlink ref="B84" r:id="rId76" display="../inter_sales/intersales_print_view.php?req_no=2114" xr:uid="{590C4532-F70D-4FDA-829D-7F3B93B02BA7}"/>
    <hyperlink ref="B85" r:id="rId77" display="../inter_sales/intersales_print_view.php?req_no=2152" xr:uid="{76028213-0FF5-4262-90D7-131997F4D33D}"/>
    <hyperlink ref="B86" r:id="rId78" display="../inter_sales/intersales_print_view.php?req_no=2211" xr:uid="{17F47746-47D6-446D-B4AF-C30BFFC0E330}"/>
    <hyperlink ref="B87" r:id="rId79" display="../inter_sales/intersales_print_view.php?req_no=2291" xr:uid="{AFBD89E5-66D7-4713-A184-A667D75499F0}"/>
    <hyperlink ref="B88" r:id="rId80" display="../inter_sales/intersales_print_view.php?req_no=2110" xr:uid="{1D157339-4228-4641-A8AB-013659F28B82}"/>
    <hyperlink ref="B89" r:id="rId81" display="../inter_sales/intersales_print_view.php?req_no=2114" xr:uid="{870A7BEF-744A-4D47-BE9C-15BC907BA35A}"/>
    <hyperlink ref="B90" r:id="rId82" display="../inter_sales/intersales_print_view.php?req_no=2211" xr:uid="{69F6F480-0B39-4DE8-948F-4C321D4D1AC9}"/>
    <hyperlink ref="B91" r:id="rId83" display="../inter_sales/intersales_print_view.php?req_no=2291" xr:uid="{0100E57B-B999-4213-9803-5787AA1201B8}"/>
    <hyperlink ref="B92" r:id="rId84" display="../inter_sales/intersales_print_view.php?req_no=2110" xr:uid="{B71AE112-9DB0-4A6A-A8EA-C76AF28DC9B1}"/>
    <hyperlink ref="B93" r:id="rId85" display="../inter_sales/intersales_print_view.php?req_no=2114" xr:uid="{9590C905-C83D-4269-86EF-6BC350958074}"/>
    <hyperlink ref="B94" r:id="rId86" display="../inter_sales/intersales_print_view.php?req_no=2211" xr:uid="{82ACC0E7-35A3-4A3F-92EB-C3D7B49CF0D8}"/>
    <hyperlink ref="B95" r:id="rId87" display="../inter_sales/intersales_print_view.php?req_no=2291" xr:uid="{87E5D4F3-38F2-4735-922D-6ED9B1D2DB91}"/>
    <hyperlink ref="B96" r:id="rId88" display="../inter_sales/intersales_print_view.php?req_no=2110" xr:uid="{082A1602-DF6E-43DF-B725-67A49EA23970}"/>
    <hyperlink ref="B97" r:id="rId89" display="../inter_sales/intersales_print_view.php?req_no=2114" xr:uid="{D12E7B04-5241-45DB-9AB5-64861A291491}"/>
    <hyperlink ref="B98" r:id="rId90" display="../inter_sales/intersales_print_view.php?req_no=2211" xr:uid="{47E0C53D-F29B-4EFC-B9DF-FA55E9270E90}"/>
    <hyperlink ref="B99" r:id="rId91" display="../inter_sales/intersales_print_view.php?req_no=2291" xr:uid="{5898543E-163F-4DF8-98F6-A66AD63048EB}"/>
    <hyperlink ref="B100" r:id="rId92" display="../inter_sales/intersales_print_view.php?req_no=2110" xr:uid="{F78B211E-E53E-43B5-818E-0718B099FCAA}"/>
    <hyperlink ref="B101" r:id="rId93" display="../inter_sales/intersales_print_view.php?req_no=2114" xr:uid="{58E745C0-D3E0-4580-AC9A-6BF2633118A3}"/>
    <hyperlink ref="B102" r:id="rId94" display="../inter_sales/intersales_print_view.php?req_no=2211" xr:uid="{2F4D0850-069F-4CCF-9CC0-F68072897D4E}"/>
    <hyperlink ref="B103" r:id="rId95" display="../inter_sales/intersales_print_view.php?req_no=2291" xr:uid="{D3F2B28B-7402-4C08-80E1-539B89A870CD}"/>
    <hyperlink ref="B104" r:id="rId96" display="../inter_sales/intersales_print_view.php?req_no=2110" xr:uid="{85E375A3-4C68-481E-970D-0964AC281F15}"/>
    <hyperlink ref="B105" r:id="rId97" display="../inter_sales/intersales_print_view.php?req_no=2114" xr:uid="{DE9B2237-0748-4E3F-9278-44E34E8A4822}"/>
    <hyperlink ref="B106" r:id="rId98" display="../inter_sales/intersales_print_view.php?req_no=2211" xr:uid="{5677FBEB-B793-4EA6-A528-AF58590FED57}"/>
    <hyperlink ref="B107" r:id="rId99" display="../inter_sales/intersales_print_view.php?req_no=2291" xr:uid="{CDD75539-DEB6-444A-B037-C4CA099610F5}"/>
    <hyperlink ref="B108" r:id="rId100" display="../inter_sales/intersales_print_view.php?req_no=2211" xr:uid="{3FDAFA88-0D9A-4442-BAC9-056998275315}"/>
    <hyperlink ref="B109" r:id="rId101" display="../inter_sales/intersales_print_view.php?req_no=2291" xr:uid="{E0EFE8E3-CF13-44D1-A2E0-6F46F58842AD}"/>
    <hyperlink ref="B110" r:id="rId102" display="../inter_sales/intersales_print_view.php?req_no=2110" xr:uid="{F9F55111-6763-4038-AD7C-745EB051D42E}"/>
    <hyperlink ref="B111" r:id="rId103" display="../inter_sales/intersales_print_view.php?req_no=2114" xr:uid="{23143285-83AA-4CE7-9EC7-A67FE47843FB}"/>
    <hyperlink ref="B112" r:id="rId104" display="../inter_sales/intersales_print_view.php?req_no=2211" xr:uid="{E1B7027C-9A29-4997-B54B-974E236A3D38}"/>
    <hyperlink ref="B113" r:id="rId105" display="../inter_sales/intersales_print_view.php?req_no=2291" xr:uid="{FC0EE963-6D98-41E8-9AAD-F60972AB150C}"/>
    <hyperlink ref="B114" r:id="rId106" display="../inter_sales/intersales_print_view.php?req_no=2112" xr:uid="{F82FC8F2-BDDB-4B13-AC8E-2FAEE267A731}"/>
    <hyperlink ref="B115" r:id="rId107" display="../inter_sales/intersales_print_view.php?req_no=2212" xr:uid="{4045AC78-6D00-48AE-9A23-196FEF4B108E}"/>
    <hyperlink ref="B116" r:id="rId108" display="../inter_sales/intersales_print_view.php?req_no=2290" xr:uid="{E4F456E0-A880-4438-8516-B59EC65EB32B}"/>
    <hyperlink ref="B117" r:id="rId109" display="../inter_sales/intersales_print_view.php?req_no=2109" xr:uid="{72CD8690-F0EE-4CBB-8FEE-3A3EDD3C265E}"/>
    <hyperlink ref="B118" r:id="rId110" display="../inter_sales/intersales_print_view.php?req_no=2113" xr:uid="{D90F0F70-00D6-40EE-9830-97DA4A550FD4}"/>
    <hyperlink ref="B119" r:id="rId111" display="../inter_sales/intersales_print_view.php?req_no=2210" xr:uid="{7E612289-F793-42BE-98E3-43E79CEFA27C}"/>
    <hyperlink ref="B120" r:id="rId112" display="../inter_sales/intersales_print_view.php?req_no=2289" xr:uid="{34B642CE-1927-498C-9180-F1D2FEDAE350}"/>
    <hyperlink ref="B121" r:id="rId113" display="../inter_sales/intersales_print_view.php?req_no=2110" xr:uid="{8F7FF4AB-7D45-43D9-8985-499753E378EF}"/>
    <hyperlink ref="B122" r:id="rId114" display="../inter_sales/intersales_print_view.php?req_no=2114" xr:uid="{3FB49EB6-7692-47B6-B7E0-D785561C3D8E}"/>
    <hyperlink ref="B123" r:id="rId115" display="../inter_sales/intersales_print_view.php?req_no=2211" xr:uid="{77B958AF-1445-4C3E-80F4-84768EFAF8CC}"/>
    <hyperlink ref="B124" r:id="rId116" display="../inter_sales/intersales_print_view.php?req_no=2291" xr:uid="{629105FA-710E-4C5A-A234-4054B0440254}"/>
    <hyperlink ref="B125" r:id="rId117" display="../inter_sales/intersales_print_view.php?req_no=2110" xr:uid="{BC6D8272-4917-418B-9833-3B28209C6A0C}"/>
    <hyperlink ref="B126" r:id="rId118" display="../inter_sales/intersales_print_view.php?req_no=2114" xr:uid="{3388E01E-8C93-4EB7-A05B-E3D17E27F333}"/>
    <hyperlink ref="B127" r:id="rId119" display="../inter_sales/intersales_print_view.php?req_no=2211" xr:uid="{B73C264C-6F21-4591-9A31-1CA1AA6CF7D6}"/>
    <hyperlink ref="B128" r:id="rId120" display="../inter_sales/intersales_print_view.php?req_no=2291" xr:uid="{826C7190-00CE-4500-9492-B1B208B1C97B}"/>
    <hyperlink ref="B129" r:id="rId121" display="../inter_sales/intersales_print_view.php?req_no=2110" xr:uid="{B6F6862D-D7F6-44E1-A348-9EE87849E216}"/>
    <hyperlink ref="B130" r:id="rId122" display="../inter_sales/intersales_print_view.php?req_no=2114" xr:uid="{BAB432CF-19B4-41AE-83A1-9FBD92193E5F}"/>
    <hyperlink ref="B131" r:id="rId123" display="../inter_sales/intersales_print_view.php?req_no=2211" xr:uid="{B986561B-C60B-45C0-B96D-D86D97F4DA84}"/>
    <hyperlink ref="B132" r:id="rId124" display="../inter_sales/intersales_print_view.php?req_no=2291" xr:uid="{A87E8AFB-9286-4A0E-A100-CEB624577C03}"/>
    <hyperlink ref="B133" r:id="rId125" display="../inter_sales/intersales_print_view.php?req_no=2110" xr:uid="{946BFB11-5779-4692-B84F-275F6287E712}"/>
    <hyperlink ref="B134" r:id="rId126" display="../inter_sales/intersales_print_view.php?req_no=2114" xr:uid="{9D04DD6D-FBB3-4D49-B920-A60827F1EFF4}"/>
    <hyperlink ref="B135" r:id="rId127" display="../inter_sales/intersales_print_view.php?req_no=2211" xr:uid="{F9F04219-E09B-41D4-B569-4C2271ED9632}"/>
    <hyperlink ref="B136" r:id="rId128" display="../inter_sales/intersales_print_view.php?req_no=2291" xr:uid="{2E3D85BC-61DD-4DB4-901E-E07907E34933}"/>
    <hyperlink ref="B137" r:id="rId129" display="../inter_sales/intersales_print_view.php?req_no=2110" xr:uid="{58BD5332-0079-4B0E-92EF-C7E0DFB2E6BE}"/>
    <hyperlink ref="B138" r:id="rId130" display="../inter_sales/intersales_print_view.php?req_no=2114" xr:uid="{57016F95-4C2C-43F9-B72B-222617390AE9}"/>
    <hyperlink ref="B139" r:id="rId131" display="../inter_sales/intersales_print_view.php?req_no=2211" xr:uid="{32979346-A355-4B74-B7E9-7A9DC0865044}"/>
    <hyperlink ref="B140" r:id="rId132" display="../inter_sales/intersales_print_view.php?req_no=2291" xr:uid="{D7025FF8-4A9A-4889-A42E-E56198726DC4}"/>
    <hyperlink ref="B141" r:id="rId133" display="../inter_sales/intersales_print_view.php?req_no=2110" xr:uid="{4C644676-AF5D-4FF4-BECA-79D6EA336649}"/>
    <hyperlink ref="B142" r:id="rId134" display="../inter_sales/intersales_print_view.php?req_no=2114" xr:uid="{D6BB98E1-6BDB-49CA-B240-442DF982CA70}"/>
    <hyperlink ref="B143" r:id="rId135" display="../inter_sales/intersales_print_view.php?req_no=2211" xr:uid="{41C49518-B37F-4E90-8526-40A9045A9E0B}"/>
    <hyperlink ref="B144" r:id="rId136" display="../inter_sales/intersales_print_view.php?req_no=2291" xr:uid="{A2D53346-EE87-4EC2-A88C-14DDFC0CD2BA}"/>
    <hyperlink ref="B145" r:id="rId137" display="../inter_sales/intersales_print_view.php?req_no=2109" xr:uid="{C3E3AB73-DDDF-46A9-AE72-7FD01FDCBAA9}"/>
    <hyperlink ref="B146" r:id="rId138" display="../inter_sales/intersales_print_view.php?req_no=2113" xr:uid="{47B748D4-CC6D-4C39-BB30-AA9E76953167}"/>
    <hyperlink ref="B147" r:id="rId139" display="../inter_sales/intersales_print_view.php?req_no=2210" xr:uid="{EE3ABCB7-0199-4FDA-905B-72A1B35716C7}"/>
    <hyperlink ref="B148" r:id="rId140" display="../inter_sales/intersales_print_view.php?req_no=2110" xr:uid="{3667764F-4440-45A9-9ADF-48386CD2E079}"/>
    <hyperlink ref="B149" r:id="rId141" display="../inter_sales/intersales_print_view.php?req_no=2114" xr:uid="{23540B9C-2C39-4B52-A9B2-1FDE2613BE1A}"/>
    <hyperlink ref="B150" r:id="rId142" display="../inter_sales/intersales_print_view.php?req_no=2211" xr:uid="{D052E414-F99D-4425-BA55-83D93FF58823}"/>
    <hyperlink ref="B151" r:id="rId143" display="../inter_sales/intersales_print_view.php?req_no=2291" xr:uid="{73D82244-43C8-4CA3-93D7-11983215DD2F}"/>
    <hyperlink ref="B152" r:id="rId144" display="../inter_sales/intersales_print_view.php?req_no=2216" xr:uid="{65637DCA-6447-4006-A606-00F2DEF31043}"/>
    <hyperlink ref="B153" r:id="rId145" display="../inter_sales/intersales_print_view.php?req_no=2112" xr:uid="{66B23D85-D28F-4D86-81FB-E60DF98F7EA3}"/>
    <hyperlink ref="B154" r:id="rId146" display="../inter_sales/intersales_print_view.php?req_no=2156" xr:uid="{1A9357DD-0FFF-45ED-84AA-389EE86CF731}"/>
  </hyperlinks>
  <pageMargins left="0.7" right="0.7" top="0.75" bottom="0.75" header="0.3" footer="0.3"/>
  <drawing r:id="rId14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39997558519241921"/>
  </sheetPr>
  <dimension ref="A1:Q142"/>
  <sheetViews>
    <sheetView zoomScaleNormal="100" workbookViewId="0">
      <pane xSplit="1" ySplit="3" topLeftCell="B24" activePane="bottomRight" state="frozen"/>
      <selection activeCell="AA1" sqref="AA1:AA1048576"/>
      <selection pane="topRight" activeCell="AA1" sqref="AA1:AA1048576"/>
      <selection pane="bottomLeft" activeCell="AA1" sqref="AA1:AA1048576"/>
      <selection pane="bottomRight" activeCell="F125" sqref="F125"/>
    </sheetView>
  </sheetViews>
  <sheetFormatPr defaultColWidth="8.88671875" defaultRowHeight="13.8" x14ac:dyDescent="0.3"/>
  <cols>
    <col min="1" max="1" width="4.6640625" style="287" customWidth="1"/>
    <col min="2" max="2" width="28.44140625" style="287" bestFit="1" customWidth="1"/>
    <col min="3" max="3" width="11.6640625" style="287" bestFit="1" customWidth="1"/>
    <col min="4" max="4" width="55.6640625" style="287" bestFit="1" customWidth="1"/>
    <col min="5" max="5" width="4.6640625" style="287" bestFit="1" customWidth="1"/>
    <col min="6" max="6" width="8.5546875" style="22" bestFit="1" customWidth="1"/>
    <col min="7" max="7" width="9.44140625" style="22" customWidth="1"/>
    <col min="8" max="8" width="7.6640625" style="22" bestFit="1" customWidth="1"/>
    <col min="9" max="9" width="9.6640625" style="22" customWidth="1"/>
    <col min="10" max="10" width="11.44140625" style="287" customWidth="1"/>
    <col min="11" max="11" width="8.88671875" style="287" customWidth="1"/>
    <col min="12" max="12" width="13" style="287" hidden="1" customWidth="1"/>
    <col min="13" max="15" width="8.88671875" style="287" customWidth="1"/>
    <col min="16" max="17" width="13" style="287" hidden="1" customWidth="1"/>
    <col min="18" max="20" width="8.88671875" style="287" customWidth="1"/>
    <col min="21" max="16384" width="8.88671875" style="287"/>
  </cols>
  <sheetData>
    <row r="1" spans="1:17" ht="37.5" customHeight="1" thickBot="1" x14ac:dyDescent="0.35">
      <c r="A1" s="410" t="s">
        <v>643</v>
      </c>
      <c r="B1" s="411"/>
      <c r="C1" s="411"/>
      <c r="D1" s="411"/>
      <c r="E1" s="411"/>
      <c r="F1" s="411"/>
      <c r="G1" s="411"/>
      <c r="H1" s="411"/>
      <c r="I1" s="412"/>
    </row>
    <row r="2" spans="1:17" ht="31.2" customHeight="1" thickBot="1" x14ac:dyDescent="0.35">
      <c r="A2" s="413" t="s">
        <v>528</v>
      </c>
      <c r="B2" s="405" t="s">
        <v>3</v>
      </c>
      <c r="C2" s="405" t="s">
        <v>644</v>
      </c>
      <c r="D2" s="405" t="s">
        <v>530</v>
      </c>
      <c r="E2" s="405" t="s">
        <v>8</v>
      </c>
      <c r="F2" s="405" t="s">
        <v>645</v>
      </c>
      <c r="G2" s="403" t="s">
        <v>646</v>
      </c>
      <c r="H2" s="405" t="s">
        <v>572</v>
      </c>
      <c r="I2" s="417" t="s">
        <v>647</v>
      </c>
      <c r="J2" s="288" t="s">
        <v>648</v>
      </c>
      <c r="K2" s="289" t="s">
        <v>649</v>
      </c>
    </row>
    <row r="3" spans="1:17" ht="15.75" customHeight="1" thickBot="1" x14ac:dyDescent="0.35">
      <c r="A3" s="414"/>
      <c r="B3" s="404"/>
      <c r="C3" s="404"/>
      <c r="D3" s="404"/>
      <c r="E3" s="404"/>
      <c r="F3" s="404"/>
      <c r="G3" s="404"/>
      <c r="H3" s="404"/>
      <c r="I3" s="407"/>
      <c r="J3" s="290" t="s">
        <v>650</v>
      </c>
      <c r="K3" s="291">
        <v>2026</v>
      </c>
      <c r="L3" s="287" t="str">
        <f>J3&amp;K3</f>
        <v>August2026</v>
      </c>
    </row>
    <row r="4" spans="1:17" ht="15.75" customHeight="1" thickBot="1" x14ac:dyDescent="0.35">
      <c r="A4" s="292" t="s">
        <v>651</v>
      </c>
      <c r="B4" s="293"/>
      <c r="C4" s="293"/>
      <c r="D4" s="293"/>
      <c r="E4" s="293"/>
      <c r="F4" s="294"/>
      <c r="G4" s="294"/>
      <c r="H4" s="294"/>
      <c r="I4" s="408">
        <f>AVERAGE(I6:I17)</f>
        <v>0.33304383975812546</v>
      </c>
    </row>
    <row r="5" spans="1:17" x14ac:dyDescent="0.3">
      <c r="A5" s="295" t="s">
        <v>553</v>
      </c>
      <c r="B5" s="296"/>
      <c r="C5" s="297"/>
      <c r="D5" s="297"/>
      <c r="E5" s="297"/>
      <c r="F5" s="298"/>
      <c r="G5" s="298"/>
      <c r="H5" s="298"/>
      <c r="I5" s="409"/>
    </row>
    <row r="6" spans="1:17" x14ac:dyDescent="0.3">
      <c r="A6" s="299">
        <v>1</v>
      </c>
      <c r="B6" s="299" t="s">
        <v>652</v>
      </c>
      <c r="C6" s="299">
        <v>3101010078</v>
      </c>
      <c r="D6" s="299" t="s">
        <v>91</v>
      </c>
      <c r="E6" s="300" t="s">
        <v>41</v>
      </c>
      <c r="F6" s="181">
        <f t="array" ref="F6:F142">SUMIFS(Compile!J:J,Compile!G:G,C6:C142,Compile!AM:AM,$L$3)</f>
        <v>94500</v>
      </c>
      <c r="G6" s="181">
        <f t="array" ref="G6:G142">SUMIFS(Compile!L:L,Compile!G:G,C6:C142,Compile!AM:AM,$L$3)</f>
        <v>86435</v>
      </c>
      <c r="H6" s="181">
        <f t="shared" ref="H6:H17" si="0">F6-G6</f>
        <v>8065</v>
      </c>
      <c r="I6" s="307">
        <f t="shared" ref="I6:I17" si="1">IFERROR(H6/F6, "")</f>
        <v>8.5343915343915347E-2</v>
      </c>
    </row>
    <row r="7" spans="1:17" x14ac:dyDescent="0.3">
      <c r="A7" s="299">
        <v>2</v>
      </c>
      <c r="B7" s="299" t="s">
        <v>652</v>
      </c>
      <c r="C7" s="299">
        <v>3101010080</v>
      </c>
      <c r="D7" s="299" t="s">
        <v>93</v>
      </c>
      <c r="E7" s="300" t="s">
        <v>41</v>
      </c>
      <c r="F7" s="181">
        <v>47250</v>
      </c>
      <c r="G7" s="181">
        <v>20300</v>
      </c>
      <c r="H7" s="181">
        <f t="shared" si="0"/>
        <v>26950</v>
      </c>
      <c r="I7" s="307">
        <f t="shared" si="1"/>
        <v>0.57037037037037042</v>
      </c>
    </row>
    <row r="8" spans="1:17" x14ac:dyDescent="0.3">
      <c r="A8" s="299">
        <v>3</v>
      </c>
      <c r="B8" s="299" t="s">
        <v>652</v>
      </c>
      <c r="C8" s="299">
        <v>3101010081</v>
      </c>
      <c r="D8" s="299" t="s">
        <v>94</v>
      </c>
      <c r="E8" s="300" t="s">
        <v>41</v>
      </c>
      <c r="F8" s="181">
        <v>110250</v>
      </c>
      <c r="G8" s="181">
        <v>87900</v>
      </c>
      <c r="H8" s="181">
        <f t="shared" si="0"/>
        <v>22350</v>
      </c>
      <c r="I8" s="307">
        <f t="shared" si="1"/>
        <v>0.20272108843537415</v>
      </c>
    </row>
    <row r="9" spans="1:17" x14ac:dyDescent="0.3">
      <c r="A9" s="299">
        <v>4</v>
      </c>
      <c r="B9" s="299" t="s">
        <v>652</v>
      </c>
      <c r="C9" s="299">
        <v>3101010083</v>
      </c>
      <c r="D9" s="299" t="s">
        <v>95</v>
      </c>
      <c r="E9" s="300" t="s">
        <v>41</v>
      </c>
      <c r="F9" s="181">
        <v>36750</v>
      </c>
      <c r="G9" s="181">
        <v>0</v>
      </c>
      <c r="H9" s="181">
        <f t="shared" si="0"/>
        <v>36750</v>
      </c>
      <c r="I9" s="307">
        <f t="shared" si="1"/>
        <v>1</v>
      </c>
    </row>
    <row r="10" spans="1:17" x14ac:dyDescent="0.3">
      <c r="A10" s="299">
        <v>5</v>
      </c>
      <c r="B10" s="299" t="s">
        <v>652</v>
      </c>
      <c r="C10" s="299">
        <v>3101010084</v>
      </c>
      <c r="D10" s="299" t="s">
        <v>96</v>
      </c>
      <c r="E10" s="300" t="s">
        <v>41</v>
      </c>
      <c r="F10" s="181">
        <v>47250</v>
      </c>
      <c r="G10" s="181">
        <v>41302</v>
      </c>
      <c r="H10" s="181">
        <f t="shared" si="0"/>
        <v>5948</v>
      </c>
      <c r="I10" s="307">
        <f t="shared" si="1"/>
        <v>0.12588359788359788</v>
      </c>
    </row>
    <row r="11" spans="1:17" x14ac:dyDescent="0.3">
      <c r="A11" s="299">
        <v>6</v>
      </c>
      <c r="B11" s="299" t="s">
        <v>652</v>
      </c>
      <c r="C11" s="299">
        <v>3101010085</v>
      </c>
      <c r="D11" s="299" t="s">
        <v>97</v>
      </c>
      <c r="E11" s="300" t="s">
        <v>41</v>
      </c>
      <c r="F11" s="181">
        <v>20000</v>
      </c>
      <c r="G11" s="181">
        <v>20000</v>
      </c>
      <c r="H11" s="181">
        <f t="shared" si="0"/>
        <v>0</v>
      </c>
      <c r="I11" s="307">
        <f t="shared" si="1"/>
        <v>0</v>
      </c>
    </row>
    <row r="12" spans="1:17" x14ac:dyDescent="0.3">
      <c r="A12" s="299">
        <v>7</v>
      </c>
      <c r="B12" s="299" t="s">
        <v>652</v>
      </c>
      <c r="C12" s="299">
        <v>3101010086</v>
      </c>
      <c r="D12" s="299" t="s">
        <v>98</v>
      </c>
      <c r="E12" s="300" t="s">
        <v>41</v>
      </c>
      <c r="F12" s="181">
        <v>94500</v>
      </c>
      <c r="G12" s="181">
        <v>74652</v>
      </c>
      <c r="H12" s="181">
        <f t="shared" si="0"/>
        <v>19848</v>
      </c>
      <c r="I12" s="307">
        <f t="shared" si="1"/>
        <v>0.21003174603174604</v>
      </c>
    </row>
    <row r="13" spans="1:17" x14ac:dyDescent="0.3">
      <c r="A13" s="299">
        <v>8</v>
      </c>
      <c r="B13" s="299" t="s">
        <v>652</v>
      </c>
      <c r="C13" s="299">
        <v>3101010107</v>
      </c>
      <c r="D13" s="299" t="s">
        <v>104</v>
      </c>
      <c r="E13" s="300" t="s">
        <v>41</v>
      </c>
      <c r="F13" s="181">
        <v>50000</v>
      </c>
      <c r="G13" s="181">
        <v>26500</v>
      </c>
      <c r="H13" s="181">
        <f t="shared" si="0"/>
        <v>23500</v>
      </c>
      <c r="I13" s="307">
        <f t="shared" si="1"/>
        <v>0.47</v>
      </c>
      <c r="P13" s="287" t="s">
        <v>653</v>
      </c>
      <c r="Q13" s="287">
        <v>2026</v>
      </c>
    </row>
    <row r="14" spans="1:17" x14ac:dyDescent="0.3">
      <c r="A14" s="299">
        <v>9</v>
      </c>
      <c r="B14" s="299" t="s">
        <v>652</v>
      </c>
      <c r="C14" s="299">
        <v>3101010110</v>
      </c>
      <c r="D14" s="299" t="s">
        <v>107</v>
      </c>
      <c r="E14" s="300" t="s">
        <v>41</v>
      </c>
      <c r="F14" s="181">
        <v>0</v>
      </c>
      <c r="G14" s="181">
        <v>0</v>
      </c>
      <c r="H14" s="181">
        <f t="shared" si="0"/>
        <v>0</v>
      </c>
      <c r="I14" s="307" t="str">
        <f t="shared" si="1"/>
        <v/>
      </c>
      <c r="P14" s="287" t="s">
        <v>654</v>
      </c>
      <c r="Q14" s="287">
        <v>2027</v>
      </c>
    </row>
    <row r="15" spans="1:17" x14ac:dyDescent="0.3">
      <c r="A15" s="299">
        <v>10</v>
      </c>
      <c r="B15" s="299" t="s">
        <v>652</v>
      </c>
      <c r="C15" s="299">
        <v>3101010117</v>
      </c>
      <c r="D15" s="299" t="s">
        <v>113</v>
      </c>
      <c r="E15" s="300" t="s">
        <v>41</v>
      </c>
      <c r="F15" s="181">
        <v>0</v>
      </c>
      <c r="G15" s="181">
        <v>0</v>
      </c>
      <c r="H15" s="181">
        <f t="shared" si="0"/>
        <v>0</v>
      </c>
      <c r="I15" s="307" t="str">
        <f t="shared" si="1"/>
        <v/>
      </c>
      <c r="P15" s="287" t="s">
        <v>655</v>
      </c>
      <c r="Q15" s="287">
        <v>2028</v>
      </c>
    </row>
    <row r="16" spans="1:17" x14ac:dyDescent="0.3">
      <c r="A16" s="299">
        <v>11</v>
      </c>
      <c r="B16" s="299" t="s">
        <v>16</v>
      </c>
      <c r="C16" s="299">
        <v>3101010119</v>
      </c>
      <c r="D16" s="299" t="s">
        <v>115</v>
      </c>
      <c r="E16" s="300"/>
      <c r="F16" s="181">
        <v>0</v>
      </c>
      <c r="G16" s="181">
        <v>0</v>
      </c>
      <c r="H16" s="181">
        <f t="shared" si="0"/>
        <v>0</v>
      </c>
      <c r="I16" s="307" t="str">
        <f t="shared" si="1"/>
        <v/>
      </c>
    </row>
    <row r="17" spans="1:16" x14ac:dyDescent="0.3">
      <c r="A17" s="299">
        <v>12</v>
      </c>
      <c r="B17" s="299" t="s">
        <v>652</v>
      </c>
      <c r="C17" s="299">
        <v>3101010137</v>
      </c>
      <c r="D17" s="299" t="s">
        <v>134</v>
      </c>
      <c r="E17" s="300" t="s">
        <v>41</v>
      </c>
      <c r="F17" s="181">
        <v>0</v>
      </c>
      <c r="G17" s="181">
        <v>0</v>
      </c>
      <c r="H17" s="181">
        <f t="shared" si="0"/>
        <v>0</v>
      </c>
      <c r="I17" s="307" t="str">
        <f t="shared" si="1"/>
        <v/>
      </c>
      <c r="P17" s="287" t="s">
        <v>656</v>
      </c>
    </row>
    <row r="18" spans="1:16" ht="15.75" customHeight="1" thickBot="1" x14ac:dyDescent="0.35">
      <c r="A18" s="308" t="s">
        <v>537</v>
      </c>
      <c r="B18" s="309"/>
      <c r="C18" s="310"/>
      <c r="D18" s="310"/>
      <c r="E18" s="310"/>
      <c r="F18" s="301">
        <v>0</v>
      </c>
      <c r="G18" s="301">
        <v>0</v>
      </c>
      <c r="H18" s="301"/>
      <c r="I18" s="311">
        <f>AVERAGE(I19:I34)</f>
        <v>0.32107279829545454</v>
      </c>
    </row>
    <row r="19" spans="1:16" ht="15.75" customHeight="1" x14ac:dyDescent="0.3">
      <c r="A19" s="312">
        <v>13</v>
      </c>
      <c r="B19" s="313" t="s">
        <v>652</v>
      </c>
      <c r="C19" s="313">
        <v>3102010001</v>
      </c>
      <c r="D19" s="313" t="s">
        <v>140</v>
      </c>
      <c r="E19" s="314" t="s">
        <v>41</v>
      </c>
      <c r="F19" s="222">
        <v>5500</v>
      </c>
      <c r="G19" s="222">
        <v>3860</v>
      </c>
      <c r="H19" s="222">
        <f t="shared" ref="H19:H35" si="2">F19-G19</f>
        <v>1640</v>
      </c>
      <c r="I19" s="315">
        <f t="shared" ref="I19:I34" si="3">IFERROR(H19/F19, "")</f>
        <v>0.29818181818181816</v>
      </c>
      <c r="P19" s="287" t="s">
        <v>657</v>
      </c>
    </row>
    <row r="20" spans="1:16" x14ac:dyDescent="0.3">
      <c r="A20" s="316">
        <v>14</v>
      </c>
      <c r="B20" s="299" t="s">
        <v>652</v>
      </c>
      <c r="C20" s="299">
        <v>3102010002</v>
      </c>
      <c r="D20" s="299" t="s">
        <v>141</v>
      </c>
      <c r="E20" s="300" t="s">
        <v>41</v>
      </c>
      <c r="F20" s="181">
        <v>5500</v>
      </c>
      <c r="G20" s="181">
        <v>4461</v>
      </c>
      <c r="H20" s="181">
        <f t="shared" si="2"/>
        <v>1039</v>
      </c>
      <c r="I20" s="317">
        <f t="shared" si="3"/>
        <v>0.18890909090909092</v>
      </c>
      <c r="P20" s="287" t="s">
        <v>658</v>
      </c>
    </row>
    <row r="21" spans="1:16" x14ac:dyDescent="0.3">
      <c r="A21" s="318">
        <v>15</v>
      </c>
      <c r="B21" s="299" t="s">
        <v>652</v>
      </c>
      <c r="C21" s="299">
        <v>3102010003</v>
      </c>
      <c r="D21" s="299" t="s">
        <v>142</v>
      </c>
      <c r="E21" s="300" t="s">
        <v>41</v>
      </c>
      <c r="F21" s="181">
        <v>18000</v>
      </c>
      <c r="G21" s="181">
        <v>16482</v>
      </c>
      <c r="H21" s="181">
        <f t="shared" si="2"/>
        <v>1518</v>
      </c>
      <c r="I21" s="317">
        <f t="shared" si="3"/>
        <v>8.433333333333333E-2</v>
      </c>
      <c r="P21" s="287" t="s">
        <v>659</v>
      </c>
    </row>
    <row r="22" spans="1:16" x14ac:dyDescent="0.3">
      <c r="A22" s="316">
        <v>16</v>
      </c>
      <c r="B22" s="299" t="s">
        <v>652</v>
      </c>
      <c r="C22" s="299">
        <v>3102010004</v>
      </c>
      <c r="D22" s="299" t="s">
        <v>143</v>
      </c>
      <c r="E22" s="300" t="s">
        <v>41</v>
      </c>
      <c r="F22" s="181">
        <v>5500</v>
      </c>
      <c r="G22" s="181">
        <v>5500</v>
      </c>
      <c r="H22" s="181">
        <f t="shared" si="2"/>
        <v>0</v>
      </c>
      <c r="I22" s="317">
        <f t="shared" si="3"/>
        <v>0</v>
      </c>
      <c r="P22" s="287" t="s">
        <v>650</v>
      </c>
    </row>
    <row r="23" spans="1:16" x14ac:dyDescent="0.3">
      <c r="A23" s="318">
        <v>17</v>
      </c>
      <c r="B23" s="299" t="s">
        <v>652</v>
      </c>
      <c r="C23" s="299">
        <v>3102010005</v>
      </c>
      <c r="D23" s="299" t="s">
        <v>144</v>
      </c>
      <c r="E23" s="300" t="s">
        <v>41</v>
      </c>
      <c r="F23" s="181">
        <v>5500</v>
      </c>
      <c r="G23" s="181">
        <v>1500</v>
      </c>
      <c r="H23" s="181">
        <f t="shared" si="2"/>
        <v>4000</v>
      </c>
      <c r="I23" s="317">
        <f t="shared" si="3"/>
        <v>0.72727272727272729</v>
      </c>
      <c r="P23" s="287" t="s">
        <v>660</v>
      </c>
    </row>
    <row r="24" spans="1:16" x14ac:dyDescent="0.3">
      <c r="A24" s="316">
        <v>18</v>
      </c>
      <c r="B24" s="299" t="s">
        <v>652</v>
      </c>
      <c r="C24" s="299">
        <v>3102010006</v>
      </c>
      <c r="D24" s="299" t="s">
        <v>145</v>
      </c>
      <c r="E24" s="300" t="s">
        <v>41</v>
      </c>
      <c r="F24" s="181">
        <v>16000</v>
      </c>
      <c r="G24" s="181">
        <v>10925</v>
      </c>
      <c r="H24" s="181">
        <f t="shared" si="2"/>
        <v>5075</v>
      </c>
      <c r="I24" s="317">
        <f t="shared" si="3"/>
        <v>0.31718750000000001</v>
      </c>
      <c r="P24" s="287" t="s">
        <v>661</v>
      </c>
    </row>
    <row r="25" spans="1:16" x14ac:dyDescent="0.3">
      <c r="A25" s="318">
        <v>19</v>
      </c>
      <c r="B25" s="299" t="s">
        <v>652</v>
      </c>
      <c r="C25" s="299">
        <v>3102010007</v>
      </c>
      <c r="D25" s="299" t="s">
        <v>146</v>
      </c>
      <c r="E25" s="300" t="s">
        <v>41</v>
      </c>
      <c r="F25" s="181">
        <v>16000</v>
      </c>
      <c r="G25" s="181">
        <v>16000</v>
      </c>
      <c r="H25" s="181">
        <f t="shared" si="2"/>
        <v>0</v>
      </c>
      <c r="I25" s="317">
        <f t="shared" si="3"/>
        <v>0</v>
      </c>
      <c r="P25" s="287" t="s">
        <v>662</v>
      </c>
    </row>
    <row r="26" spans="1:16" x14ac:dyDescent="0.3">
      <c r="A26" s="316">
        <v>20</v>
      </c>
      <c r="B26" s="299" t="s">
        <v>652</v>
      </c>
      <c r="C26" s="299">
        <v>3102010008</v>
      </c>
      <c r="D26" s="299" t="s">
        <v>147</v>
      </c>
      <c r="E26" s="300" t="s">
        <v>41</v>
      </c>
      <c r="F26" s="181">
        <v>5500</v>
      </c>
      <c r="G26" s="181">
        <v>5500</v>
      </c>
      <c r="H26" s="181">
        <f t="shared" si="2"/>
        <v>0</v>
      </c>
      <c r="I26" s="317">
        <f t="shared" si="3"/>
        <v>0</v>
      </c>
      <c r="P26" s="287" t="s">
        <v>663</v>
      </c>
    </row>
    <row r="27" spans="1:16" x14ac:dyDescent="0.3">
      <c r="A27" s="318">
        <v>21</v>
      </c>
      <c r="B27" s="299" t="s">
        <v>652</v>
      </c>
      <c r="C27" s="299">
        <v>3102010009</v>
      </c>
      <c r="D27" s="299" t="s">
        <v>148</v>
      </c>
      <c r="E27" s="300" t="s">
        <v>41</v>
      </c>
      <c r="F27" s="181">
        <v>16000</v>
      </c>
      <c r="G27" s="181">
        <v>0</v>
      </c>
      <c r="H27" s="181">
        <f t="shared" si="2"/>
        <v>16000</v>
      </c>
      <c r="I27" s="317">
        <f t="shared" si="3"/>
        <v>1</v>
      </c>
    </row>
    <row r="28" spans="1:16" x14ac:dyDescent="0.3">
      <c r="A28" s="316">
        <v>22</v>
      </c>
      <c r="B28" s="299" t="s">
        <v>652</v>
      </c>
      <c r="C28" s="299">
        <v>3102010011</v>
      </c>
      <c r="D28" s="299" t="s">
        <v>150</v>
      </c>
      <c r="E28" s="300" t="s">
        <v>41</v>
      </c>
      <c r="F28" s="181">
        <v>16000</v>
      </c>
      <c r="G28" s="181">
        <v>3500</v>
      </c>
      <c r="H28" s="181">
        <f t="shared" si="2"/>
        <v>12500</v>
      </c>
      <c r="I28" s="317">
        <f t="shared" si="3"/>
        <v>0.78125</v>
      </c>
    </row>
    <row r="29" spans="1:16" x14ac:dyDescent="0.3">
      <c r="A29" s="318">
        <v>23</v>
      </c>
      <c r="B29" s="299" t="s">
        <v>652</v>
      </c>
      <c r="C29" s="299">
        <v>3102010019</v>
      </c>
      <c r="D29" s="299" t="s">
        <v>156</v>
      </c>
      <c r="E29" s="300" t="s">
        <v>41</v>
      </c>
      <c r="F29" s="181">
        <v>16000</v>
      </c>
      <c r="G29" s="181">
        <v>16000</v>
      </c>
      <c r="H29" s="181">
        <f t="shared" si="2"/>
        <v>0</v>
      </c>
      <c r="I29" s="317">
        <f t="shared" si="3"/>
        <v>0</v>
      </c>
    </row>
    <row r="30" spans="1:16" x14ac:dyDescent="0.3">
      <c r="A30" s="316">
        <v>24</v>
      </c>
      <c r="B30" s="299" t="s">
        <v>652</v>
      </c>
      <c r="C30" s="299">
        <v>3202010010</v>
      </c>
      <c r="D30" s="299" t="s">
        <v>319</v>
      </c>
      <c r="E30" s="300" t="s">
        <v>41</v>
      </c>
      <c r="F30" s="181">
        <v>11000</v>
      </c>
      <c r="G30" s="181">
        <v>9351</v>
      </c>
      <c r="H30" s="181">
        <f t="shared" si="2"/>
        <v>1649</v>
      </c>
      <c r="I30" s="317">
        <f t="shared" si="3"/>
        <v>0.14990909090909091</v>
      </c>
    </row>
    <row r="31" spans="1:16" x14ac:dyDescent="0.3">
      <c r="A31" s="318">
        <v>25</v>
      </c>
      <c r="B31" s="299" t="s">
        <v>652</v>
      </c>
      <c r="C31" s="299">
        <v>3202010011</v>
      </c>
      <c r="D31" s="299" t="s">
        <v>320</v>
      </c>
      <c r="E31" s="300" t="s">
        <v>41</v>
      </c>
      <c r="F31" s="181">
        <v>11000</v>
      </c>
      <c r="G31" s="181">
        <v>3750</v>
      </c>
      <c r="H31" s="181">
        <f t="shared" si="2"/>
        <v>7250</v>
      </c>
      <c r="I31" s="317">
        <f t="shared" si="3"/>
        <v>0.65909090909090906</v>
      </c>
    </row>
    <row r="32" spans="1:16" x14ac:dyDescent="0.3">
      <c r="A32" s="316">
        <v>26</v>
      </c>
      <c r="B32" s="299" t="s">
        <v>652</v>
      </c>
      <c r="C32" s="299">
        <v>3202010012</v>
      </c>
      <c r="D32" s="299" t="s">
        <v>321</v>
      </c>
      <c r="E32" s="300" t="s">
        <v>41</v>
      </c>
      <c r="F32" s="181">
        <v>11000</v>
      </c>
      <c r="G32" s="181">
        <v>9437</v>
      </c>
      <c r="H32" s="181">
        <f t="shared" si="2"/>
        <v>1563</v>
      </c>
      <c r="I32" s="317">
        <f t="shared" si="3"/>
        <v>0.1420909090909091</v>
      </c>
    </row>
    <row r="33" spans="1:9" x14ac:dyDescent="0.3">
      <c r="A33" s="318">
        <v>27</v>
      </c>
      <c r="B33" s="299" t="s">
        <v>652</v>
      </c>
      <c r="C33" s="299">
        <v>3202010013</v>
      </c>
      <c r="D33" s="299" t="s">
        <v>322</v>
      </c>
      <c r="E33" s="300" t="s">
        <v>41</v>
      </c>
      <c r="F33" s="181">
        <v>33000</v>
      </c>
      <c r="G33" s="181">
        <v>6965</v>
      </c>
      <c r="H33" s="181">
        <f t="shared" si="2"/>
        <v>26035</v>
      </c>
      <c r="I33" s="317">
        <f t="shared" si="3"/>
        <v>0.78893939393939394</v>
      </c>
    </row>
    <row r="34" spans="1:9" ht="15.75" customHeight="1" thickBot="1" x14ac:dyDescent="0.35">
      <c r="A34" s="319">
        <v>28</v>
      </c>
      <c r="B34" s="320" t="s">
        <v>652</v>
      </c>
      <c r="C34" s="320">
        <v>3202010014</v>
      </c>
      <c r="D34" s="320" t="s">
        <v>323</v>
      </c>
      <c r="E34" s="321" t="s">
        <v>41</v>
      </c>
      <c r="F34" s="185">
        <v>11000</v>
      </c>
      <c r="G34" s="185">
        <v>11000</v>
      </c>
      <c r="H34" s="185">
        <f t="shared" si="2"/>
        <v>0</v>
      </c>
      <c r="I34" s="317">
        <f t="shared" si="3"/>
        <v>0</v>
      </c>
    </row>
    <row r="35" spans="1:9" ht="15.75" customHeight="1" thickBot="1" x14ac:dyDescent="0.35">
      <c r="A35" s="322" t="s">
        <v>664</v>
      </c>
      <c r="B35" s="293"/>
      <c r="C35" s="293"/>
      <c r="D35" s="293"/>
      <c r="E35" s="293"/>
      <c r="F35" s="302">
        <v>0</v>
      </c>
      <c r="G35" s="302">
        <v>0</v>
      </c>
      <c r="H35" s="302">
        <f t="shared" si="2"/>
        <v>0</v>
      </c>
      <c r="I35" s="415">
        <f>AVERAGE(I37:I45)</f>
        <v>0.26857945322793148</v>
      </c>
    </row>
    <row r="36" spans="1:9" ht="15.75" customHeight="1" thickBot="1" x14ac:dyDescent="0.35">
      <c r="A36" s="308" t="s">
        <v>553</v>
      </c>
      <c r="B36" s="323"/>
      <c r="C36" s="310"/>
      <c r="D36" s="310"/>
      <c r="E36" s="310"/>
      <c r="F36" s="301">
        <v>0</v>
      </c>
      <c r="G36" s="301">
        <v>0</v>
      </c>
      <c r="H36" s="301"/>
      <c r="I36" s="416"/>
    </row>
    <row r="37" spans="1:9" x14ac:dyDescent="0.3">
      <c r="A37" s="318">
        <v>1</v>
      </c>
      <c r="B37" s="324" t="s">
        <v>652</v>
      </c>
      <c r="C37" s="324">
        <v>3101010071</v>
      </c>
      <c r="D37" s="324" t="s">
        <v>84</v>
      </c>
      <c r="E37" s="324" t="s">
        <v>41</v>
      </c>
      <c r="F37" s="303">
        <v>120750</v>
      </c>
      <c r="G37" s="303">
        <v>75795</v>
      </c>
      <c r="H37" s="303">
        <f t="shared" ref="H37:H45" si="4">F37-G37</f>
        <v>44955</v>
      </c>
      <c r="I37" s="315">
        <f t="shared" ref="I37:I45" si="5">IFERROR(H37/F37, "")</f>
        <v>0.37229813664596273</v>
      </c>
    </row>
    <row r="38" spans="1:9" x14ac:dyDescent="0.3">
      <c r="A38" s="316">
        <v>2</v>
      </c>
      <c r="B38" s="299" t="s">
        <v>652</v>
      </c>
      <c r="C38" s="299">
        <v>3101010072</v>
      </c>
      <c r="D38" s="299" t="s">
        <v>85</v>
      </c>
      <c r="E38" s="299" t="s">
        <v>41</v>
      </c>
      <c r="F38" s="181">
        <v>10500</v>
      </c>
      <c r="G38" s="181">
        <v>9526</v>
      </c>
      <c r="H38" s="181">
        <f t="shared" si="4"/>
        <v>974</v>
      </c>
      <c r="I38" s="315">
        <f t="shared" si="5"/>
        <v>9.2761904761904768E-2</v>
      </c>
    </row>
    <row r="39" spans="1:9" x14ac:dyDescent="0.3">
      <c r="A39" s="316">
        <v>3</v>
      </c>
      <c r="B39" s="299" t="s">
        <v>652</v>
      </c>
      <c r="C39" s="299">
        <v>3101010073</v>
      </c>
      <c r="D39" s="299" t="s">
        <v>86</v>
      </c>
      <c r="E39" s="299" t="s">
        <v>41</v>
      </c>
      <c r="F39" s="181">
        <v>131250</v>
      </c>
      <c r="G39" s="181">
        <v>131249</v>
      </c>
      <c r="H39" s="181">
        <f t="shared" si="4"/>
        <v>1</v>
      </c>
      <c r="I39" s="315">
        <f t="shared" si="5"/>
        <v>7.6190476190476188E-6</v>
      </c>
    </row>
    <row r="40" spans="1:9" x14ac:dyDescent="0.3">
      <c r="A40" s="316">
        <v>4</v>
      </c>
      <c r="B40" s="299" t="s">
        <v>652</v>
      </c>
      <c r="C40" s="299">
        <v>3101010074</v>
      </c>
      <c r="D40" s="299" t="s">
        <v>87</v>
      </c>
      <c r="E40" s="299" t="s">
        <v>14</v>
      </c>
      <c r="F40" s="181">
        <v>168</v>
      </c>
      <c r="G40" s="181">
        <v>160.19999999999999</v>
      </c>
      <c r="H40" s="181">
        <f t="shared" si="4"/>
        <v>7.8000000000000114</v>
      </c>
      <c r="I40" s="315">
        <f t="shared" si="5"/>
        <v>4.64285714285715E-2</v>
      </c>
    </row>
    <row r="41" spans="1:9" x14ac:dyDescent="0.3">
      <c r="A41" s="316">
        <v>5</v>
      </c>
      <c r="B41" s="299" t="s">
        <v>652</v>
      </c>
      <c r="C41" s="299">
        <v>3101010075</v>
      </c>
      <c r="D41" s="299" t="s">
        <v>88</v>
      </c>
      <c r="E41" s="299" t="s">
        <v>14</v>
      </c>
      <c r="F41" s="181">
        <v>84</v>
      </c>
      <c r="G41" s="181">
        <v>84</v>
      </c>
      <c r="H41" s="181">
        <f t="shared" si="4"/>
        <v>0</v>
      </c>
      <c r="I41" s="315">
        <f t="shared" si="5"/>
        <v>0</v>
      </c>
    </row>
    <row r="42" spans="1:9" x14ac:dyDescent="0.3">
      <c r="A42" s="316">
        <v>6</v>
      </c>
      <c r="B42" s="299" t="s">
        <v>652</v>
      </c>
      <c r="C42" s="299">
        <v>3101010076</v>
      </c>
      <c r="D42" s="299" t="s">
        <v>89</v>
      </c>
      <c r="E42" s="299" t="s">
        <v>14</v>
      </c>
      <c r="F42" s="181">
        <v>0</v>
      </c>
      <c r="G42" s="181">
        <v>0</v>
      </c>
      <c r="H42" s="181">
        <f t="shared" si="4"/>
        <v>0</v>
      </c>
      <c r="I42" s="315" t="str">
        <f t="shared" si="5"/>
        <v/>
      </c>
    </row>
    <row r="43" spans="1:9" x14ac:dyDescent="0.3">
      <c r="A43" s="316">
        <v>7</v>
      </c>
      <c r="B43" s="299" t="s">
        <v>652</v>
      </c>
      <c r="C43" s="299">
        <v>3101010077</v>
      </c>
      <c r="D43" s="299" t="s">
        <v>90</v>
      </c>
      <c r="E43" s="299" t="s">
        <v>14</v>
      </c>
      <c r="F43" s="181">
        <v>1500</v>
      </c>
      <c r="G43" s="181">
        <v>1335.2</v>
      </c>
      <c r="H43" s="181">
        <f t="shared" si="4"/>
        <v>164.79999999999995</v>
      </c>
      <c r="I43" s="315">
        <f t="shared" si="5"/>
        <v>0.10986666666666664</v>
      </c>
    </row>
    <row r="44" spans="1:9" x14ac:dyDescent="0.3">
      <c r="A44" s="316">
        <v>8</v>
      </c>
      <c r="B44" s="299" t="s">
        <v>652</v>
      </c>
      <c r="C44" s="299">
        <v>3101010130</v>
      </c>
      <c r="D44" s="299" t="s">
        <v>127</v>
      </c>
      <c r="E44" s="299" t="s">
        <v>14</v>
      </c>
      <c r="F44" s="181">
        <v>20</v>
      </c>
      <c r="G44" s="181">
        <v>0</v>
      </c>
      <c r="H44" s="181">
        <f t="shared" si="4"/>
        <v>20</v>
      </c>
      <c r="I44" s="315">
        <f t="shared" si="5"/>
        <v>1</v>
      </c>
    </row>
    <row r="45" spans="1:9" ht="15.75" customHeight="1" thickBot="1" x14ac:dyDescent="0.35">
      <c r="A45" s="316">
        <v>9</v>
      </c>
      <c r="B45" s="325" t="s">
        <v>652</v>
      </c>
      <c r="C45" s="325">
        <v>3101010070</v>
      </c>
      <c r="D45" s="326" t="s">
        <v>83</v>
      </c>
      <c r="E45" s="299" t="s">
        <v>14</v>
      </c>
      <c r="F45" s="304">
        <v>22</v>
      </c>
      <c r="G45" s="304">
        <v>10.4</v>
      </c>
      <c r="H45" s="181">
        <f t="shared" si="4"/>
        <v>11.6</v>
      </c>
      <c r="I45" s="315">
        <f t="shared" si="5"/>
        <v>0.52727272727272723</v>
      </c>
    </row>
    <row r="46" spans="1:9" ht="15.75" customHeight="1" thickBot="1" x14ac:dyDescent="0.35">
      <c r="A46" s="295" t="s">
        <v>537</v>
      </c>
      <c r="B46" s="323"/>
      <c r="C46" s="327"/>
      <c r="D46" s="327"/>
      <c r="E46" s="327"/>
      <c r="F46" s="305">
        <v>0</v>
      </c>
      <c r="G46" s="305">
        <v>0</v>
      </c>
      <c r="H46" s="305"/>
      <c r="I46" s="328">
        <f>AVERAGEIF(I47:I48, "&lt;&gt;0")</f>
        <v>0.91399999999999992</v>
      </c>
    </row>
    <row r="47" spans="1:9" x14ac:dyDescent="0.3">
      <c r="A47" s="316">
        <v>10</v>
      </c>
      <c r="B47" s="324" t="s">
        <v>652</v>
      </c>
      <c r="C47" s="324">
        <v>3102010010</v>
      </c>
      <c r="D47" s="324" t="s">
        <v>149</v>
      </c>
      <c r="E47" s="324" t="s">
        <v>14</v>
      </c>
      <c r="F47" s="303">
        <v>50</v>
      </c>
      <c r="G47" s="303">
        <v>8.6</v>
      </c>
      <c r="H47" s="303">
        <f>F47-G47</f>
        <v>41.4</v>
      </c>
      <c r="I47" s="315">
        <f>IFERROR(H47/F47, "")</f>
        <v>0.82799999999999996</v>
      </c>
    </row>
    <row r="48" spans="1:9" ht="15.75" customHeight="1" thickBot="1" x14ac:dyDescent="0.35">
      <c r="A48" s="329">
        <v>11</v>
      </c>
      <c r="B48" s="325" t="s">
        <v>652</v>
      </c>
      <c r="C48" s="325">
        <v>3102010013</v>
      </c>
      <c r="D48" s="325" t="s">
        <v>152</v>
      </c>
      <c r="E48" s="325" t="s">
        <v>14</v>
      </c>
      <c r="F48" s="304">
        <v>150</v>
      </c>
      <c r="G48" s="304">
        <v>0</v>
      </c>
      <c r="H48" s="303">
        <f>F48-G48</f>
        <v>150</v>
      </c>
      <c r="I48" s="330">
        <f>IFERROR(H48/F48, "")</f>
        <v>1</v>
      </c>
    </row>
    <row r="49" spans="1:9" ht="15.75" customHeight="1" thickBot="1" x14ac:dyDescent="0.35">
      <c r="A49" s="322" t="s">
        <v>665</v>
      </c>
      <c r="B49" s="293"/>
      <c r="C49" s="293"/>
      <c r="D49" s="293"/>
      <c r="E49" s="293"/>
      <c r="F49" s="302">
        <v>0</v>
      </c>
      <c r="G49" s="302">
        <v>0</v>
      </c>
      <c r="H49" s="302">
        <f>F49-G49</f>
        <v>0</v>
      </c>
      <c r="I49" s="415">
        <f>AVERAGEIF(I51:I56, "&lt;&gt;0")</f>
        <v>0.83159722222222221</v>
      </c>
    </row>
    <row r="50" spans="1:9" ht="15.75" customHeight="1" thickBot="1" x14ac:dyDescent="0.35">
      <c r="A50" s="308" t="s">
        <v>553</v>
      </c>
      <c r="B50" s="323"/>
      <c r="C50" s="310"/>
      <c r="D50" s="310"/>
      <c r="E50" s="310"/>
      <c r="F50" s="301">
        <v>0</v>
      </c>
      <c r="G50" s="301">
        <v>0</v>
      </c>
      <c r="H50" s="301"/>
      <c r="I50" s="416"/>
    </row>
    <row r="51" spans="1:9" x14ac:dyDescent="0.3">
      <c r="A51" s="318">
        <v>1</v>
      </c>
      <c r="B51" s="324" t="s">
        <v>652</v>
      </c>
      <c r="C51" s="324">
        <v>3101010016</v>
      </c>
      <c r="D51" s="324" t="s">
        <v>30</v>
      </c>
      <c r="E51" s="324" t="s">
        <v>14</v>
      </c>
      <c r="F51" s="303">
        <v>11000</v>
      </c>
      <c r="G51" s="303">
        <v>0</v>
      </c>
      <c r="H51" s="303">
        <f t="shared" ref="H51:H56" si="6">F51-G51</f>
        <v>11000</v>
      </c>
      <c r="I51" s="315">
        <f t="shared" ref="I51:I56" si="7">IFERROR(H51/F51, "")</f>
        <v>1</v>
      </c>
    </row>
    <row r="52" spans="1:9" x14ac:dyDescent="0.3">
      <c r="A52" s="316">
        <v>2</v>
      </c>
      <c r="B52" s="299" t="s">
        <v>652</v>
      </c>
      <c r="C52" s="299">
        <v>3101010017</v>
      </c>
      <c r="D52" s="299" t="s">
        <v>31</v>
      </c>
      <c r="E52" s="299" t="s">
        <v>14</v>
      </c>
      <c r="F52" s="181">
        <v>1500</v>
      </c>
      <c r="G52" s="181">
        <v>0</v>
      </c>
      <c r="H52" s="181">
        <f t="shared" si="6"/>
        <v>1500</v>
      </c>
      <c r="I52" s="315">
        <f t="shared" si="7"/>
        <v>1</v>
      </c>
    </row>
    <row r="53" spans="1:9" x14ac:dyDescent="0.3">
      <c r="A53" s="316">
        <v>3</v>
      </c>
      <c r="B53" s="299" t="s">
        <v>652</v>
      </c>
      <c r="C53" s="299">
        <v>3101010018</v>
      </c>
      <c r="D53" s="299" t="s">
        <v>32</v>
      </c>
      <c r="E53" s="299" t="s">
        <v>14</v>
      </c>
      <c r="F53" s="181">
        <v>2500</v>
      </c>
      <c r="G53" s="181">
        <v>0</v>
      </c>
      <c r="H53" s="181">
        <f t="shared" si="6"/>
        <v>2500</v>
      </c>
      <c r="I53" s="315">
        <f t="shared" si="7"/>
        <v>1</v>
      </c>
    </row>
    <row r="54" spans="1:9" x14ac:dyDescent="0.3">
      <c r="A54" s="316">
        <v>4</v>
      </c>
      <c r="B54" s="299" t="s">
        <v>652</v>
      </c>
      <c r="C54" s="299">
        <v>3101010090</v>
      </c>
      <c r="D54" s="299" t="s">
        <v>100</v>
      </c>
      <c r="E54" s="299" t="s">
        <v>37</v>
      </c>
      <c r="F54" s="181">
        <v>43200</v>
      </c>
      <c r="G54" s="181">
        <v>29100</v>
      </c>
      <c r="H54" s="181">
        <f t="shared" si="6"/>
        <v>14100</v>
      </c>
      <c r="I54" s="315">
        <f t="shared" si="7"/>
        <v>0.3263888888888889</v>
      </c>
    </row>
    <row r="55" spans="1:9" x14ac:dyDescent="0.3">
      <c r="A55" s="316">
        <v>5</v>
      </c>
      <c r="B55" s="299" t="s">
        <v>652</v>
      </c>
      <c r="C55" s="299">
        <v>3101010111</v>
      </c>
      <c r="D55" s="299" t="s">
        <v>108</v>
      </c>
      <c r="E55" s="299" t="s">
        <v>37</v>
      </c>
      <c r="F55" s="181">
        <v>14400</v>
      </c>
      <c r="G55" s="181">
        <v>14400</v>
      </c>
      <c r="H55" s="181">
        <f t="shared" si="6"/>
        <v>0</v>
      </c>
      <c r="I55" s="315">
        <f t="shared" si="7"/>
        <v>0</v>
      </c>
    </row>
    <row r="56" spans="1:9" ht="15.75" customHeight="1" thickBot="1" x14ac:dyDescent="0.35">
      <c r="A56" s="329">
        <v>6</v>
      </c>
      <c r="B56" s="325" t="s">
        <v>652</v>
      </c>
      <c r="C56" s="325">
        <v>3101010112</v>
      </c>
      <c r="D56" s="325" t="s">
        <v>109</v>
      </c>
      <c r="E56" s="325" t="s">
        <v>37</v>
      </c>
      <c r="F56" s="304">
        <v>43200</v>
      </c>
      <c r="G56" s="304">
        <v>43200</v>
      </c>
      <c r="H56" s="304">
        <f t="shared" si="6"/>
        <v>0</v>
      </c>
      <c r="I56" s="330">
        <f t="shared" si="7"/>
        <v>0</v>
      </c>
    </row>
    <row r="57" spans="1:9" ht="15.75" customHeight="1" thickBot="1" x14ac:dyDescent="0.35">
      <c r="A57" s="331" t="s">
        <v>666</v>
      </c>
      <c r="B57" s="323"/>
      <c r="C57" s="327"/>
      <c r="D57" s="327"/>
      <c r="E57" s="327"/>
      <c r="F57" s="305">
        <v>0</v>
      </c>
      <c r="G57" s="305">
        <v>0</v>
      </c>
      <c r="H57" s="305"/>
      <c r="I57" s="328" t="str">
        <f>IFERROR(AVERAGEIF(I58,"&lt;&gt;0"),"-")</f>
        <v>-</v>
      </c>
    </row>
    <row r="58" spans="1:9" ht="15.75" customHeight="1" thickBot="1" x14ac:dyDescent="0.35">
      <c r="A58" s="332">
        <v>7</v>
      </c>
      <c r="B58" s="333" t="s">
        <v>328</v>
      </c>
      <c r="C58" s="333">
        <v>700100037</v>
      </c>
      <c r="D58" s="333" t="s">
        <v>363</v>
      </c>
      <c r="E58" s="333" t="s">
        <v>37</v>
      </c>
      <c r="F58" s="306">
        <v>0</v>
      </c>
      <c r="G58" s="306">
        <v>0</v>
      </c>
      <c r="H58" s="306">
        <f>F58-G58</f>
        <v>0</v>
      </c>
      <c r="I58" s="330"/>
    </row>
    <row r="59" spans="1:9" ht="15.75" customHeight="1" thickBot="1" x14ac:dyDescent="0.35">
      <c r="A59" s="331" t="s">
        <v>537</v>
      </c>
      <c r="B59" s="323"/>
      <c r="C59" s="327"/>
      <c r="D59" s="327"/>
      <c r="E59" s="327"/>
      <c r="F59" s="305">
        <v>0</v>
      </c>
      <c r="G59" s="305">
        <v>0</v>
      </c>
      <c r="H59" s="305"/>
      <c r="I59" s="328">
        <f>AVERAGEIF(I60:I60, "&lt;&gt;0")</f>
        <v>1</v>
      </c>
    </row>
    <row r="60" spans="1:9" ht="15.75" customHeight="1" thickBot="1" x14ac:dyDescent="0.35">
      <c r="A60" s="332">
        <v>8</v>
      </c>
      <c r="B60" s="333" t="s">
        <v>652</v>
      </c>
      <c r="C60" s="333">
        <v>3102010012</v>
      </c>
      <c r="D60" s="333" t="s">
        <v>151</v>
      </c>
      <c r="E60" s="333" t="s">
        <v>37</v>
      </c>
      <c r="F60" s="306">
        <v>10500</v>
      </c>
      <c r="G60" s="306">
        <v>0</v>
      </c>
      <c r="H60" s="306">
        <f>F60-G60</f>
        <v>10500</v>
      </c>
      <c r="I60" s="330">
        <f>IFERROR(H60/F60, "")</f>
        <v>1</v>
      </c>
    </row>
    <row r="61" spans="1:9" ht="22.2" customHeight="1" thickBot="1" x14ac:dyDescent="0.35">
      <c r="A61" s="322" t="s">
        <v>667</v>
      </c>
      <c r="B61" s="293"/>
      <c r="C61" s="293"/>
      <c r="D61" s="293"/>
      <c r="E61" s="293"/>
      <c r="F61" s="302">
        <v>0</v>
      </c>
      <c r="G61" s="302">
        <v>0</v>
      </c>
      <c r="H61" s="302">
        <f>F61-G61</f>
        <v>0</v>
      </c>
      <c r="I61" s="406">
        <f>AVERAGEIF(I63:I121, "&lt;&gt;0")</f>
        <v>0.45393496544901629</v>
      </c>
    </row>
    <row r="62" spans="1:9" ht="15.75" customHeight="1" thickBot="1" x14ac:dyDescent="0.35">
      <c r="A62" s="308" t="s">
        <v>553</v>
      </c>
      <c r="B62" s="323"/>
      <c r="C62" s="310"/>
      <c r="D62" s="310"/>
      <c r="E62" s="310"/>
      <c r="F62" s="301">
        <v>0</v>
      </c>
      <c r="G62" s="301">
        <v>0</v>
      </c>
      <c r="H62" s="301"/>
      <c r="I62" s="407"/>
    </row>
    <row r="63" spans="1:9" x14ac:dyDescent="0.3">
      <c r="A63" s="318">
        <v>1</v>
      </c>
      <c r="B63" s="324" t="s">
        <v>668</v>
      </c>
      <c r="C63" s="324">
        <v>3201010002</v>
      </c>
      <c r="D63" s="324" t="s">
        <v>244</v>
      </c>
      <c r="E63" s="334" t="s">
        <v>41</v>
      </c>
      <c r="F63" s="303">
        <v>136500</v>
      </c>
      <c r="G63" s="303">
        <v>136500</v>
      </c>
      <c r="H63" s="303">
        <f t="shared" ref="H63:H94" si="8">F63-G63</f>
        <v>0</v>
      </c>
      <c r="I63" s="315">
        <f t="shared" ref="I63:I94" si="9">IFERROR(H63/F63, "")</f>
        <v>0</v>
      </c>
    </row>
    <row r="64" spans="1:9" x14ac:dyDescent="0.3">
      <c r="A64" s="316">
        <v>2</v>
      </c>
      <c r="B64" s="299" t="s">
        <v>668</v>
      </c>
      <c r="C64" s="299">
        <v>3201010004</v>
      </c>
      <c r="D64" s="299" t="s">
        <v>246</v>
      </c>
      <c r="E64" s="300" t="s">
        <v>41</v>
      </c>
      <c r="F64" s="181">
        <v>31500</v>
      </c>
      <c r="G64" s="181">
        <v>31500</v>
      </c>
      <c r="H64" s="181">
        <f t="shared" si="8"/>
        <v>0</v>
      </c>
      <c r="I64" s="315">
        <f t="shared" si="9"/>
        <v>0</v>
      </c>
    </row>
    <row r="65" spans="1:9" x14ac:dyDescent="0.3">
      <c r="A65" s="316">
        <v>3</v>
      </c>
      <c r="B65" s="299" t="s">
        <v>668</v>
      </c>
      <c r="C65" s="299">
        <v>3201010005</v>
      </c>
      <c r="D65" s="299" t="s">
        <v>247</v>
      </c>
      <c r="E65" s="300" t="s">
        <v>41</v>
      </c>
      <c r="F65" s="181">
        <v>0</v>
      </c>
      <c r="G65" s="181">
        <v>0</v>
      </c>
      <c r="H65" s="181">
        <f t="shared" si="8"/>
        <v>0</v>
      </c>
      <c r="I65" s="315" t="str">
        <f t="shared" si="9"/>
        <v/>
      </c>
    </row>
    <row r="66" spans="1:9" x14ac:dyDescent="0.3">
      <c r="A66" s="316">
        <v>4</v>
      </c>
      <c r="B66" s="299" t="s">
        <v>668</v>
      </c>
      <c r="C66" s="299">
        <v>3201010006</v>
      </c>
      <c r="D66" s="299" t="s">
        <v>248</v>
      </c>
      <c r="E66" s="300" t="s">
        <v>41</v>
      </c>
      <c r="F66" s="181">
        <v>0</v>
      </c>
      <c r="G66" s="181">
        <v>0</v>
      </c>
      <c r="H66" s="181">
        <f t="shared" si="8"/>
        <v>0</v>
      </c>
      <c r="I66" s="315" t="str">
        <f t="shared" si="9"/>
        <v/>
      </c>
    </row>
    <row r="67" spans="1:9" x14ac:dyDescent="0.3">
      <c r="A67" s="316">
        <v>5</v>
      </c>
      <c r="B67" s="299" t="s">
        <v>668</v>
      </c>
      <c r="C67" s="299">
        <v>3201010007</v>
      </c>
      <c r="D67" s="299" t="s">
        <v>249</v>
      </c>
      <c r="E67" s="300" t="s">
        <v>41</v>
      </c>
      <c r="F67" s="181">
        <v>5250</v>
      </c>
      <c r="G67" s="181">
        <v>5250</v>
      </c>
      <c r="H67" s="181">
        <f t="shared" si="8"/>
        <v>0</v>
      </c>
      <c r="I67" s="315">
        <f t="shared" si="9"/>
        <v>0</v>
      </c>
    </row>
    <row r="68" spans="1:9" x14ac:dyDescent="0.3">
      <c r="A68" s="316">
        <v>6</v>
      </c>
      <c r="B68" s="299" t="s">
        <v>668</v>
      </c>
      <c r="C68" s="299">
        <v>3201010008</v>
      </c>
      <c r="D68" s="299" t="s">
        <v>250</v>
      </c>
      <c r="E68" s="300" t="s">
        <v>41</v>
      </c>
      <c r="F68" s="181">
        <v>5250</v>
      </c>
      <c r="G68" s="181">
        <v>5250</v>
      </c>
      <c r="H68" s="181">
        <f t="shared" si="8"/>
        <v>0</v>
      </c>
      <c r="I68" s="315">
        <f t="shared" si="9"/>
        <v>0</v>
      </c>
    </row>
    <row r="69" spans="1:9" x14ac:dyDescent="0.3">
      <c r="A69" s="316">
        <v>7</v>
      </c>
      <c r="B69" s="299" t="s">
        <v>668</v>
      </c>
      <c r="C69" s="299">
        <v>3201010009</v>
      </c>
      <c r="D69" s="299" t="s">
        <v>251</v>
      </c>
      <c r="E69" s="300" t="s">
        <v>41</v>
      </c>
      <c r="F69" s="181">
        <v>5250</v>
      </c>
      <c r="G69" s="181">
        <v>5000</v>
      </c>
      <c r="H69" s="181">
        <f t="shared" si="8"/>
        <v>250</v>
      </c>
      <c r="I69" s="315">
        <f t="shared" si="9"/>
        <v>4.7619047619047616E-2</v>
      </c>
    </row>
    <row r="70" spans="1:9" x14ac:dyDescent="0.3">
      <c r="A70" s="316">
        <v>8</v>
      </c>
      <c r="B70" s="299" t="s">
        <v>668</v>
      </c>
      <c r="C70" s="299">
        <v>3201010010</v>
      </c>
      <c r="D70" s="299" t="s">
        <v>252</v>
      </c>
      <c r="E70" s="300" t="s">
        <v>41</v>
      </c>
      <c r="F70" s="181">
        <v>94500</v>
      </c>
      <c r="G70" s="181">
        <v>94500</v>
      </c>
      <c r="H70" s="181">
        <f t="shared" si="8"/>
        <v>0</v>
      </c>
      <c r="I70" s="315">
        <f t="shared" si="9"/>
        <v>0</v>
      </c>
    </row>
    <row r="71" spans="1:9" x14ac:dyDescent="0.3">
      <c r="A71" s="316">
        <v>9</v>
      </c>
      <c r="B71" s="299" t="s">
        <v>668</v>
      </c>
      <c r="C71" s="299">
        <v>3201010011</v>
      </c>
      <c r="D71" s="299" t="s">
        <v>253</v>
      </c>
      <c r="E71" s="300" t="s">
        <v>41</v>
      </c>
      <c r="F71" s="181">
        <v>0</v>
      </c>
      <c r="G71" s="181">
        <v>0</v>
      </c>
      <c r="H71" s="181">
        <f t="shared" si="8"/>
        <v>0</v>
      </c>
      <c r="I71" s="315" t="str">
        <f t="shared" si="9"/>
        <v/>
      </c>
    </row>
    <row r="72" spans="1:9" x14ac:dyDescent="0.3">
      <c r="A72" s="316">
        <v>10</v>
      </c>
      <c r="B72" s="299" t="s">
        <v>668</v>
      </c>
      <c r="C72" s="299">
        <v>3201010013</v>
      </c>
      <c r="D72" s="299" t="s">
        <v>254</v>
      </c>
      <c r="E72" s="300" t="s">
        <v>41</v>
      </c>
      <c r="F72" s="181">
        <v>36750</v>
      </c>
      <c r="G72" s="181">
        <v>17500</v>
      </c>
      <c r="H72" s="181">
        <f t="shared" si="8"/>
        <v>19250</v>
      </c>
      <c r="I72" s="315">
        <f t="shared" si="9"/>
        <v>0.52380952380952384</v>
      </c>
    </row>
    <row r="73" spans="1:9" x14ac:dyDescent="0.3">
      <c r="A73" s="316">
        <v>11</v>
      </c>
      <c r="B73" s="299" t="s">
        <v>668</v>
      </c>
      <c r="C73" s="299">
        <v>3201010015</v>
      </c>
      <c r="D73" s="299" t="s">
        <v>256</v>
      </c>
      <c r="E73" s="300" t="s">
        <v>41</v>
      </c>
      <c r="F73" s="181">
        <v>31500</v>
      </c>
      <c r="G73" s="181">
        <v>31500</v>
      </c>
      <c r="H73" s="181">
        <f t="shared" si="8"/>
        <v>0</v>
      </c>
      <c r="I73" s="315">
        <f t="shared" si="9"/>
        <v>0</v>
      </c>
    </row>
    <row r="74" spans="1:9" x14ac:dyDescent="0.3">
      <c r="A74" s="316">
        <v>12</v>
      </c>
      <c r="B74" s="299" t="s">
        <v>668</v>
      </c>
      <c r="C74" s="299">
        <v>3201010016</v>
      </c>
      <c r="D74" s="299" t="s">
        <v>257</v>
      </c>
      <c r="E74" s="300" t="s">
        <v>41</v>
      </c>
      <c r="F74" s="181">
        <v>5250</v>
      </c>
      <c r="G74" s="181">
        <v>5000</v>
      </c>
      <c r="H74" s="181">
        <f t="shared" si="8"/>
        <v>250</v>
      </c>
      <c r="I74" s="315">
        <f t="shared" si="9"/>
        <v>4.7619047619047616E-2</v>
      </c>
    </row>
    <row r="75" spans="1:9" x14ac:dyDescent="0.3">
      <c r="A75" s="316">
        <v>13</v>
      </c>
      <c r="B75" s="299" t="s">
        <v>668</v>
      </c>
      <c r="C75" s="299">
        <v>3201010017</v>
      </c>
      <c r="D75" s="299" t="s">
        <v>258</v>
      </c>
      <c r="E75" s="300" t="s">
        <v>41</v>
      </c>
      <c r="F75" s="181">
        <v>0</v>
      </c>
      <c r="G75" s="181">
        <v>0</v>
      </c>
      <c r="H75" s="181">
        <f t="shared" si="8"/>
        <v>0</v>
      </c>
      <c r="I75" s="315" t="str">
        <f t="shared" si="9"/>
        <v/>
      </c>
    </row>
    <row r="76" spans="1:9" x14ac:dyDescent="0.3">
      <c r="A76" s="316">
        <v>14</v>
      </c>
      <c r="B76" s="299" t="s">
        <v>668</v>
      </c>
      <c r="C76" s="299">
        <v>3201010018</v>
      </c>
      <c r="D76" s="299" t="s">
        <v>259</v>
      </c>
      <c r="E76" s="300" t="s">
        <v>41</v>
      </c>
      <c r="F76" s="181">
        <v>10500</v>
      </c>
      <c r="G76" s="181">
        <v>10000</v>
      </c>
      <c r="H76" s="181">
        <f t="shared" si="8"/>
        <v>500</v>
      </c>
      <c r="I76" s="315">
        <f t="shared" si="9"/>
        <v>4.7619047619047616E-2</v>
      </c>
    </row>
    <row r="77" spans="1:9" x14ac:dyDescent="0.3">
      <c r="A77" s="316">
        <v>15</v>
      </c>
      <c r="B77" s="299" t="s">
        <v>668</v>
      </c>
      <c r="C77" s="299">
        <v>3201010019</v>
      </c>
      <c r="D77" s="299" t="s">
        <v>260</v>
      </c>
      <c r="E77" s="300" t="s">
        <v>41</v>
      </c>
      <c r="F77" s="181">
        <v>36750</v>
      </c>
      <c r="G77" s="181">
        <v>24250</v>
      </c>
      <c r="H77" s="181">
        <f t="shared" si="8"/>
        <v>12500</v>
      </c>
      <c r="I77" s="315">
        <f t="shared" si="9"/>
        <v>0.3401360544217687</v>
      </c>
    </row>
    <row r="78" spans="1:9" x14ac:dyDescent="0.3">
      <c r="A78" s="316">
        <v>16</v>
      </c>
      <c r="B78" s="299" t="s">
        <v>668</v>
      </c>
      <c r="C78" s="299">
        <v>3201010020</v>
      </c>
      <c r="D78" s="299" t="s">
        <v>261</v>
      </c>
      <c r="E78" s="300" t="s">
        <v>41</v>
      </c>
      <c r="F78" s="181">
        <v>0</v>
      </c>
      <c r="G78" s="181">
        <v>0</v>
      </c>
      <c r="H78" s="181">
        <f t="shared" si="8"/>
        <v>0</v>
      </c>
      <c r="I78" s="315" t="str">
        <f t="shared" si="9"/>
        <v/>
      </c>
    </row>
    <row r="79" spans="1:9" x14ac:dyDescent="0.3">
      <c r="A79" s="316">
        <v>17</v>
      </c>
      <c r="B79" s="299" t="s">
        <v>668</v>
      </c>
      <c r="C79" s="299">
        <v>3201010021</v>
      </c>
      <c r="D79" s="299" t="s">
        <v>262</v>
      </c>
      <c r="E79" s="300" t="s">
        <v>41</v>
      </c>
      <c r="F79" s="181">
        <v>10500</v>
      </c>
      <c r="G79" s="181">
        <v>7800</v>
      </c>
      <c r="H79" s="181">
        <f t="shared" si="8"/>
        <v>2700</v>
      </c>
      <c r="I79" s="315">
        <f t="shared" si="9"/>
        <v>0.25714285714285712</v>
      </c>
    </row>
    <row r="80" spans="1:9" x14ac:dyDescent="0.3">
      <c r="A80" s="316">
        <v>18</v>
      </c>
      <c r="B80" s="299" t="s">
        <v>668</v>
      </c>
      <c r="C80" s="299">
        <v>3201010022</v>
      </c>
      <c r="D80" s="299" t="s">
        <v>263</v>
      </c>
      <c r="E80" s="300" t="s">
        <v>41</v>
      </c>
      <c r="F80" s="181">
        <v>31500</v>
      </c>
      <c r="G80" s="181">
        <v>23775</v>
      </c>
      <c r="H80" s="181">
        <f t="shared" si="8"/>
        <v>7725</v>
      </c>
      <c r="I80" s="315">
        <f t="shared" si="9"/>
        <v>0.24523809523809523</v>
      </c>
    </row>
    <row r="81" spans="1:9" x14ac:dyDescent="0.3">
      <c r="A81" s="316">
        <v>19</v>
      </c>
      <c r="B81" s="299" t="s">
        <v>668</v>
      </c>
      <c r="C81" s="299">
        <v>3201010024</v>
      </c>
      <c r="D81" s="299" t="s">
        <v>265</v>
      </c>
      <c r="E81" s="300" t="s">
        <v>41</v>
      </c>
      <c r="F81" s="181">
        <v>0</v>
      </c>
      <c r="G81" s="181">
        <v>0</v>
      </c>
      <c r="H81" s="181">
        <f t="shared" si="8"/>
        <v>0</v>
      </c>
      <c r="I81" s="315" t="str">
        <f t="shared" si="9"/>
        <v/>
      </c>
    </row>
    <row r="82" spans="1:9" x14ac:dyDescent="0.3">
      <c r="A82" s="316">
        <v>20</v>
      </c>
      <c r="B82" s="299" t="s">
        <v>668</v>
      </c>
      <c r="C82" s="299">
        <v>3201010026</v>
      </c>
      <c r="D82" s="299" t="s">
        <v>266</v>
      </c>
      <c r="E82" s="300" t="s">
        <v>41</v>
      </c>
      <c r="F82" s="181">
        <v>0</v>
      </c>
      <c r="G82" s="181">
        <v>0</v>
      </c>
      <c r="H82" s="181">
        <f t="shared" si="8"/>
        <v>0</v>
      </c>
      <c r="I82" s="315" t="str">
        <f t="shared" si="9"/>
        <v/>
      </c>
    </row>
    <row r="83" spans="1:9" x14ac:dyDescent="0.3">
      <c r="A83" s="316">
        <v>21</v>
      </c>
      <c r="B83" s="299" t="s">
        <v>668</v>
      </c>
      <c r="C83" s="299">
        <v>3201010027</v>
      </c>
      <c r="D83" s="299" t="s">
        <v>267</v>
      </c>
      <c r="E83" s="300" t="s">
        <v>41</v>
      </c>
      <c r="F83" s="181">
        <v>5250</v>
      </c>
      <c r="G83" s="181">
        <v>375</v>
      </c>
      <c r="H83" s="181">
        <f t="shared" si="8"/>
        <v>4875</v>
      </c>
      <c r="I83" s="315">
        <f t="shared" si="9"/>
        <v>0.9285714285714286</v>
      </c>
    </row>
    <row r="84" spans="1:9" x14ac:dyDescent="0.3">
      <c r="A84" s="316">
        <v>22</v>
      </c>
      <c r="B84" s="299" t="s">
        <v>668</v>
      </c>
      <c r="C84" s="299">
        <v>3201010028</v>
      </c>
      <c r="D84" s="299" t="s">
        <v>268</v>
      </c>
      <c r="E84" s="300" t="s">
        <v>41</v>
      </c>
      <c r="F84" s="181">
        <v>5250</v>
      </c>
      <c r="G84" s="181">
        <v>5195</v>
      </c>
      <c r="H84" s="181">
        <f t="shared" si="8"/>
        <v>55</v>
      </c>
      <c r="I84" s="315">
        <f t="shared" si="9"/>
        <v>1.0476190476190476E-2</v>
      </c>
    </row>
    <row r="85" spans="1:9" x14ac:dyDescent="0.3">
      <c r="A85" s="316">
        <v>23</v>
      </c>
      <c r="B85" s="299" t="s">
        <v>668</v>
      </c>
      <c r="C85" s="299">
        <v>3201010031</v>
      </c>
      <c r="D85" s="299" t="s">
        <v>271</v>
      </c>
      <c r="E85" s="300" t="s">
        <v>41</v>
      </c>
      <c r="F85" s="181">
        <v>0</v>
      </c>
      <c r="G85" s="181">
        <v>0</v>
      </c>
      <c r="H85" s="181">
        <f t="shared" si="8"/>
        <v>0</v>
      </c>
      <c r="I85" s="315" t="str">
        <f t="shared" si="9"/>
        <v/>
      </c>
    </row>
    <row r="86" spans="1:9" x14ac:dyDescent="0.3">
      <c r="A86" s="316">
        <v>24</v>
      </c>
      <c r="B86" s="299" t="s">
        <v>668</v>
      </c>
      <c r="C86" s="299">
        <v>3201010032</v>
      </c>
      <c r="D86" s="299" t="s">
        <v>272</v>
      </c>
      <c r="E86" s="300" t="s">
        <v>41</v>
      </c>
      <c r="F86" s="181">
        <v>0</v>
      </c>
      <c r="G86" s="181">
        <v>0</v>
      </c>
      <c r="H86" s="181">
        <f t="shared" si="8"/>
        <v>0</v>
      </c>
      <c r="I86" s="315" t="str">
        <f t="shared" si="9"/>
        <v/>
      </c>
    </row>
    <row r="87" spans="1:9" x14ac:dyDescent="0.3">
      <c r="A87" s="316">
        <v>25</v>
      </c>
      <c r="B87" s="299" t="s">
        <v>668</v>
      </c>
      <c r="C87" s="299">
        <v>3201010034</v>
      </c>
      <c r="D87" s="299" t="s">
        <v>273</v>
      </c>
      <c r="E87" s="300" t="s">
        <v>41</v>
      </c>
      <c r="F87" s="181">
        <v>0</v>
      </c>
      <c r="G87" s="181">
        <v>0</v>
      </c>
      <c r="H87" s="181">
        <f t="shared" si="8"/>
        <v>0</v>
      </c>
      <c r="I87" s="315" t="str">
        <f t="shared" si="9"/>
        <v/>
      </c>
    </row>
    <row r="88" spans="1:9" x14ac:dyDescent="0.3">
      <c r="A88" s="316">
        <v>26</v>
      </c>
      <c r="B88" s="299" t="s">
        <v>668</v>
      </c>
      <c r="C88" s="299">
        <v>3201010035</v>
      </c>
      <c r="D88" s="299" t="s">
        <v>274</v>
      </c>
      <c r="E88" s="300" t="s">
        <v>41</v>
      </c>
      <c r="F88" s="181">
        <v>5250</v>
      </c>
      <c r="G88" s="181">
        <v>0</v>
      </c>
      <c r="H88" s="181">
        <f t="shared" si="8"/>
        <v>5250</v>
      </c>
      <c r="I88" s="315">
        <f t="shared" si="9"/>
        <v>1</v>
      </c>
    </row>
    <row r="89" spans="1:9" x14ac:dyDescent="0.3">
      <c r="A89" s="316">
        <v>27</v>
      </c>
      <c r="B89" s="299" t="s">
        <v>668</v>
      </c>
      <c r="C89" s="299">
        <v>3201010036</v>
      </c>
      <c r="D89" s="299" t="s">
        <v>275</v>
      </c>
      <c r="E89" s="300" t="s">
        <v>41</v>
      </c>
      <c r="F89" s="181">
        <v>5250</v>
      </c>
      <c r="G89" s="181">
        <v>5250</v>
      </c>
      <c r="H89" s="181">
        <f t="shared" si="8"/>
        <v>0</v>
      </c>
      <c r="I89" s="315">
        <f t="shared" si="9"/>
        <v>0</v>
      </c>
    </row>
    <row r="90" spans="1:9" x14ac:dyDescent="0.3">
      <c r="A90" s="316">
        <v>28</v>
      </c>
      <c r="B90" s="299" t="s">
        <v>668</v>
      </c>
      <c r="C90" s="299">
        <v>3201010037</v>
      </c>
      <c r="D90" s="299" t="s">
        <v>669</v>
      </c>
      <c r="E90" s="300" t="s">
        <v>14</v>
      </c>
      <c r="F90" s="181">
        <v>375</v>
      </c>
      <c r="G90" s="181">
        <v>375</v>
      </c>
      <c r="H90" s="181">
        <f t="shared" si="8"/>
        <v>0</v>
      </c>
      <c r="I90" s="315">
        <f t="shared" si="9"/>
        <v>0</v>
      </c>
    </row>
    <row r="91" spans="1:9" x14ac:dyDescent="0.3">
      <c r="A91" s="316">
        <v>29</v>
      </c>
      <c r="B91" s="299" t="s">
        <v>668</v>
      </c>
      <c r="C91" s="299">
        <v>3201010038</v>
      </c>
      <c r="D91" s="299" t="s">
        <v>670</v>
      </c>
      <c r="E91" s="300" t="s">
        <v>14</v>
      </c>
      <c r="F91" s="181">
        <v>105</v>
      </c>
      <c r="G91" s="181">
        <v>0</v>
      </c>
      <c r="H91" s="181">
        <f t="shared" si="8"/>
        <v>105</v>
      </c>
      <c r="I91" s="315">
        <f t="shared" si="9"/>
        <v>1</v>
      </c>
    </row>
    <row r="92" spans="1:9" x14ac:dyDescent="0.3">
      <c r="A92" s="316">
        <v>30</v>
      </c>
      <c r="B92" s="299" t="s">
        <v>668</v>
      </c>
      <c r="C92" s="299">
        <v>3201010039</v>
      </c>
      <c r="D92" s="299" t="s">
        <v>671</v>
      </c>
      <c r="E92" s="300" t="s">
        <v>14</v>
      </c>
      <c r="F92" s="181">
        <v>325</v>
      </c>
      <c r="G92" s="181">
        <v>126</v>
      </c>
      <c r="H92" s="181">
        <f t="shared" si="8"/>
        <v>199</v>
      </c>
      <c r="I92" s="315">
        <f t="shared" si="9"/>
        <v>0.61230769230769233</v>
      </c>
    </row>
    <row r="93" spans="1:9" x14ac:dyDescent="0.3">
      <c r="A93" s="316">
        <v>31</v>
      </c>
      <c r="B93" s="299" t="s">
        <v>668</v>
      </c>
      <c r="C93" s="299">
        <v>3201010040</v>
      </c>
      <c r="D93" s="299" t="s">
        <v>672</v>
      </c>
      <c r="E93" s="300" t="s">
        <v>14</v>
      </c>
      <c r="F93" s="181">
        <v>84</v>
      </c>
      <c r="G93" s="181">
        <v>0</v>
      </c>
      <c r="H93" s="181">
        <f t="shared" si="8"/>
        <v>84</v>
      </c>
      <c r="I93" s="315">
        <f t="shared" si="9"/>
        <v>1</v>
      </c>
    </row>
    <row r="94" spans="1:9" x14ac:dyDescent="0.3">
      <c r="A94" s="316">
        <v>32</v>
      </c>
      <c r="B94" s="299" t="s">
        <v>668</v>
      </c>
      <c r="C94" s="299">
        <v>3201010041</v>
      </c>
      <c r="D94" s="299" t="s">
        <v>673</v>
      </c>
      <c r="E94" s="300" t="s">
        <v>14</v>
      </c>
      <c r="F94" s="181">
        <v>150</v>
      </c>
      <c r="G94" s="181">
        <v>50</v>
      </c>
      <c r="H94" s="181">
        <f t="shared" si="8"/>
        <v>100</v>
      </c>
      <c r="I94" s="315">
        <f t="shared" si="9"/>
        <v>0.66666666666666663</v>
      </c>
    </row>
    <row r="95" spans="1:9" x14ac:dyDescent="0.3">
      <c r="A95" s="316">
        <v>33</v>
      </c>
      <c r="B95" s="299" t="s">
        <v>668</v>
      </c>
      <c r="C95" s="299">
        <v>3201010042</v>
      </c>
      <c r="D95" s="299" t="s">
        <v>674</v>
      </c>
      <c r="E95" s="300" t="s">
        <v>14</v>
      </c>
      <c r="F95" s="181">
        <v>150</v>
      </c>
      <c r="G95" s="181">
        <v>60</v>
      </c>
      <c r="H95" s="181">
        <f t="shared" ref="H95:H114" si="10">F95-G95</f>
        <v>90</v>
      </c>
      <c r="I95" s="315">
        <f t="shared" ref="I95:I114" si="11">IFERROR(H95/F95, "")</f>
        <v>0.6</v>
      </c>
    </row>
    <row r="96" spans="1:9" x14ac:dyDescent="0.3">
      <c r="A96" s="316">
        <v>34</v>
      </c>
      <c r="B96" s="299" t="s">
        <v>668</v>
      </c>
      <c r="C96" s="299">
        <v>3201010043</v>
      </c>
      <c r="D96" s="299" t="s">
        <v>675</v>
      </c>
      <c r="E96" s="300" t="s">
        <v>14</v>
      </c>
      <c r="F96" s="181">
        <v>50</v>
      </c>
      <c r="G96" s="181">
        <v>0</v>
      </c>
      <c r="H96" s="181">
        <f t="shared" si="10"/>
        <v>50</v>
      </c>
      <c r="I96" s="315">
        <f t="shared" si="11"/>
        <v>1</v>
      </c>
    </row>
    <row r="97" spans="1:9" x14ac:dyDescent="0.3">
      <c r="A97" s="316">
        <v>35</v>
      </c>
      <c r="B97" s="299" t="s">
        <v>668</v>
      </c>
      <c r="C97" s="299">
        <v>3201010051</v>
      </c>
      <c r="D97" s="299" t="s">
        <v>284</v>
      </c>
      <c r="E97" s="300" t="s">
        <v>41</v>
      </c>
      <c r="F97" s="181">
        <v>2000</v>
      </c>
      <c r="G97" s="181">
        <v>0</v>
      </c>
      <c r="H97" s="181">
        <f t="shared" si="10"/>
        <v>2000</v>
      </c>
      <c r="I97" s="315">
        <f t="shared" si="11"/>
        <v>1</v>
      </c>
    </row>
    <row r="98" spans="1:9" x14ac:dyDescent="0.3">
      <c r="A98" s="316">
        <v>36</v>
      </c>
      <c r="B98" s="299" t="s">
        <v>668</v>
      </c>
      <c r="C98" s="299">
        <v>3201010052</v>
      </c>
      <c r="D98" s="299" t="s">
        <v>285</v>
      </c>
      <c r="E98" s="300" t="s">
        <v>41</v>
      </c>
      <c r="F98" s="181">
        <v>0</v>
      </c>
      <c r="G98" s="181">
        <v>0</v>
      </c>
      <c r="H98" s="181">
        <f t="shared" si="10"/>
        <v>0</v>
      </c>
      <c r="I98" s="315" t="str">
        <f t="shared" si="11"/>
        <v/>
      </c>
    </row>
    <row r="99" spans="1:9" x14ac:dyDescent="0.3">
      <c r="A99" s="316">
        <v>37</v>
      </c>
      <c r="B99" s="299" t="s">
        <v>668</v>
      </c>
      <c r="C99" s="299">
        <v>3201010054</v>
      </c>
      <c r="D99" s="299" t="s">
        <v>287</v>
      </c>
      <c r="E99" s="300" t="s">
        <v>41</v>
      </c>
      <c r="F99" s="181">
        <v>0</v>
      </c>
      <c r="G99" s="181">
        <v>0</v>
      </c>
      <c r="H99" s="181">
        <f t="shared" si="10"/>
        <v>0</v>
      </c>
      <c r="I99" s="315" t="str">
        <f t="shared" si="11"/>
        <v/>
      </c>
    </row>
    <row r="100" spans="1:9" x14ac:dyDescent="0.3">
      <c r="A100" s="316">
        <v>38</v>
      </c>
      <c r="B100" s="299" t="s">
        <v>668</v>
      </c>
      <c r="C100" s="299">
        <v>3201010059</v>
      </c>
      <c r="D100" s="299" t="s">
        <v>291</v>
      </c>
      <c r="E100" s="300" t="s">
        <v>41</v>
      </c>
      <c r="F100" s="181">
        <v>0</v>
      </c>
      <c r="G100" s="181">
        <v>0</v>
      </c>
      <c r="H100" s="181">
        <f t="shared" si="10"/>
        <v>0</v>
      </c>
      <c r="I100" s="315" t="str">
        <f t="shared" si="11"/>
        <v/>
      </c>
    </row>
    <row r="101" spans="1:9" x14ac:dyDescent="0.3">
      <c r="A101" s="316">
        <v>39</v>
      </c>
      <c r="B101" s="299" t="s">
        <v>668</v>
      </c>
      <c r="C101" s="299">
        <v>3201010060</v>
      </c>
      <c r="D101" s="299" t="s">
        <v>292</v>
      </c>
      <c r="E101" s="300" t="s">
        <v>41</v>
      </c>
      <c r="F101" s="181">
        <v>0</v>
      </c>
      <c r="G101" s="181">
        <v>0</v>
      </c>
      <c r="H101" s="181">
        <f t="shared" si="10"/>
        <v>0</v>
      </c>
      <c r="I101" s="315" t="str">
        <f t="shared" si="11"/>
        <v/>
      </c>
    </row>
    <row r="102" spans="1:9" x14ac:dyDescent="0.3">
      <c r="A102" s="316">
        <v>40</v>
      </c>
      <c r="B102" s="299" t="s">
        <v>668</v>
      </c>
      <c r="C102" s="299">
        <v>3201010061</v>
      </c>
      <c r="D102" s="299" t="s">
        <v>293</v>
      </c>
      <c r="E102" s="300" t="s">
        <v>41</v>
      </c>
      <c r="F102" s="181">
        <v>0</v>
      </c>
      <c r="G102" s="181">
        <v>0</v>
      </c>
      <c r="H102" s="181">
        <f t="shared" si="10"/>
        <v>0</v>
      </c>
      <c r="I102" s="315" t="str">
        <f t="shared" si="11"/>
        <v/>
      </c>
    </row>
    <row r="103" spans="1:9" x14ac:dyDescent="0.3">
      <c r="A103" s="316">
        <v>41</v>
      </c>
      <c r="B103" s="299" t="s">
        <v>668</v>
      </c>
      <c r="C103" s="299">
        <v>3201010064</v>
      </c>
      <c r="D103" s="299" t="s">
        <v>296</v>
      </c>
      <c r="E103" s="300" t="s">
        <v>41</v>
      </c>
      <c r="F103" s="181">
        <v>3000</v>
      </c>
      <c r="G103" s="181">
        <v>3000</v>
      </c>
      <c r="H103" s="181">
        <f t="shared" si="10"/>
        <v>0</v>
      </c>
      <c r="I103" s="315">
        <f t="shared" si="11"/>
        <v>0</v>
      </c>
    </row>
    <row r="104" spans="1:9" x14ac:dyDescent="0.3">
      <c r="A104" s="316">
        <v>42</v>
      </c>
      <c r="B104" s="299" t="s">
        <v>668</v>
      </c>
      <c r="C104" s="299">
        <v>3201010056</v>
      </c>
      <c r="D104" s="299" t="s">
        <v>526</v>
      </c>
      <c r="E104" s="300" t="s">
        <v>41</v>
      </c>
      <c r="F104" s="181">
        <v>0</v>
      </c>
      <c r="G104" s="181">
        <v>0</v>
      </c>
      <c r="H104" s="181">
        <f t="shared" si="10"/>
        <v>0</v>
      </c>
      <c r="I104" s="315" t="str">
        <f t="shared" si="11"/>
        <v/>
      </c>
    </row>
    <row r="105" spans="1:9" x14ac:dyDescent="0.3">
      <c r="A105" s="316">
        <v>43</v>
      </c>
      <c r="B105" s="299" t="s">
        <v>668</v>
      </c>
      <c r="C105" s="299">
        <v>3201010014</v>
      </c>
      <c r="D105" s="299" t="s">
        <v>255</v>
      </c>
      <c r="E105" s="300" t="s">
        <v>41</v>
      </c>
      <c r="F105" s="181">
        <v>67250</v>
      </c>
      <c r="G105" s="181">
        <v>60000</v>
      </c>
      <c r="H105" s="181">
        <f t="shared" si="10"/>
        <v>7250</v>
      </c>
      <c r="I105" s="315">
        <f t="shared" si="11"/>
        <v>0.10780669144981413</v>
      </c>
    </row>
    <row r="106" spans="1:9" x14ac:dyDescent="0.3">
      <c r="A106" s="316">
        <v>44</v>
      </c>
      <c r="B106" s="299" t="s">
        <v>668</v>
      </c>
      <c r="C106" s="299">
        <v>3201010023</v>
      </c>
      <c r="D106" s="299" t="s">
        <v>264</v>
      </c>
      <c r="E106" s="300" t="s">
        <v>41</v>
      </c>
      <c r="F106" s="181">
        <v>0</v>
      </c>
      <c r="G106" s="181">
        <v>0</v>
      </c>
      <c r="H106" s="181">
        <f t="shared" si="10"/>
        <v>0</v>
      </c>
      <c r="I106" s="315" t="str">
        <f t="shared" si="11"/>
        <v/>
      </c>
    </row>
    <row r="107" spans="1:9" x14ac:dyDescent="0.3">
      <c r="A107" s="316">
        <v>45</v>
      </c>
      <c r="B107" s="299" t="s">
        <v>668</v>
      </c>
      <c r="C107" s="299">
        <v>3201010029</v>
      </c>
      <c r="D107" s="299" t="s">
        <v>269</v>
      </c>
      <c r="E107" s="300" t="s">
        <v>41</v>
      </c>
      <c r="F107" s="181">
        <v>5250</v>
      </c>
      <c r="G107" s="181">
        <v>4875</v>
      </c>
      <c r="H107" s="181">
        <f t="shared" si="10"/>
        <v>375</v>
      </c>
      <c r="I107" s="315">
        <f t="shared" si="11"/>
        <v>7.1428571428571425E-2</v>
      </c>
    </row>
    <row r="108" spans="1:9" x14ac:dyDescent="0.3">
      <c r="A108" s="316">
        <v>46</v>
      </c>
      <c r="B108" s="299" t="s">
        <v>668</v>
      </c>
      <c r="C108" s="299">
        <v>3201010030</v>
      </c>
      <c r="D108" s="299" t="s">
        <v>270</v>
      </c>
      <c r="E108" s="300" t="s">
        <v>41</v>
      </c>
      <c r="F108" s="181">
        <v>31500</v>
      </c>
      <c r="G108" s="181">
        <v>23723</v>
      </c>
      <c r="H108" s="181">
        <f t="shared" si="10"/>
        <v>7777</v>
      </c>
      <c r="I108" s="315">
        <f t="shared" si="11"/>
        <v>0.24688888888888888</v>
      </c>
    </row>
    <row r="109" spans="1:9" x14ac:dyDescent="0.3">
      <c r="A109" s="316">
        <v>47</v>
      </c>
      <c r="B109" s="299" t="s">
        <v>668</v>
      </c>
      <c r="C109" s="299">
        <v>3201010057</v>
      </c>
      <c r="D109" s="299" t="s">
        <v>289</v>
      </c>
      <c r="E109" s="300" t="s">
        <v>41</v>
      </c>
      <c r="F109" s="181">
        <v>0</v>
      </c>
      <c r="G109" s="181">
        <v>0</v>
      </c>
      <c r="H109" s="181">
        <f t="shared" si="10"/>
        <v>0</v>
      </c>
      <c r="I109" s="315" t="str">
        <f t="shared" si="11"/>
        <v/>
      </c>
    </row>
    <row r="110" spans="1:9" x14ac:dyDescent="0.3">
      <c r="A110" s="316">
        <v>48</v>
      </c>
      <c r="B110" s="299" t="s">
        <v>668</v>
      </c>
      <c r="C110" s="299">
        <v>3201010058</v>
      </c>
      <c r="D110" s="299" t="s">
        <v>290</v>
      </c>
      <c r="E110" s="300" t="s">
        <v>41</v>
      </c>
      <c r="F110" s="181">
        <v>0</v>
      </c>
      <c r="G110" s="181">
        <v>0</v>
      </c>
      <c r="H110" s="181">
        <f t="shared" si="10"/>
        <v>0</v>
      </c>
      <c r="I110" s="315" t="str">
        <f t="shared" si="11"/>
        <v/>
      </c>
    </row>
    <row r="111" spans="1:9" x14ac:dyDescent="0.3">
      <c r="A111" s="316">
        <v>49</v>
      </c>
      <c r="B111" s="299" t="s">
        <v>652</v>
      </c>
      <c r="C111" s="299">
        <v>3201010069</v>
      </c>
      <c r="D111" s="299" t="s">
        <v>676</v>
      </c>
      <c r="E111" s="300" t="s">
        <v>41</v>
      </c>
      <c r="F111" s="181">
        <v>0</v>
      </c>
      <c r="G111" s="181">
        <v>0</v>
      </c>
      <c r="H111" s="181">
        <f t="shared" si="10"/>
        <v>0</v>
      </c>
      <c r="I111" s="315" t="str">
        <f t="shared" si="11"/>
        <v/>
      </c>
    </row>
    <row r="112" spans="1:9" x14ac:dyDescent="0.3">
      <c r="A112" s="316">
        <v>50</v>
      </c>
      <c r="B112" s="299" t="s">
        <v>668</v>
      </c>
      <c r="C112" s="299">
        <v>3201010053</v>
      </c>
      <c r="D112" s="299" t="s">
        <v>286</v>
      </c>
      <c r="E112" s="300" t="s">
        <v>41</v>
      </c>
      <c r="F112" s="181">
        <v>0</v>
      </c>
      <c r="G112" s="181">
        <v>0</v>
      </c>
      <c r="H112" s="181">
        <f t="shared" si="10"/>
        <v>0</v>
      </c>
      <c r="I112" s="315" t="str">
        <f t="shared" si="11"/>
        <v/>
      </c>
    </row>
    <row r="113" spans="1:9" x14ac:dyDescent="0.3">
      <c r="A113" s="316">
        <v>51</v>
      </c>
      <c r="B113" s="299" t="s">
        <v>328</v>
      </c>
      <c r="C113" s="299">
        <v>700100026</v>
      </c>
      <c r="D113" s="299" t="s">
        <v>353</v>
      </c>
      <c r="E113" s="300" t="s">
        <v>41</v>
      </c>
      <c r="F113" s="22">
        <v>0</v>
      </c>
      <c r="G113" s="181">
        <v>0</v>
      </c>
      <c r="H113" s="181">
        <f t="shared" si="10"/>
        <v>0</v>
      </c>
      <c r="I113" s="315" t="str">
        <f t="shared" si="11"/>
        <v/>
      </c>
    </row>
    <row r="114" spans="1:9" ht="15.75" customHeight="1" thickBot="1" x14ac:dyDescent="0.35">
      <c r="A114" s="329">
        <v>52</v>
      </c>
      <c r="B114" s="325" t="s">
        <v>328</v>
      </c>
      <c r="C114" s="287">
        <v>700100038</v>
      </c>
      <c r="D114" s="287" t="s">
        <v>364</v>
      </c>
      <c r="E114" s="335" t="s">
        <v>41</v>
      </c>
      <c r="F114" s="304">
        <v>0</v>
      </c>
      <c r="G114" s="304">
        <v>0</v>
      </c>
      <c r="H114" s="304">
        <f t="shared" si="10"/>
        <v>0</v>
      </c>
      <c r="I114" s="330" t="str">
        <f t="shared" si="11"/>
        <v/>
      </c>
    </row>
    <row r="115" spans="1:9" ht="15.75" customHeight="1" thickBot="1" x14ac:dyDescent="0.35">
      <c r="A115" s="331" t="s">
        <v>546</v>
      </c>
      <c r="B115" s="323"/>
      <c r="C115" s="327"/>
      <c r="D115" s="327"/>
      <c r="E115" s="327"/>
      <c r="F115" s="305">
        <v>0</v>
      </c>
      <c r="G115" s="305">
        <v>0</v>
      </c>
      <c r="H115" s="305"/>
      <c r="I115" s="336">
        <f>AVERAGEIF(I116:I121, "&lt;&gt;0")</f>
        <v>0.11661971830985915</v>
      </c>
    </row>
    <row r="116" spans="1:9" x14ac:dyDescent="0.3">
      <c r="A116" s="318">
        <v>53</v>
      </c>
      <c r="B116" s="324" t="s">
        <v>668</v>
      </c>
      <c r="C116" s="324">
        <v>3201010073</v>
      </c>
      <c r="D116" s="324" t="s">
        <v>304</v>
      </c>
      <c r="E116" s="334" t="s">
        <v>41</v>
      </c>
      <c r="F116" s="303">
        <v>3400</v>
      </c>
      <c r="G116" s="303">
        <v>3400</v>
      </c>
      <c r="H116" s="303">
        <f t="shared" ref="H116:H121" si="12">F116-G116</f>
        <v>0</v>
      </c>
      <c r="I116" s="315">
        <f t="shared" ref="I116:I121" si="13">IFERROR(H116/F116, "")</f>
        <v>0</v>
      </c>
    </row>
    <row r="117" spans="1:9" x14ac:dyDescent="0.3">
      <c r="A117" s="316">
        <v>54</v>
      </c>
      <c r="B117" s="299" t="s">
        <v>668</v>
      </c>
      <c r="C117" s="299">
        <v>3201010074</v>
      </c>
      <c r="D117" s="299" t="s">
        <v>305</v>
      </c>
      <c r="E117" s="300" t="s">
        <v>41</v>
      </c>
      <c r="F117" s="181">
        <v>6000</v>
      </c>
      <c r="G117" s="181">
        <v>6000</v>
      </c>
      <c r="H117" s="181">
        <f t="shared" si="12"/>
        <v>0</v>
      </c>
      <c r="I117" s="315">
        <f t="shared" si="13"/>
        <v>0</v>
      </c>
    </row>
    <row r="118" spans="1:9" x14ac:dyDescent="0.3">
      <c r="A118" s="316">
        <v>55</v>
      </c>
      <c r="B118" s="299" t="s">
        <v>668</v>
      </c>
      <c r="C118" s="299">
        <v>3201010075</v>
      </c>
      <c r="D118" s="299" t="s">
        <v>306</v>
      </c>
      <c r="E118" s="300" t="s">
        <v>41</v>
      </c>
      <c r="F118" s="181">
        <v>7100</v>
      </c>
      <c r="G118" s="181">
        <v>6272</v>
      </c>
      <c r="H118" s="181">
        <f t="shared" si="12"/>
        <v>828</v>
      </c>
      <c r="I118" s="315">
        <f t="shared" si="13"/>
        <v>0.11661971830985915</v>
      </c>
    </row>
    <row r="119" spans="1:9" x14ac:dyDescent="0.3">
      <c r="A119" s="316">
        <v>56</v>
      </c>
      <c r="B119" s="299" t="s">
        <v>668</v>
      </c>
      <c r="C119" s="299">
        <v>3201010076</v>
      </c>
      <c r="D119" s="299" t="s">
        <v>307</v>
      </c>
      <c r="E119" s="300" t="s">
        <v>41</v>
      </c>
      <c r="F119" s="181">
        <v>71900</v>
      </c>
      <c r="G119" s="181">
        <v>71900</v>
      </c>
      <c r="H119" s="181">
        <f t="shared" si="12"/>
        <v>0</v>
      </c>
      <c r="I119" s="315">
        <f t="shared" si="13"/>
        <v>0</v>
      </c>
    </row>
    <row r="120" spans="1:9" x14ac:dyDescent="0.3">
      <c r="A120" s="316">
        <v>57</v>
      </c>
      <c r="B120" s="299" t="s">
        <v>668</v>
      </c>
      <c r="C120" s="299">
        <v>3201010077</v>
      </c>
      <c r="D120" s="299" t="s">
        <v>308</v>
      </c>
      <c r="E120" s="300" t="s">
        <v>41</v>
      </c>
      <c r="F120" s="181">
        <v>85600</v>
      </c>
      <c r="G120" s="181">
        <v>85600</v>
      </c>
      <c r="H120" s="181">
        <f t="shared" si="12"/>
        <v>0</v>
      </c>
      <c r="I120" s="315">
        <f t="shared" si="13"/>
        <v>0</v>
      </c>
    </row>
    <row r="121" spans="1:9" ht="15.75" customHeight="1" thickBot="1" x14ac:dyDescent="0.35">
      <c r="A121" s="329">
        <v>58</v>
      </c>
      <c r="B121" s="325" t="s">
        <v>668</v>
      </c>
      <c r="C121" s="325">
        <v>3201010078</v>
      </c>
      <c r="D121" s="325" t="s">
        <v>677</v>
      </c>
      <c r="E121" s="335" t="s">
        <v>14</v>
      </c>
      <c r="F121" s="304">
        <v>0</v>
      </c>
      <c r="G121" s="304">
        <v>0</v>
      </c>
      <c r="H121" s="304">
        <f t="shared" si="12"/>
        <v>0</v>
      </c>
      <c r="I121" s="330" t="str">
        <f t="shared" si="13"/>
        <v/>
      </c>
    </row>
    <row r="122" spans="1:9" ht="15.75" customHeight="1" thickBot="1" x14ac:dyDescent="0.35">
      <c r="A122" s="331" t="s">
        <v>537</v>
      </c>
      <c r="B122" s="323"/>
      <c r="C122" s="327"/>
      <c r="D122" s="327"/>
      <c r="E122" s="327"/>
      <c r="F122" s="305">
        <v>0</v>
      </c>
      <c r="G122" s="305">
        <v>0</v>
      </c>
      <c r="H122" s="305"/>
      <c r="I122" s="336">
        <f>AVERAGEIF(I123:I131, "&lt;&gt;0")</f>
        <v>0.52119209948130196</v>
      </c>
    </row>
    <row r="123" spans="1:9" x14ac:dyDescent="0.3">
      <c r="A123" s="318">
        <v>59</v>
      </c>
      <c r="B123" s="324" t="s">
        <v>668</v>
      </c>
      <c r="C123" s="324">
        <v>3201010079</v>
      </c>
      <c r="D123" s="324" t="s">
        <v>310</v>
      </c>
      <c r="E123" s="334" t="s">
        <v>41</v>
      </c>
      <c r="F123" s="303">
        <v>5565</v>
      </c>
      <c r="G123" s="303">
        <v>5561</v>
      </c>
      <c r="H123" s="303">
        <f t="shared" ref="H123:H128" si="14">F123-G123</f>
        <v>4</v>
      </c>
      <c r="I123" s="315">
        <f t="shared" ref="I123:I128" si="15">IFERROR(H123/F123, "")</f>
        <v>7.187780772686433E-4</v>
      </c>
    </row>
    <row r="124" spans="1:9" x14ac:dyDescent="0.3">
      <c r="A124" s="316">
        <v>60</v>
      </c>
      <c r="B124" s="299" t="s">
        <v>668</v>
      </c>
      <c r="C124" s="299">
        <v>3201010080</v>
      </c>
      <c r="D124" s="299" t="s">
        <v>311</v>
      </c>
      <c r="E124" s="300" t="s">
        <v>41</v>
      </c>
      <c r="F124" s="181">
        <v>11025</v>
      </c>
      <c r="G124" s="181">
        <v>2316</v>
      </c>
      <c r="H124" s="181">
        <f t="shared" si="14"/>
        <v>8709</v>
      </c>
      <c r="I124" s="315">
        <f t="shared" si="15"/>
        <v>0.78993197278911564</v>
      </c>
    </row>
    <row r="125" spans="1:9" x14ac:dyDescent="0.3">
      <c r="A125" s="316">
        <v>61</v>
      </c>
      <c r="B125" s="299" t="s">
        <v>668</v>
      </c>
      <c r="C125" s="299">
        <v>3201010081</v>
      </c>
      <c r="D125" s="299" t="s">
        <v>312</v>
      </c>
      <c r="E125" s="300" t="s">
        <v>41</v>
      </c>
      <c r="F125" s="181">
        <v>20000</v>
      </c>
      <c r="G125" s="181">
        <v>20000</v>
      </c>
      <c r="H125" s="181">
        <f t="shared" si="14"/>
        <v>0</v>
      </c>
      <c r="I125" s="315">
        <f t="shared" si="15"/>
        <v>0</v>
      </c>
    </row>
    <row r="126" spans="1:9" x14ac:dyDescent="0.3">
      <c r="A126" s="316">
        <v>62</v>
      </c>
      <c r="B126" s="299" t="s">
        <v>668</v>
      </c>
      <c r="C126" s="299">
        <v>3201010083</v>
      </c>
      <c r="D126" s="299" t="s">
        <v>313</v>
      </c>
      <c r="E126" s="300" t="s">
        <v>41</v>
      </c>
      <c r="F126" s="181">
        <v>17000</v>
      </c>
      <c r="G126" s="181">
        <v>12000</v>
      </c>
      <c r="H126" s="181">
        <f t="shared" si="14"/>
        <v>5000</v>
      </c>
      <c r="I126" s="315">
        <f t="shared" si="15"/>
        <v>0.29411764705882354</v>
      </c>
    </row>
    <row r="127" spans="1:9" x14ac:dyDescent="0.3">
      <c r="A127" s="316">
        <v>63</v>
      </c>
      <c r="B127" s="299" t="s">
        <v>652</v>
      </c>
      <c r="C127" s="299">
        <v>3202010001</v>
      </c>
      <c r="D127" s="299" t="s">
        <v>678</v>
      </c>
      <c r="E127" s="300" t="s">
        <v>14</v>
      </c>
      <c r="F127" s="181">
        <v>100</v>
      </c>
      <c r="G127" s="181">
        <v>100</v>
      </c>
      <c r="H127" s="181">
        <f t="shared" si="14"/>
        <v>0</v>
      </c>
      <c r="I127" s="315">
        <f t="shared" si="15"/>
        <v>0</v>
      </c>
    </row>
    <row r="128" spans="1:9" x14ac:dyDescent="0.3">
      <c r="A128" s="316">
        <v>64</v>
      </c>
      <c r="B128" s="299" t="s">
        <v>652</v>
      </c>
      <c r="C128" s="299">
        <v>3202010009</v>
      </c>
      <c r="D128" s="299" t="s">
        <v>318</v>
      </c>
      <c r="E128" s="300" t="s">
        <v>41</v>
      </c>
      <c r="F128" s="181">
        <v>0</v>
      </c>
      <c r="G128" s="181">
        <v>0</v>
      </c>
      <c r="H128" s="181">
        <f t="shared" si="14"/>
        <v>0</v>
      </c>
      <c r="I128" s="315" t="str">
        <f t="shared" si="15"/>
        <v/>
      </c>
    </row>
    <row r="129" spans="1:9" x14ac:dyDescent="0.3">
      <c r="A129" s="316">
        <v>65</v>
      </c>
      <c r="B129" s="299" t="s">
        <v>652</v>
      </c>
      <c r="C129" s="299">
        <v>3202010008</v>
      </c>
      <c r="D129" s="299" t="s">
        <v>679</v>
      </c>
      <c r="E129" s="300" t="s">
        <v>14</v>
      </c>
      <c r="F129" s="181">
        <v>200</v>
      </c>
      <c r="G129" s="181">
        <v>200</v>
      </c>
      <c r="H129" s="181">
        <v>0</v>
      </c>
      <c r="I129" s="315"/>
    </row>
    <row r="130" spans="1:9" x14ac:dyDescent="0.3">
      <c r="A130" s="316">
        <v>66</v>
      </c>
      <c r="B130" s="299" t="s">
        <v>652</v>
      </c>
      <c r="C130" s="299">
        <v>3202010002</v>
      </c>
      <c r="D130" s="299" t="s">
        <v>315</v>
      </c>
      <c r="E130" s="300" t="s">
        <v>41</v>
      </c>
      <c r="F130" s="181">
        <v>0</v>
      </c>
      <c r="G130" s="181">
        <v>0</v>
      </c>
      <c r="H130" s="181">
        <v>0</v>
      </c>
      <c r="I130" s="315"/>
    </row>
    <row r="131" spans="1:9" ht="15.75" customHeight="1" thickBot="1" x14ac:dyDescent="0.35">
      <c r="A131" s="329">
        <v>67</v>
      </c>
      <c r="B131" s="325" t="s">
        <v>652</v>
      </c>
      <c r="C131" s="325">
        <v>3202010016</v>
      </c>
      <c r="D131" s="325" t="s">
        <v>325</v>
      </c>
      <c r="E131" s="335" t="s">
        <v>41</v>
      </c>
      <c r="F131" s="304">
        <v>0</v>
      </c>
      <c r="G131" s="304">
        <v>0</v>
      </c>
      <c r="H131" s="304">
        <v>6000</v>
      </c>
      <c r="I131" s="330">
        <v>1</v>
      </c>
    </row>
    <row r="132" spans="1:9" ht="15.75" customHeight="1" thickBot="1" x14ac:dyDescent="0.35">
      <c r="A132" s="331" t="s">
        <v>666</v>
      </c>
      <c r="B132" s="323"/>
      <c r="C132" s="327"/>
      <c r="D132" s="327"/>
      <c r="E132" s="327"/>
      <c r="F132" s="305">
        <v>0</v>
      </c>
      <c r="G132" s="305">
        <v>0</v>
      </c>
      <c r="H132" s="305"/>
      <c r="I132" s="336" t="str">
        <f>IFERROR(AVERAGEIF(I133:I142,"&lt;&gt;0"),"-")</f>
        <v>-</v>
      </c>
    </row>
    <row r="133" spans="1:9" x14ac:dyDescent="0.3">
      <c r="A133" s="318">
        <v>68</v>
      </c>
      <c r="B133" s="324" t="s">
        <v>668</v>
      </c>
      <c r="C133" s="324">
        <v>3201010063</v>
      </c>
      <c r="D133" s="324" t="s">
        <v>295</v>
      </c>
      <c r="E133" s="334" t="s">
        <v>41</v>
      </c>
      <c r="F133" s="303">
        <v>0</v>
      </c>
      <c r="G133" s="303">
        <v>0</v>
      </c>
      <c r="H133" s="303">
        <f t="shared" ref="H133:H142" si="16">F133-G133</f>
        <v>0</v>
      </c>
      <c r="I133" s="315" t="str">
        <f t="shared" ref="I133:I142" si="17">IFERROR(H133/F133, "")</f>
        <v/>
      </c>
    </row>
    <row r="134" spans="1:9" x14ac:dyDescent="0.3">
      <c r="A134" s="316">
        <v>69</v>
      </c>
      <c r="B134" s="299" t="s">
        <v>668</v>
      </c>
      <c r="C134" s="299">
        <v>3201010066</v>
      </c>
      <c r="D134" s="299" t="s">
        <v>298</v>
      </c>
      <c r="E134" s="300" t="s">
        <v>41</v>
      </c>
      <c r="F134" s="181">
        <v>0</v>
      </c>
      <c r="G134" s="181">
        <v>0</v>
      </c>
      <c r="H134" s="181">
        <f t="shared" si="16"/>
        <v>0</v>
      </c>
      <c r="I134" s="315" t="str">
        <f t="shared" si="17"/>
        <v/>
      </c>
    </row>
    <row r="135" spans="1:9" x14ac:dyDescent="0.3">
      <c r="A135" s="316">
        <v>70</v>
      </c>
      <c r="B135" s="299" t="s">
        <v>668</v>
      </c>
      <c r="C135" s="299">
        <v>3201010067</v>
      </c>
      <c r="D135" s="299" t="s">
        <v>680</v>
      </c>
      <c r="E135" s="300" t="s">
        <v>14</v>
      </c>
      <c r="F135" s="181">
        <v>0</v>
      </c>
      <c r="G135" s="181">
        <v>0</v>
      </c>
      <c r="H135" s="181">
        <f t="shared" si="16"/>
        <v>0</v>
      </c>
      <c r="I135" s="315" t="str">
        <f t="shared" si="17"/>
        <v/>
      </c>
    </row>
    <row r="136" spans="1:9" x14ac:dyDescent="0.3">
      <c r="A136" s="316">
        <v>71</v>
      </c>
      <c r="B136" s="299" t="s">
        <v>668</v>
      </c>
      <c r="C136" s="299">
        <v>3201010068</v>
      </c>
      <c r="D136" s="299" t="s">
        <v>681</v>
      </c>
      <c r="E136" s="300" t="s">
        <v>14</v>
      </c>
      <c r="F136" s="181">
        <v>0</v>
      </c>
      <c r="G136" s="181">
        <v>0</v>
      </c>
      <c r="H136" s="181">
        <f t="shared" si="16"/>
        <v>0</v>
      </c>
      <c r="I136" s="315" t="str">
        <f t="shared" si="17"/>
        <v/>
      </c>
    </row>
    <row r="137" spans="1:9" x14ac:dyDescent="0.3">
      <c r="A137" s="316">
        <v>72</v>
      </c>
      <c r="B137" s="299" t="s">
        <v>668</v>
      </c>
      <c r="C137" s="299">
        <v>3201010070</v>
      </c>
      <c r="D137" s="299" t="s">
        <v>301</v>
      </c>
      <c r="E137" s="300" t="s">
        <v>41</v>
      </c>
      <c r="F137" s="181">
        <v>0</v>
      </c>
      <c r="G137" s="181">
        <v>0</v>
      </c>
      <c r="H137" s="181">
        <f t="shared" si="16"/>
        <v>0</v>
      </c>
      <c r="I137" s="315" t="str">
        <f t="shared" si="17"/>
        <v/>
      </c>
    </row>
    <row r="138" spans="1:9" x14ac:dyDescent="0.3">
      <c r="A138" s="316">
        <v>73</v>
      </c>
      <c r="B138" s="299" t="s">
        <v>668</v>
      </c>
      <c r="C138" s="299">
        <v>3201010071</v>
      </c>
      <c r="D138" s="299" t="s">
        <v>302</v>
      </c>
      <c r="E138" s="300" t="s">
        <v>41</v>
      </c>
      <c r="F138" s="181">
        <v>0</v>
      </c>
      <c r="G138" s="181">
        <v>0</v>
      </c>
      <c r="H138" s="181">
        <f t="shared" si="16"/>
        <v>0</v>
      </c>
      <c r="I138" s="315" t="str">
        <f t="shared" si="17"/>
        <v/>
      </c>
    </row>
    <row r="139" spans="1:9" x14ac:dyDescent="0.3">
      <c r="A139" s="316">
        <v>74</v>
      </c>
      <c r="B139" s="299" t="s">
        <v>668</v>
      </c>
      <c r="C139" s="299">
        <v>3201010072</v>
      </c>
      <c r="D139" s="299" t="s">
        <v>303</v>
      </c>
      <c r="E139" s="300" t="s">
        <v>41</v>
      </c>
      <c r="F139" s="181">
        <v>0</v>
      </c>
      <c r="G139" s="181">
        <v>0</v>
      </c>
      <c r="H139" s="181">
        <f t="shared" si="16"/>
        <v>0</v>
      </c>
      <c r="I139" s="315" t="str">
        <f t="shared" si="17"/>
        <v/>
      </c>
    </row>
    <row r="140" spans="1:9" x14ac:dyDescent="0.3">
      <c r="A140" s="316">
        <v>75</v>
      </c>
      <c r="B140" s="299" t="s">
        <v>682</v>
      </c>
      <c r="C140" s="299">
        <v>700100035</v>
      </c>
      <c r="D140" s="299" t="s">
        <v>361</v>
      </c>
      <c r="E140" s="300" t="s">
        <v>41</v>
      </c>
      <c r="F140" s="181">
        <v>20000</v>
      </c>
      <c r="G140" s="181">
        <v>20000</v>
      </c>
      <c r="H140" s="181">
        <f t="shared" si="16"/>
        <v>0</v>
      </c>
      <c r="I140" s="315">
        <f t="shared" si="17"/>
        <v>0</v>
      </c>
    </row>
    <row r="141" spans="1:9" x14ac:dyDescent="0.3">
      <c r="A141" s="316">
        <v>76</v>
      </c>
      <c r="B141" s="299" t="s">
        <v>682</v>
      </c>
      <c r="C141" s="299">
        <v>700100036</v>
      </c>
      <c r="D141" s="299" t="s">
        <v>362</v>
      </c>
      <c r="E141" s="300" t="s">
        <v>41</v>
      </c>
      <c r="F141" s="181">
        <v>0</v>
      </c>
      <c r="G141" s="181">
        <v>0</v>
      </c>
      <c r="H141" s="181">
        <f t="shared" si="16"/>
        <v>0</v>
      </c>
      <c r="I141" s="315" t="str">
        <f t="shared" si="17"/>
        <v/>
      </c>
    </row>
    <row r="142" spans="1:9" ht="15.75" customHeight="1" thickBot="1" x14ac:dyDescent="0.35">
      <c r="A142" s="319">
        <v>77</v>
      </c>
      <c r="B142" s="320" t="s">
        <v>652</v>
      </c>
      <c r="C142" s="320">
        <v>3201010065</v>
      </c>
      <c r="D142" s="320" t="s">
        <v>297</v>
      </c>
      <c r="E142" s="321" t="s">
        <v>41</v>
      </c>
      <c r="F142" s="185">
        <v>0</v>
      </c>
      <c r="G142" s="185">
        <v>0</v>
      </c>
      <c r="H142" s="185">
        <f t="shared" si="16"/>
        <v>0</v>
      </c>
      <c r="I142" s="337" t="str">
        <f t="shared" si="17"/>
        <v/>
      </c>
    </row>
  </sheetData>
  <mergeCells count="14">
    <mergeCell ref="G2:G3"/>
    <mergeCell ref="H2:H3"/>
    <mergeCell ref="I61:I62"/>
    <mergeCell ref="I4:I5"/>
    <mergeCell ref="A1:I1"/>
    <mergeCell ref="D2:D3"/>
    <mergeCell ref="A2:A3"/>
    <mergeCell ref="B2:B3"/>
    <mergeCell ref="F2:F3"/>
    <mergeCell ref="C2:C3"/>
    <mergeCell ref="I49:I50"/>
    <mergeCell ref="E2:E3"/>
    <mergeCell ref="I2:I3"/>
    <mergeCell ref="I35:I36"/>
  </mergeCells>
  <conditionalFormatting sqref="C2:C104 C118:C1048576">
    <cfRule type="duplicateValues" dxfId="80" priority="11"/>
  </conditionalFormatting>
  <conditionalFormatting sqref="C114">
    <cfRule type="duplicateValues" dxfId="79" priority="5"/>
  </conditionalFormatting>
  <conditionalFormatting sqref="C115">
    <cfRule type="duplicateValues" dxfId="78" priority="3"/>
  </conditionalFormatting>
  <conditionalFormatting sqref="C105:D112 C116:D117 D63:D104 D118:D121 D123:D131 D133:D141">
    <cfRule type="duplicateValues" dxfId="77" priority="25"/>
  </conditionalFormatting>
  <conditionalFormatting sqref="C105:D112 C116:D117">
    <cfRule type="duplicateValues" dxfId="76" priority="7"/>
  </conditionalFormatting>
  <conditionalFormatting sqref="C105:D113 C116:D117 D2 D4:D44 D46:D104 D118:D1048576">
    <cfRule type="duplicateValues" dxfId="75" priority="13"/>
  </conditionalFormatting>
  <conditionalFormatting sqref="C113:D113">
    <cfRule type="duplicateValues" dxfId="74" priority="1"/>
    <cfRule type="duplicateValues" dxfId="73" priority="2"/>
  </conditionalFormatting>
  <conditionalFormatting sqref="D6:D17 D19:D34">
    <cfRule type="duplicateValues" dxfId="72" priority="27"/>
    <cfRule type="duplicateValues" dxfId="71" priority="28"/>
  </conditionalFormatting>
  <conditionalFormatting sqref="D6:D17">
    <cfRule type="duplicateValues" dxfId="70" priority="15"/>
  </conditionalFormatting>
  <conditionalFormatting sqref="D37:D44 D47:D48">
    <cfRule type="duplicateValues" dxfId="69" priority="20"/>
    <cfRule type="duplicateValues" dxfId="68" priority="21"/>
  </conditionalFormatting>
  <conditionalFormatting sqref="D37:D44">
    <cfRule type="duplicateValues" dxfId="67" priority="19"/>
  </conditionalFormatting>
  <conditionalFormatting sqref="D45">
    <cfRule type="duplicateValues" dxfId="66" priority="8"/>
    <cfRule type="duplicateValues" dxfId="65" priority="9"/>
    <cfRule type="duplicateValues" dxfId="64" priority="10"/>
  </conditionalFormatting>
  <conditionalFormatting sqref="D51:D56 D58 D60">
    <cfRule type="duplicateValues" dxfId="63" priority="17"/>
    <cfRule type="duplicateValues" dxfId="62" priority="18"/>
  </conditionalFormatting>
  <conditionalFormatting sqref="D51:D56 D58">
    <cfRule type="duplicateValues" dxfId="61" priority="16"/>
  </conditionalFormatting>
  <conditionalFormatting sqref="D63:D104">
    <cfRule type="duplicateValues" dxfId="60" priority="14"/>
    <cfRule type="duplicateValues" dxfId="59" priority="26"/>
  </conditionalFormatting>
  <conditionalFormatting sqref="D114">
    <cfRule type="duplicateValues" dxfId="58" priority="6"/>
  </conditionalFormatting>
  <conditionalFormatting sqref="D115">
    <cfRule type="duplicateValues" dxfId="57" priority="4"/>
  </conditionalFormatting>
  <conditionalFormatting sqref="D142">
    <cfRule type="duplicateValues" dxfId="56" priority="22"/>
    <cfRule type="duplicateValues" dxfId="55" priority="23"/>
    <cfRule type="duplicateValues" dxfId="54" priority="24"/>
  </conditionalFormatting>
  <conditionalFormatting sqref="F6:I17 F19:I34 F37:I45 F47:I48 F51:I56 F58:I58 F60:I60 F63:I105 F106:G112 H106:I113 F114:I114 F116:I121 F123:I131 F133:I142">
    <cfRule type="cellIs" dxfId="53" priority="12" operator="greaterThan">
      <formula>0</formula>
    </cfRule>
  </conditionalFormatting>
  <dataValidations count="2">
    <dataValidation type="list" allowBlank="1" showInputMessage="1" showErrorMessage="1" sqref="K3:K5" xr:uid="{00000000-0002-0000-0600-000000000000}">
      <formula1>$Q$13:$Q$15</formula1>
    </dataValidation>
    <dataValidation type="list" allowBlank="1" showInputMessage="1" showErrorMessage="1" sqref="J3:J5" xr:uid="{00000000-0002-0000-0600-000001000000}">
      <formula1>$P$13:$P$26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2:AM182"/>
  <sheetViews>
    <sheetView workbookViewId="0">
      <pane xSplit="4" ySplit="4" topLeftCell="E5" activePane="bottomRight" state="frozen"/>
      <selection activeCell="U4" sqref="U4"/>
      <selection pane="topRight" activeCell="U4" sqref="U4"/>
      <selection pane="bottomLeft" activeCell="U4" sqref="U4"/>
      <selection pane="bottomRight" activeCell="C5" sqref="C5"/>
    </sheetView>
  </sheetViews>
  <sheetFormatPr defaultRowHeight="14.4" x14ac:dyDescent="0.3"/>
  <cols>
    <col min="1" max="1" width="7.109375" bestFit="1" customWidth="1"/>
    <col min="2" max="2" width="19" bestFit="1" customWidth="1"/>
    <col min="3" max="3" width="10.44140625" bestFit="1" customWidth="1"/>
    <col min="4" max="4" width="12" bestFit="1" customWidth="1"/>
    <col min="5" max="5" width="9.44140625" customWidth="1"/>
    <col min="6" max="6" width="21.6640625" bestFit="1" customWidth="1"/>
    <col min="7" max="7" width="11" bestFit="1" customWidth="1"/>
    <col min="8" max="8" width="46.6640625" bestFit="1" customWidth="1"/>
    <col min="9" max="9" width="7.6640625" customWidth="1"/>
    <col min="10" max="10" width="7" bestFit="1" customWidth="1"/>
    <col min="11" max="11" width="11" bestFit="1" customWidth="1"/>
    <col min="12" max="12" width="7" bestFit="1" customWidth="1"/>
    <col min="13" max="13" width="11" bestFit="1" customWidth="1"/>
    <col min="14" max="14" width="6" bestFit="1" customWidth="1"/>
    <col min="15" max="15" width="10" bestFit="1" customWidth="1"/>
    <col min="17" max="17" width="4" bestFit="1" customWidth="1"/>
    <col min="18" max="18" width="12" bestFit="1" customWidth="1"/>
    <col min="37" max="37" width="8.33203125" style="1" bestFit="1" customWidth="1"/>
    <col min="38" max="38" width="4.44140625" style="1" bestFit="1" customWidth="1"/>
    <col min="39" max="39" width="9.44140625" style="1" bestFit="1" customWidth="1"/>
  </cols>
  <sheetData>
    <row r="2" spans="1:39" ht="15.75" customHeight="1" thickBot="1" x14ac:dyDescent="0.35"/>
    <row r="3" spans="1:39" x14ac:dyDescent="0.3">
      <c r="B3" s="349" t="s">
        <v>683</v>
      </c>
      <c r="C3" s="350">
        <v>46223</v>
      </c>
      <c r="D3" s="351">
        <v>46253</v>
      </c>
    </row>
    <row r="4" spans="1:39" ht="38.25" customHeight="1" x14ac:dyDescent="0.3">
      <c r="A4" s="352" t="s">
        <v>0</v>
      </c>
      <c r="B4" s="352" t="s">
        <v>616</v>
      </c>
      <c r="C4" s="352" t="s">
        <v>617</v>
      </c>
      <c r="D4" s="352" t="s">
        <v>618</v>
      </c>
      <c r="E4" s="352" t="s">
        <v>619</v>
      </c>
      <c r="F4" s="352" t="s">
        <v>620</v>
      </c>
      <c r="G4" s="352" t="s">
        <v>5</v>
      </c>
      <c r="H4" s="352" t="s">
        <v>7</v>
      </c>
      <c r="I4" s="352" t="s">
        <v>621</v>
      </c>
      <c r="J4" s="352" t="s">
        <v>622</v>
      </c>
      <c r="K4" s="352" t="s">
        <v>623</v>
      </c>
      <c r="L4" s="352" t="s">
        <v>624</v>
      </c>
      <c r="M4" s="352" t="s">
        <v>625</v>
      </c>
      <c r="N4" s="352" t="s">
        <v>626</v>
      </c>
      <c r="O4" s="352" t="s">
        <v>627</v>
      </c>
      <c r="P4" s="352" t="s">
        <v>628</v>
      </c>
      <c r="Q4" s="352" t="s">
        <v>629</v>
      </c>
      <c r="R4" s="352" t="s">
        <v>630</v>
      </c>
      <c r="AK4" s="353"/>
      <c r="AL4" s="353"/>
      <c r="AM4" s="353"/>
    </row>
    <row r="5" spans="1:39" x14ac:dyDescent="0.3">
      <c r="A5" s="176">
        <f t="array" ref="A5:R89">IFERROR(_xlfn.VSTACK(_xlfn._xlws.FILTER('BSIC Entry'!A1:R1030,('BSIC Entry'!AA1:AA1030&gt;=C3)*('BSIC Entry'!AA1:AA1030&lt;=D3),""),_xlfn._xlws.FILTER('Plastic Entry'!A1:R1030,('Plastic Entry'!AA1:AA1030&gt;=C3)*('Plastic Entry'!AA1:AA1030&lt;=D3),"")),"No Data")</f>
        <v>3</v>
      </c>
      <c r="B5" s="176">
        <v>2219</v>
      </c>
      <c r="C5" s="176" t="str">
        <v>26-07-2026</v>
      </c>
      <c r="D5" s="176">
        <v>1584715871</v>
      </c>
      <c r="E5" s="176" t="str">
        <v>FAN</v>
      </c>
      <c r="F5" s="176" t="str">
        <v>Printing and Packaging</v>
      </c>
      <c r="G5" s="176">
        <v>3202010001</v>
      </c>
      <c r="H5" s="176" t="str">
        <v>HDPE Poly (L=22``, W=18``, T=0.025mm)</v>
      </c>
      <c r="I5" s="176" t="str">
        <v>KG</v>
      </c>
      <c r="J5" s="176">
        <v>100</v>
      </c>
      <c r="K5" s="176">
        <v>28989.08</v>
      </c>
      <c r="L5" s="176">
        <v>100</v>
      </c>
      <c r="M5" s="176">
        <v>28989.08</v>
      </c>
      <c r="N5" s="176">
        <v>0</v>
      </c>
      <c r="O5" s="176">
        <v>0</v>
      </c>
      <c r="P5" s="176" t="str">
        <v>PENDING</v>
      </c>
      <c r="Q5" s="176">
        <v>144</v>
      </c>
      <c r="R5" s="176">
        <v>46229.684525462966</v>
      </c>
      <c r="AK5" s="354" t="s">
        <v>650</v>
      </c>
      <c r="AL5" s="354">
        <v>2026</v>
      </c>
      <c r="AM5" s="354" t="str">
        <f t="shared" ref="AM5:AM36" si="0">AK5&amp;AL5</f>
        <v>August2026</v>
      </c>
    </row>
    <row r="6" spans="1:39" x14ac:dyDescent="0.3">
      <c r="A6" s="176">
        <v>10</v>
      </c>
      <c r="B6" s="176">
        <v>2219</v>
      </c>
      <c r="C6" s="176" t="str">
        <v>26-07-2026</v>
      </c>
      <c r="D6" s="176">
        <v>1584715655</v>
      </c>
      <c r="E6" s="176" t="str">
        <v>FAN</v>
      </c>
      <c r="F6" s="176" t="str">
        <v>Printing and Packaging</v>
      </c>
      <c r="G6" s="176">
        <v>3202010008</v>
      </c>
      <c r="H6" s="176" t="str">
        <v>HDPE Poly (L=24``, W=20``, T=0.025mm)</v>
      </c>
      <c r="I6" s="176" t="str">
        <v>KG</v>
      </c>
      <c r="J6" s="176">
        <v>200</v>
      </c>
      <c r="K6" s="176">
        <v>57728.01</v>
      </c>
      <c r="L6" s="176">
        <v>200</v>
      </c>
      <c r="M6" s="176">
        <v>57728.01</v>
      </c>
      <c r="N6" s="176">
        <v>0</v>
      </c>
      <c r="O6" s="176">
        <v>0</v>
      </c>
      <c r="P6" s="176" t="str">
        <v>PENDING</v>
      </c>
      <c r="Q6" s="176">
        <v>144</v>
      </c>
      <c r="R6" s="176">
        <v>46229.684525462966</v>
      </c>
      <c r="AK6" s="354" t="s">
        <v>650</v>
      </c>
      <c r="AL6" s="354">
        <v>2026</v>
      </c>
      <c r="AM6" s="354" t="str">
        <f t="shared" si="0"/>
        <v>August2026</v>
      </c>
    </row>
    <row r="7" spans="1:39" x14ac:dyDescent="0.3">
      <c r="A7" s="176">
        <v>22</v>
      </c>
      <c r="B7" s="176">
        <v>2206</v>
      </c>
      <c r="C7" s="176" t="str">
        <v>22-07-2026</v>
      </c>
      <c r="D7" s="176">
        <v>15333</v>
      </c>
      <c r="E7" s="176" t="str">
        <v>FAN</v>
      </c>
      <c r="F7" s="176" t="str">
        <v>Printing and Packaging</v>
      </c>
      <c r="G7" s="176">
        <v>3201010002</v>
      </c>
      <c r="H7" s="176" t="str">
        <v>FAN Shank Paper</v>
      </c>
      <c r="I7" s="176" t="str">
        <v>Pcs</v>
      </c>
      <c r="J7" s="176">
        <v>136500</v>
      </c>
      <c r="K7" s="176">
        <v>209358.94</v>
      </c>
      <c r="L7" s="176">
        <v>136500</v>
      </c>
      <c r="M7" s="176">
        <v>209358.94</v>
      </c>
      <c r="N7" s="176">
        <v>0</v>
      </c>
      <c r="O7" s="176">
        <v>0</v>
      </c>
      <c r="P7" s="176" t="str">
        <v>PENDING</v>
      </c>
      <c r="Q7" s="176">
        <v>144</v>
      </c>
      <c r="R7" s="176">
        <v>46228.398125</v>
      </c>
      <c r="AK7" s="354" t="s">
        <v>650</v>
      </c>
      <c r="AL7" s="354">
        <v>2026</v>
      </c>
      <c r="AM7" s="354" t="str">
        <f t="shared" si="0"/>
        <v>August2026</v>
      </c>
    </row>
    <row r="8" spans="1:39" x14ac:dyDescent="0.3">
      <c r="A8" s="176">
        <v>25</v>
      </c>
      <c r="B8" s="176">
        <v>2206</v>
      </c>
      <c r="C8" s="176" t="str">
        <v>22-07-2026</v>
      </c>
      <c r="D8" s="176">
        <v>15333</v>
      </c>
      <c r="E8" s="176" t="str">
        <v>FAN</v>
      </c>
      <c r="F8" s="176" t="str">
        <v>Printing and Packaging</v>
      </c>
      <c r="G8" s="176">
        <v>3201010004</v>
      </c>
      <c r="H8" s="176" t="str">
        <v>Body Sticker-5601</v>
      </c>
      <c r="I8" s="176" t="str">
        <v>Pcs</v>
      </c>
      <c r="J8" s="176">
        <v>31500</v>
      </c>
      <c r="K8" s="176">
        <v>9519.6299999999992</v>
      </c>
      <c r="L8" s="176">
        <v>31500</v>
      </c>
      <c r="M8" s="176">
        <v>9519.6299999999992</v>
      </c>
      <c r="N8" s="176">
        <v>0</v>
      </c>
      <c r="O8" s="176">
        <v>0</v>
      </c>
      <c r="P8" s="176" t="str">
        <v>PENDING</v>
      </c>
      <c r="Q8" s="176">
        <v>144</v>
      </c>
      <c r="R8" s="176">
        <v>46228.398125</v>
      </c>
      <c r="AK8" s="354" t="s">
        <v>650</v>
      </c>
      <c r="AL8" s="354">
        <v>2026</v>
      </c>
      <c r="AM8" s="354" t="str">
        <f t="shared" si="0"/>
        <v>August2026</v>
      </c>
    </row>
    <row r="9" spans="1:39" x14ac:dyDescent="0.3">
      <c r="A9" s="176">
        <v>27</v>
      </c>
      <c r="B9" s="176">
        <v>2206</v>
      </c>
      <c r="C9" s="176" t="str">
        <v>22-07-2026</v>
      </c>
      <c r="D9" s="176">
        <v>15333</v>
      </c>
      <c r="E9" s="176" t="str">
        <v>FAN</v>
      </c>
      <c r="F9" s="176" t="str">
        <v>Printing and Packaging</v>
      </c>
      <c r="G9" s="176">
        <v>3201010007</v>
      </c>
      <c r="H9" s="176" t="str">
        <v>Body Sticker-4801</v>
      </c>
      <c r="I9" s="176" t="str">
        <v>Pcs</v>
      </c>
      <c r="J9" s="176">
        <v>5250</v>
      </c>
      <c r="K9" s="176">
        <v>1503.11</v>
      </c>
      <c r="L9" s="176">
        <v>5250</v>
      </c>
      <c r="M9" s="176">
        <v>1503.11</v>
      </c>
      <c r="N9" s="176">
        <v>0</v>
      </c>
      <c r="O9" s="176">
        <v>0</v>
      </c>
      <c r="P9" s="176" t="str">
        <v>PENDING</v>
      </c>
      <c r="Q9" s="176">
        <v>144</v>
      </c>
      <c r="R9" s="176">
        <v>46228.398125</v>
      </c>
      <c r="AK9" s="354" t="s">
        <v>650</v>
      </c>
      <c r="AL9" s="354">
        <v>2026</v>
      </c>
      <c r="AM9" s="354" t="str">
        <f t="shared" si="0"/>
        <v>August2026</v>
      </c>
    </row>
    <row r="10" spans="1:39" x14ac:dyDescent="0.3">
      <c r="A10" s="176">
        <v>28</v>
      </c>
      <c r="B10" s="176">
        <v>2206</v>
      </c>
      <c r="C10" s="176" t="str">
        <v>22-07-2026</v>
      </c>
      <c r="D10" s="176">
        <v>15333</v>
      </c>
      <c r="E10" s="176" t="str">
        <v>FAN</v>
      </c>
      <c r="F10" s="176" t="str">
        <v>Printing and Packaging</v>
      </c>
      <c r="G10" s="176">
        <v>3201010008</v>
      </c>
      <c r="H10" s="176" t="str">
        <v>Body Sticker-3601</v>
      </c>
      <c r="I10" s="176" t="str">
        <v>Pcs</v>
      </c>
      <c r="J10" s="176">
        <v>5250</v>
      </c>
      <c r="K10" s="176">
        <v>1525.91</v>
      </c>
      <c r="L10" s="176">
        <v>5250</v>
      </c>
      <c r="M10" s="176">
        <v>1525.91</v>
      </c>
      <c r="N10" s="176">
        <v>0</v>
      </c>
      <c r="O10" s="176">
        <v>0</v>
      </c>
      <c r="P10" s="176" t="str">
        <v>PENDING</v>
      </c>
      <c r="Q10" s="176">
        <v>144</v>
      </c>
      <c r="R10" s="176">
        <v>46228.398125</v>
      </c>
      <c r="AK10" s="354" t="s">
        <v>650</v>
      </c>
      <c r="AL10" s="354">
        <v>2026</v>
      </c>
      <c r="AM10" s="354" t="str">
        <f t="shared" si="0"/>
        <v>August2026</v>
      </c>
    </row>
    <row r="11" spans="1:39" x14ac:dyDescent="0.3">
      <c r="A11" s="176">
        <v>31</v>
      </c>
      <c r="B11" s="176">
        <v>2206</v>
      </c>
      <c r="C11" s="176" t="str">
        <v>22-07-2026</v>
      </c>
      <c r="D11" s="176">
        <v>15338</v>
      </c>
      <c r="E11" s="176" t="str">
        <v>FAN</v>
      </c>
      <c r="F11" s="176" t="str">
        <v>Printing and Packaging</v>
      </c>
      <c r="G11" s="176">
        <v>3201010009</v>
      </c>
      <c r="H11" s="176" t="str">
        <v>Body Sticker-2401</v>
      </c>
      <c r="I11" s="176" t="str">
        <v>Pcs</v>
      </c>
      <c r="J11" s="176">
        <v>5250</v>
      </c>
      <c r="K11" s="176">
        <v>1886.17</v>
      </c>
      <c r="L11" s="176">
        <v>5000</v>
      </c>
      <c r="M11" s="176">
        <v>1796.35</v>
      </c>
      <c r="N11" s="176">
        <v>250</v>
      </c>
      <c r="O11" s="176">
        <v>89.82</v>
      </c>
      <c r="P11" s="176" t="str">
        <v>PENDING</v>
      </c>
      <c r="Q11" s="176">
        <v>144</v>
      </c>
      <c r="R11" s="176">
        <v>46228.398125</v>
      </c>
      <c r="AK11" s="354" t="s">
        <v>650</v>
      </c>
      <c r="AL11" s="354">
        <v>2026</v>
      </c>
      <c r="AM11" s="354" t="str">
        <f t="shared" si="0"/>
        <v>August2026</v>
      </c>
    </row>
    <row r="12" spans="1:39" x14ac:dyDescent="0.3">
      <c r="A12" s="176">
        <v>33</v>
      </c>
      <c r="B12" s="176">
        <v>2206</v>
      </c>
      <c r="C12" s="176" t="str">
        <v>22-07-2026</v>
      </c>
      <c r="D12" s="176">
        <v>15547</v>
      </c>
      <c r="E12" s="176" t="str">
        <v>FAN</v>
      </c>
      <c r="F12" s="176" t="str">
        <v>Printing and Packaging</v>
      </c>
      <c r="G12" s="176">
        <v>3201010010</v>
      </c>
      <c r="H12" s="176" t="str">
        <v>Fan Canopy Sticker</v>
      </c>
      <c r="I12" s="176" t="str">
        <v>Pcs</v>
      </c>
      <c r="J12" s="176">
        <v>94500</v>
      </c>
      <c r="K12" s="176">
        <v>46440.61</v>
      </c>
      <c r="L12" s="176">
        <v>94500</v>
      </c>
      <c r="M12" s="176">
        <v>46440.61</v>
      </c>
      <c r="N12" s="176">
        <v>0</v>
      </c>
      <c r="O12" s="176">
        <v>0</v>
      </c>
      <c r="P12" s="176" t="str">
        <v>PENDING</v>
      </c>
      <c r="Q12" s="176">
        <v>144</v>
      </c>
      <c r="R12" s="176">
        <v>46228.398125</v>
      </c>
      <c r="AK12" s="354" t="s">
        <v>650</v>
      </c>
      <c r="AL12" s="354">
        <v>2026</v>
      </c>
      <c r="AM12" s="354" t="str">
        <f t="shared" si="0"/>
        <v>August2026</v>
      </c>
    </row>
    <row r="13" spans="1:39" x14ac:dyDescent="0.3">
      <c r="A13" s="176">
        <v>37</v>
      </c>
      <c r="B13" s="176">
        <v>2206</v>
      </c>
      <c r="C13" s="176" t="str">
        <v>22-07-2026</v>
      </c>
      <c r="D13" s="176">
        <v>15338</v>
      </c>
      <c r="E13" s="176" t="str">
        <v>FAN</v>
      </c>
      <c r="F13" s="176" t="str">
        <v>Printing and Packaging</v>
      </c>
      <c r="G13" s="176">
        <v>3201010013</v>
      </c>
      <c r="H13" s="176" t="str">
        <v>Fan Down Pipe Sticker</v>
      </c>
      <c r="I13" s="176" t="str">
        <v>Pcs</v>
      </c>
      <c r="J13" s="176">
        <v>36750</v>
      </c>
      <c r="K13" s="176">
        <v>13741.31</v>
      </c>
      <c r="L13" s="176">
        <v>17500</v>
      </c>
      <c r="M13" s="176">
        <v>6543.48</v>
      </c>
      <c r="N13" s="176">
        <v>19250</v>
      </c>
      <c r="O13" s="176">
        <v>7197.83</v>
      </c>
      <c r="P13" s="176" t="str">
        <v>PENDING</v>
      </c>
      <c r="Q13" s="176">
        <v>144</v>
      </c>
      <c r="R13" s="176">
        <v>46228.398125</v>
      </c>
      <c r="AK13" s="354" t="s">
        <v>650</v>
      </c>
      <c r="AL13" s="354">
        <v>2026</v>
      </c>
      <c r="AM13" s="354" t="str">
        <f t="shared" si="0"/>
        <v>August2026</v>
      </c>
    </row>
    <row r="14" spans="1:39" x14ac:dyDescent="0.3">
      <c r="A14" s="176">
        <v>42</v>
      </c>
      <c r="B14" s="176">
        <v>2206</v>
      </c>
      <c r="C14" s="176" t="str">
        <v>22-07-2026</v>
      </c>
      <c r="D14" s="176">
        <v>15354</v>
      </c>
      <c r="E14" s="176" t="str">
        <v>FAN</v>
      </c>
      <c r="F14" s="176" t="str">
        <v>Printing and Packaging</v>
      </c>
      <c r="G14" s="176">
        <v>3201010014</v>
      </c>
      <c r="H14" s="176" t="str">
        <v>Fan QC Sticker</v>
      </c>
      <c r="I14" s="176" t="str">
        <v>Pcs</v>
      </c>
      <c r="J14" s="176">
        <v>47250</v>
      </c>
      <c r="K14" s="176">
        <v>10661.17</v>
      </c>
      <c r="L14" s="176">
        <v>40000</v>
      </c>
      <c r="M14" s="176">
        <v>9025.33</v>
      </c>
      <c r="N14" s="176">
        <v>7250</v>
      </c>
      <c r="O14" s="176">
        <v>1635.84</v>
      </c>
      <c r="P14" s="176" t="str">
        <v>PENDING</v>
      </c>
      <c r="Q14" s="176">
        <v>144</v>
      </c>
      <c r="R14" s="176">
        <v>46228.398125</v>
      </c>
      <c r="AK14" s="354" t="s">
        <v>650</v>
      </c>
      <c r="AL14" s="354">
        <v>2026</v>
      </c>
      <c r="AM14" s="354" t="str">
        <f t="shared" si="0"/>
        <v>August2026</v>
      </c>
    </row>
    <row r="15" spans="1:39" x14ac:dyDescent="0.3">
      <c r="A15" s="176">
        <v>43</v>
      </c>
      <c r="B15" s="176">
        <v>2219</v>
      </c>
      <c r="C15" s="176" t="str">
        <v>26-07-2026</v>
      </c>
      <c r="D15" s="176">
        <v>15353</v>
      </c>
      <c r="E15" s="176" t="str">
        <v>FAN</v>
      </c>
      <c r="F15" s="176" t="str">
        <v>Printing and Packaging</v>
      </c>
      <c r="G15" s="176">
        <v>3201010014</v>
      </c>
      <c r="H15" s="176" t="str">
        <v>Fan QC Sticker</v>
      </c>
      <c r="I15" s="176" t="str">
        <v>Pcs</v>
      </c>
      <c r="J15" s="176">
        <v>20000</v>
      </c>
      <c r="K15" s="176">
        <v>4512.67</v>
      </c>
      <c r="L15" s="176">
        <v>20000</v>
      </c>
      <c r="M15" s="176">
        <v>4512.67</v>
      </c>
      <c r="N15" s="176">
        <v>0</v>
      </c>
      <c r="O15" s="176">
        <v>0</v>
      </c>
      <c r="P15" s="176" t="str">
        <v>PENDING</v>
      </c>
      <c r="Q15" s="176">
        <v>144</v>
      </c>
      <c r="R15" s="176">
        <v>46229.684525462966</v>
      </c>
      <c r="AK15" s="354" t="s">
        <v>650</v>
      </c>
      <c r="AL15" s="354">
        <v>2026</v>
      </c>
      <c r="AM15" s="354" t="str">
        <f t="shared" si="0"/>
        <v>August2026</v>
      </c>
    </row>
    <row r="16" spans="1:39" x14ac:dyDescent="0.3">
      <c r="A16" s="176">
        <v>47</v>
      </c>
      <c r="B16" s="176">
        <v>2206</v>
      </c>
      <c r="C16" s="176" t="str">
        <v>22-07-2026</v>
      </c>
      <c r="D16" s="176">
        <v>15409</v>
      </c>
      <c r="E16" s="176" t="str">
        <v>FAN</v>
      </c>
      <c r="F16" s="176" t="str">
        <v>Printing and Packaging</v>
      </c>
      <c r="G16" s="176">
        <v>3201010015</v>
      </c>
      <c r="H16" s="176" t="str">
        <v>Guarantee Card -5601</v>
      </c>
      <c r="I16" s="176" t="str">
        <v>Pcs</v>
      </c>
      <c r="J16" s="176">
        <v>31500</v>
      </c>
      <c r="K16" s="176">
        <v>46042.86</v>
      </c>
      <c r="L16" s="176">
        <v>31500</v>
      </c>
      <c r="M16" s="176">
        <v>46042.86</v>
      </c>
      <c r="N16" s="176">
        <v>0</v>
      </c>
      <c r="O16" s="176">
        <v>0</v>
      </c>
      <c r="P16" s="176" t="str">
        <v>PENDING</v>
      </c>
      <c r="Q16" s="176">
        <v>144</v>
      </c>
      <c r="R16" s="176">
        <v>46228.398125</v>
      </c>
      <c r="AK16" s="354" t="s">
        <v>650</v>
      </c>
      <c r="AL16" s="354">
        <v>2026</v>
      </c>
      <c r="AM16" s="354" t="str">
        <f t="shared" si="0"/>
        <v>August2026</v>
      </c>
    </row>
    <row r="17" spans="1:39" x14ac:dyDescent="0.3">
      <c r="A17" s="176">
        <v>49</v>
      </c>
      <c r="B17" s="176">
        <v>2206</v>
      </c>
      <c r="C17" s="176" t="str">
        <v>22-07-2026</v>
      </c>
      <c r="D17" s="176">
        <v>15426</v>
      </c>
      <c r="E17" s="176" t="str">
        <v>FAN</v>
      </c>
      <c r="F17" s="176" t="str">
        <v>Printing and Packaging</v>
      </c>
      <c r="G17" s="176">
        <v>3201010016</v>
      </c>
      <c r="H17" s="176" t="str">
        <v>Guarantee Card -4801</v>
      </c>
      <c r="I17" s="176" t="str">
        <v>Pcs</v>
      </c>
      <c r="J17" s="176">
        <v>5250</v>
      </c>
      <c r="K17" s="176">
        <v>8986.68</v>
      </c>
      <c r="L17" s="176">
        <v>5000</v>
      </c>
      <c r="M17" s="176">
        <v>8558.74</v>
      </c>
      <c r="N17" s="176">
        <v>250</v>
      </c>
      <c r="O17" s="176">
        <v>427.94</v>
      </c>
      <c r="P17" s="176" t="str">
        <v>PENDING</v>
      </c>
      <c r="Q17" s="176">
        <v>144</v>
      </c>
      <c r="R17" s="176">
        <v>46228.398125</v>
      </c>
      <c r="AK17" s="354" t="s">
        <v>650</v>
      </c>
      <c r="AL17" s="354">
        <v>2026</v>
      </c>
      <c r="AM17" s="354" t="str">
        <f t="shared" si="0"/>
        <v>August2026</v>
      </c>
    </row>
    <row r="18" spans="1:39" x14ac:dyDescent="0.3">
      <c r="A18" s="176">
        <v>52</v>
      </c>
      <c r="B18" s="176">
        <v>2206</v>
      </c>
      <c r="C18" s="176" t="str">
        <v>22-07-2026</v>
      </c>
      <c r="D18" s="176">
        <v>15703</v>
      </c>
      <c r="E18" s="176" t="str">
        <v>FAN</v>
      </c>
      <c r="F18" s="176" t="str">
        <v>Printing and Packaging</v>
      </c>
      <c r="G18" s="176">
        <v>3201010018</v>
      </c>
      <c r="H18" s="176" t="str">
        <v>Guarantee Card -2401,3601</v>
      </c>
      <c r="I18" s="176" t="str">
        <v>Pcs</v>
      </c>
      <c r="J18" s="176">
        <v>10500</v>
      </c>
      <c r="K18" s="176">
        <v>12811.67</v>
      </c>
      <c r="L18" s="176">
        <v>10000</v>
      </c>
      <c r="M18" s="176">
        <v>12201.59</v>
      </c>
      <c r="N18" s="176">
        <v>500</v>
      </c>
      <c r="O18" s="176">
        <v>610.08000000000004</v>
      </c>
      <c r="P18" s="176" t="str">
        <v>PENDING</v>
      </c>
      <c r="Q18" s="176">
        <v>144</v>
      </c>
      <c r="R18" s="176">
        <v>46228.398125</v>
      </c>
      <c r="AK18" s="354" t="s">
        <v>650</v>
      </c>
      <c r="AL18" s="354">
        <v>2026</v>
      </c>
      <c r="AM18" s="354" t="str">
        <f t="shared" si="0"/>
        <v>August2026</v>
      </c>
    </row>
    <row r="19" spans="1:39" x14ac:dyDescent="0.3">
      <c r="A19" s="176">
        <v>55</v>
      </c>
      <c r="B19" s="176">
        <v>2206</v>
      </c>
      <c r="C19" s="176" t="str">
        <v>22-07-2026</v>
      </c>
      <c r="D19" s="176">
        <v>1.5776153591540501E+144</v>
      </c>
      <c r="E19" s="176" t="str">
        <v>FAN</v>
      </c>
      <c r="F19" s="176" t="str">
        <v>Printing and Packaging</v>
      </c>
      <c r="G19" s="176">
        <v>3201010019</v>
      </c>
      <c r="H19" s="176" t="str">
        <v>Cork Sheet -5601````/4801````</v>
      </c>
      <c r="I19" s="176" t="str">
        <v>Pcs</v>
      </c>
      <c r="J19" s="176">
        <v>36750</v>
      </c>
      <c r="K19" s="176">
        <v>706239.1</v>
      </c>
      <c r="L19" s="176">
        <v>24250</v>
      </c>
      <c r="M19" s="176">
        <v>466021.72</v>
      </c>
      <c r="N19" s="176">
        <v>12500</v>
      </c>
      <c r="O19" s="176">
        <v>240217.38</v>
      </c>
      <c r="P19" s="176" t="str">
        <v>PENDING</v>
      </c>
      <c r="Q19" s="176">
        <v>144</v>
      </c>
      <c r="R19" s="176">
        <v>46228.398125</v>
      </c>
      <c r="AK19" s="354" t="s">
        <v>650</v>
      </c>
      <c r="AL19" s="354">
        <v>2026</v>
      </c>
      <c r="AM19" s="354" t="str">
        <f t="shared" si="0"/>
        <v>August2026</v>
      </c>
    </row>
    <row r="20" spans="1:39" x14ac:dyDescent="0.3">
      <c r="A20" s="176">
        <v>59</v>
      </c>
      <c r="B20" s="176">
        <v>2206</v>
      </c>
      <c r="C20" s="176" t="str">
        <v>22-07-2026</v>
      </c>
      <c r="D20" s="176">
        <v>1.5807159061578299E+44</v>
      </c>
      <c r="E20" s="176" t="str">
        <v>FAN</v>
      </c>
      <c r="F20" s="176" t="str">
        <v>Printing and Packaging</v>
      </c>
      <c r="G20" s="176">
        <v>3201010021</v>
      </c>
      <c r="H20" s="176" t="str">
        <v>Cork Sheet -2401/3601</v>
      </c>
      <c r="I20" s="176" t="str">
        <v>Pcs</v>
      </c>
      <c r="J20" s="176">
        <v>10500</v>
      </c>
      <c r="K20" s="176">
        <v>233725.26</v>
      </c>
      <c r="L20" s="176">
        <v>7800</v>
      </c>
      <c r="M20" s="176">
        <v>173624.48</v>
      </c>
      <c r="N20" s="176">
        <v>2700</v>
      </c>
      <c r="O20" s="176">
        <v>60100.78</v>
      </c>
      <c r="P20" s="176" t="str">
        <v>PENDING</v>
      </c>
      <c r="Q20" s="176">
        <v>144</v>
      </c>
      <c r="R20" s="176">
        <v>46228.398125</v>
      </c>
      <c r="AK20" s="354" t="s">
        <v>650</v>
      </c>
      <c r="AL20" s="354">
        <v>2026</v>
      </c>
      <c r="AM20" s="354" t="str">
        <f t="shared" si="0"/>
        <v>August2026</v>
      </c>
    </row>
    <row r="21" spans="1:39" x14ac:dyDescent="0.3">
      <c r="A21" s="176">
        <v>62</v>
      </c>
      <c r="B21" s="176">
        <v>2206</v>
      </c>
      <c r="C21" s="176" t="str">
        <v>22-07-2026</v>
      </c>
      <c r="D21" s="176">
        <v>1.5519156471533299E+174</v>
      </c>
      <c r="E21" s="176" t="str">
        <v>FAN</v>
      </c>
      <c r="F21" s="176" t="str">
        <v>Printing and Packaging</v>
      </c>
      <c r="G21" s="176">
        <v>3201010022</v>
      </c>
      <c r="H21" s="176" t="str">
        <v>Body Carton -Premium (5601)-263x264x213mm</v>
      </c>
      <c r="I21" s="176" t="str">
        <v>Pcs</v>
      </c>
      <c r="J21" s="176">
        <v>31500</v>
      </c>
      <c r="K21" s="176">
        <v>1358736.77</v>
      </c>
      <c r="L21" s="176">
        <v>23775</v>
      </c>
      <c r="M21" s="176">
        <v>1025522.75</v>
      </c>
      <c r="N21" s="176">
        <v>7725</v>
      </c>
      <c r="O21" s="176">
        <v>333214.02</v>
      </c>
      <c r="P21" s="176" t="str">
        <v>PENDING</v>
      </c>
      <c r="Q21" s="176">
        <v>144</v>
      </c>
      <c r="R21" s="176">
        <v>46228.398125</v>
      </c>
      <c r="AK21" s="354" t="s">
        <v>650</v>
      </c>
      <c r="AL21" s="354">
        <v>2026</v>
      </c>
      <c r="AM21" s="354" t="str">
        <f t="shared" si="0"/>
        <v>August2026</v>
      </c>
    </row>
    <row r="22" spans="1:39" x14ac:dyDescent="0.3">
      <c r="A22" s="176">
        <v>68</v>
      </c>
      <c r="B22" s="176">
        <v>2206</v>
      </c>
      <c r="C22" s="176" t="str">
        <v>22-07-2026</v>
      </c>
      <c r="D22" s="176">
        <v>15906</v>
      </c>
      <c r="E22" s="176" t="str">
        <v>FAN</v>
      </c>
      <c r="F22" s="176" t="str">
        <v>Printing and Packaging</v>
      </c>
      <c r="G22" s="176">
        <v>3201010027</v>
      </c>
      <c r="H22" s="176" t="str">
        <v>Body Carton -Popular (4801)-264x262x200mm</v>
      </c>
      <c r="I22" s="176" t="str">
        <v>Pcs</v>
      </c>
      <c r="J22" s="176">
        <v>5250</v>
      </c>
      <c r="K22" s="176">
        <v>219364.04</v>
      </c>
      <c r="L22" s="176">
        <v>375</v>
      </c>
      <c r="M22" s="176">
        <v>15668.86</v>
      </c>
      <c r="N22" s="176">
        <v>4875</v>
      </c>
      <c r="O22" s="176">
        <v>203695.18</v>
      </c>
      <c r="P22" s="176" t="str">
        <v>PENDING</v>
      </c>
      <c r="Q22" s="176">
        <v>144</v>
      </c>
      <c r="R22" s="176">
        <v>46228.398125</v>
      </c>
      <c r="AK22" s="354" t="s">
        <v>650</v>
      </c>
      <c r="AL22" s="354">
        <v>2026</v>
      </c>
      <c r="AM22" s="354" t="str">
        <f t="shared" si="0"/>
        <v>August2026</v>
      </c>
    </row>
    <row r="23" spans="1:39" x14ac:dyDescent="0.3">
      <c r="A23" s="176">
        <v>69</v>
      </c>
      <c r="B23" s="176">
        <v>2206</v>
      </c>
      <c r="C23" s="176" t="str">
        <v>22-07-2026</v>
      </c>
      <c r="D23" s="176">
        <v>1.5432157251557199E+49</v>
      </c>
      <c r="E23" s="176" t="str">
        <v>FAN</v>
      </c>
      <c r="F23" s="176" t="str">
        <v>Printing and Packaging</v>
      </c>
      <c r="G23" s="176">
        <v>3201010028</v>
      </c>
      <c r="H23" s="176" t="str">
        <v>Body Carton -Hero (3601)-195x195x230mm</v>
      </c>
      <c r="I23" s="176" t="str">
        <v>Pcs</v>
      </c>
      <c r="J23" s="176">
        <v>5250</v>
      </c>
      <c r="K23" s="176">
        <v>187671.23</v>
      </c>
      <c r="L23" s="176">
        <v>5195</v>
      </c>
      <c r="M23" s="176">
        <v>185705.15</v>
      </c>
      <c r="N23" s="176">
        <v>55</v>
      </c>
      <c r="O23" s="176">
        <v>1966.08</v>
      </c>
      <c r="P23" s="176" t="str">
        <v>PENDING</v>
      </c>
      <c r="Q23" s="176">
        <v>144</v>
      </c>
      <c r="R23" s="176">
        <v>46228.398125</v>
      </c>
      <c r="AK23" s="354" t="s">
        <v>650</v>
      </c>
      <c r="AL23" s="354">
        <v>2026</v>
      </c>
      <c r="AM23" s="354" t="str">
        <f t="shared" si="0"/>
        <v>August2026</v>
      </c>
    </row>
    <row r="24" spans="1:39" x14ac:dyDescent="0.3">
      <c r="A24" s="176">
        <v>72</v>
      </c>
      <c r="B24" s="176">
        <v>2206</v>
      </c>
      <c r="C24" s="176" t="str">
        <v>22-07-2026</v>
      </c>
      <c r="D24" s="176">
        <v>1.5867158581590401E+39</v>
      </c>
      <c r="E24" s="176" t="str">
        <v>FAN</v>
      </c>
      <c r="F24" s="176" t="str">
        <v>Printing and Packaging</v>
      </c>
      <c r="G24" s="176">
        <v>3201010029</v>
      </c>
      <c r="H24" s="176" t="str">
        <v>Body Carton -Super (2401)-185x185x267mm</v>
      </c>
      <c r="I24" s="176" t="str">
        <v>Pcs</v>
      </c>
      <c r="J24" s="176">
        <v>5250</v>
      </c>
      <c r="K24" s="176">
        <v>199376.48</v>
      </c>
      <c r="L24" s="176">
        <v>4875</v>
      </c>
      <c r="M24" s="176">
        <v>185135.31</v>
      </c>
      <c r="N24" s="176">
        <v>375</v>
      </c>
      <c r="O24" s="176">
        <v>14241.18</v>
      </c>
      <c r="P24" s="176" t="str">
        <v>PENDING</v>
      </c>
      <c r="Q24" s="176">
        <v>144</v>
      </c>
      <c r="R24" s="176">
        <v>46228.398125</v>
      </c>
      <c r="AK24" s="354" t="s">
        <v>650</v>
      </c>
      <c r="AL24" s="354">
        <v>2026</v>
      </c>
      <c r="AM24" s="354" t="str">
        <f t="shared" si="0"/>
        <v>August2026</v>
      </c>
    </row>
    <row r="25" spans="1:39" x14ac:dyDescent="0.3">
      <c r="A25" s="176">
        <v>74</v>
      </c>
      <c r="B25" s="176">
        <v>2206</v>
      </c>
      <c r="C25" s="176" t="str">
        <v>22-07-2026</v>
      </c>
      <c r="D25" s="176">
        <v>1.53841547915354E+134</v>
      </c>
      <c r="E25" s="176" t="str">
        <v>FAN</v>
      </c>
      <c r="F25" s="176" t="str">
        <v>Printing and Packaging</v>
      </c>
      <c r="G25" s="176">
        <v>3201010030</v>
      </c>
      <c r="H25" s="176" t="str">
        <v>Blade Carton-Premium (5601)-622x153x34mm</v>
      </c>
      <c r="I25" s="176" t="str">
        <v>Pcs</v>
      </c>
      <c r="J25" s="176">
        <v>31500</v>
      </c>
      <c r="K25" s="176">
        <v>684995.53</v>
      </c>
      <c r="L25" s="176">
        <v>23723</v>
      </c>
      <c r="M25" s="176">
        <v>515877.75</v>
      </c>
      <c r="N25" s="176">
        <v>7777</v>
      </c>
      <c r="O25" s="176">
        <v>169117.79</v>
      </c>
      <c r="P25" s="176" t="str">
        <v>PENDING</v>
      </c>
      <c r="Q25" s="176">
        <v>144</v>
      </c>
      <c r="R25" s="176">
        <v>46228.398125</v>
      </c>
      <c r="AK25" s="354" t="s">
        <v>650</v>
      </c>
      <c r="AL25" s="354">
        <v>2026</v>
      </c>
      <c r="AM25" s="354" t="str">
        <f t="shared" si="0"/>
        <v>August2026</v>
      </c>
    </row>
    <row r="26" spans="1:39" x14ac:dyDescent="0.3">
      <c r="A26" s="176">
        <v>80</v>
      </c>
      <c r="B26" s="176">
        <v>2206</v>
      </c>
      <c r="C26" s="176" t="str">
        <v>22-07-2026</v>
      </c>
      <c r="D26" s="176">
        <v>0</v>
      </c>
      <c r="E26" s="176" t="str">
        <v>FAN</v>
      </c>
      <c r="F26" s="176" t="str">
        <v>Printing and Packaging</v>
      </c>
      <c r="G26" s="176">
        <v>3201010035</v>
      </c>
      <c r="H26" s="176" t="str">
        <v>Blade Carton -Popular (4801)-528x144x32mm</v>
      </c>
      <c r="I26" s="176" t="str">
        <v>Pcs</v>
      </c>
      <c r="J26" s="176">
        <v>5250</v>
      </c>
      <c r="K26" s="176">
        <v>94667.97</v>
      </c>
      <c r="L26" s="176">
        <v>0</v>
      </c>
      <c r="M26" s="176">
        <v>0</v>
      </c>
      <c r="N26" s="176">
        <v>5250</v>
      </c>
      <c r="O26" s="176">
        <v>94667.97</v>
      </c>
      <c r="P26" s="176" t="str">
        <v>PENDING</v>
      </c>
      <c r="Q26" s="176">
        <v>144</v>
      </c>
      <c r="R26" s="176">
        <v>46228.398125</v>
      </c>
      <c r="AK26" s="354" t="s">
        <v>650</v>
      </c>
      <c r="AL26" s="354">
        <v>2026</v>
      </c>
      <c r="AM26" s="354" t="str">
        <f t="shared" si="0"/>
        <v>August2026</v>
      </c>
    </row>
    <row r="27" spans="1:39" x14ac:dyDescent="0.3">
      <c r="A27" s="176">
        <v>81</v>
      </c>
      <c r="B27" s="176">
        <v>2206</v>
      </c>
      <c r="C27" s="176" t="str">
        <v>22-07-2026</v>
      </c>
      <c r="D27" s="176">
        <v>1.5867158581535399E+34</v>
      </c>
      <c r="E27" s="176" t="str">
        <v>FAN</v>
      </c>
      <c r="F27" s="176" t="str">
        <v>Printing and Packaging</v>
      </c>
      <c r="G27" s="176">
        <v>3201010036</v>
      </c>
      <c r="H27" s="176" t="str">
        <v>Blade Carton -Hero (3601)-400x120x29mm</v>
      </c>
      <c r="I27" s="176" t="str">
        <v>Pcs</v>
      </c>
      <c r="J27" s="176">
        <v>5250</v>
      </c>
      <c r="K27" s="176">
        <v>67565.22</v>
      </c>
      <c r="L27" s="176">
        <v>5250</v>
      </c>
      <c r="M27" s="176">
        <v>67565.22</v>
      </c>
      <c r="N27" s="176">
        <v>0</v>
      </c>
      <c r="O27" s="176">
        <v>0</v>
      </c>
      <c r="P27" s="176" t="str">
        <v>PENDING</v>
      </c>
      <c r="Q27" s="176">
        <v>144</v>
      </c>
      <c r="R27" s="176">
        <v>46228.398125</v>
      </c>
      <c r="AK27" s="354" t="s">
        <v>650</v>
      </c>
      <c r="AL27" s="354">
        <v>2026</v>
      </c>
      <c r="AM27" s="354" t="str">
        <f t="shared" si="0"/>
        <v>August2026</v>
      </c>
    </row>
    <row r="28" spans="1:39" x14ac:dyDescent="0.3">
      <c r="A28" s="176">
        <v>84</v>
      </c>
      <c r="B28" s="176">
        <v>2206</v>
      </c>
      <c r="C28" s="176" t="str">
        <v>22-07-2026</v>
      </c>
      <c r="D28" s="176">
        <v>1584615819</v>
      </c>
      <c r="E28" s="176" t="str">
        <v>FAN</v>
      </c>
      <c r="F28" s="176" t="str">
        <v>Printing and Packaging</v>
      </c>
      <c r="G28" s="176">
        <v>3201010037</v>
      </c>
      <c r="H28" s="176" t="str">
        <v>HDPE Poly (L=15``, W=15``, T=0.035mm)</v>
      </c>
      <c r="I28" s="176" t="str">
        <v>KG</v>
      </c>
      <c r="J28" s="176">
        <v>375</v>
      </c>
      <c r="K28" s="176">
        <v>104684.93</v>
      </c>
      <c r="L28" s="176">
        <v>375</v>
      </c>
      <c r="M28" s="176">
        <v>104684.93</v>
      </c>
      <c r="N28" s="176">
        <v>0</v>
      </c>
      <c r="O28" s="176">
        <v>0</v>
      </c>
      <c r="P28" s="176" t="str">
        <v>PENDING</v>
      </c>
      <c r="Q28" s="176">
        <v>144</v>
      </c>
      <c r="R28" s="176">
        <v>46228.398125</v>
      </c>
      <c r="AK28" s="354" t="s">
        <v>650</v>
      </c>
      <c r="AL28" s="354">
        <v>2026</v>
      </c>
      <c r="AM28" s="354" t="str">
        <f t="shared" si="0"/>
        <v>August2026</v>
      </c>
    </row>
    <row r="29" spans="1:39" x14ac:dyDescent="0.3">
      <c r="A29" s="176">
        <v>87</v>
      </c>
      <c r="B29" s="176">
        <v>2206</v>
      </c>
      <c r="C29" s="176" t="str">
        <v>22-07-2026</v>
      </c>
      <c r="D29" s="176">
        <v>0</v>
      </c>
      <c r="E29" s="176" t="str">
        <v>FAN</v>
      </c>
      <c r="F29" s="176" t="str">
        <v>Printing and Packaging</v>
      </c>
      <c r="G29" s="176">
        <v>3201010038</v>
      </c>
      <c r="H29" s="176" t="str">
        <v>HDPE Poly (L=14``, W=12``,T=0.035mm)</v>
      </c>
      <c r="I29" s="176" t="str">
        <v>KG</v>
      </c>
      <c r="J29" s="176">
        <v>105</v>
      </c>
      <c r="K29" s="176">
        <v>30314.5</v>
      </c>
      <c r="L29" s="176">
        <v>0</v>
      </c>
      <c r="M29" s="176">
        <v>0</v>
      </c>
      <c r="N29" s="176">
        <v>105</v>
      </c>
      <c r="O29" s="176">
        <v>30314.5</v>
      </c>
      <c r="P29" s="176" t="str">
        <v>PENDING</v>
      </c>
      <c r="Q29" s="176">
        <v>144</v>
      </c>
      <c r="R29" s="176">
        <v>46228.398125</v>
      </c>
      <c r="AK29" s="354" t="s">
        <v>650</v>
      </c>
      <c r="AL29" s="354">
        <v>2026</v>
      </c>
      <c r="AM29" s="354" t="str">
        <f t="shared" si="0"/>
        <v>August2026</v>
      </c>
    </row>
    <row r="30" spans="1:39" x14ac:dyDescent="0.3">
      <c r="A30" s="176">
        <v>90</v>
      </c>
      <c r="B30" s="176">
        <v>2206</v>
      </c>
      <c r="C30" s="176" t="str">
        <v>22-07-2026</v>
      </c>
      <c r="D30" s="176">
        <v>158191572615867</v>
      </c>
      <c r="E30" s="176" t="str">
        <v>FAN</v>
      </c>
      <c r="F30" s="176" t="str">
        <v>Printing and Packaging</v>
      </c>
      <c r="G30" s="176">
        <v>3201010039</v>
      </c>
      <c r="H30" s="176" t="str">
        <v>HDPE Poly (L=27``, W=8``, T=0.035mm)</v>
      </c>
      <c r="I30" s="176" t="str">
        <v>KG</v>
      </c>
      <c r="J30" s="176">
        <v>325</v>
      </c>
      <c r="K30" s="176">
        <v>96366.68</v>
      </c>
      <c r="L30" s="176">
        <v>126</v>
      </c>
      <c r="M30" s="176">
        <v>37360.620000000003</v>
      </c>
      <c r="N30" s="176">
        <v>199</v>
      </c>
      <c r="O30" s="176">
        <v>59006.06</v>
      </c>
      <c r="P30" s="176" t="str">
        <v>PENDING</v>
      </c>
      <c r="Q30" s="176">
        <v>144</v>
      </c>
      <c r="R30" s="176">
        <v>46228.398125</v>
      </c>
      <c r="AK30" s="354" t="s">
        <v>650</v>
      </c>
      <c r="AL30" s="354">
        <v>2026</v>
      </c>
      <c r="AM30" s="354" t="str">
        <f t="shared" si="0"/>
        <v>August2026</v>
      </c>
    </row>
    <row r="31" spans="1:39" x14ac:dyDescent="0.3">
      <c r="A31" s="176">
        <v>93</v>
      </c>
      <c r="B31" s="176">
        <v>2206</v>
      </c>
      <c r="C31" s="176" t="str">
        <v>22-07-2026</v>
      </c>
      <c r="D31" s="176">
        <v>0</v>
      </c>
      <c r="E31" s="176" t="str">
        <v>FAN</v>
      </c>
      <c r="F31" s="176" t="str">
        <v>Printing and Packaging</v>
      </c>
      <c r="G31" s="176">
        <v>3201010040</v>
      </c>
      <c r="H31" s="176" t="str">
        <v>HDPE Poly (L=18``, W=7``, T=0.035mm)</v>
      </c>
      <c r="I31" s="176" t="str">
        <v>KG</v>
      </c>
      <c r="J31" s="176">
        <v>84</v>
      </c>
      <c r="K31" s="176">
        <v>24427.93</v>
      </c>
      <c r="L31" s="176">
        <v>0</v>
      </c>
      <c r="M31" s="176">
        <v>0</v>
      </c>
      <c r="N31" s="176">
        <v>84</v>
      </c>
      <c r="O31" s="176">
        <v>24427.93</v>
      </c>
      <c r="P31" s="176" t="str">
        <v>PENDING</v>
      </c>
      <c r="Q31" s="176">
        <v>144</v>
      </c>
      <c r="R31" s="176">
        <v>46228.398125</v>
      </c>
      <c r="AK31" s="354" t="s">
        <v>650</v>
      </c>
      <c r="AL31" s="354">
        <v>2026</v>
      </c>
      <c r="AM31" s="354" t="str">
        <f t="shared" si="0"/>
        <v>August2026</v>
      </c>
    </row>
    <row r="32" spans="1:39" x14ac:dyDescent="0.3">
      <c r="A32" s="176">
        <v>96</v>
      </c>
      <c r="B32" s="176">
        <v>2206</v>
      </c>
      <c r="C32" s="176" t="str">
        <v>22-07-2026</v>
      </c>
      <c r="D32" s="176">
        <v>1581615726</v>
      </c>
      <c r="E32" s="176" t="str">
        <v>FAN</v>
      </c>
      <c r="F32" s="176" t="str">
        <v>Printing and Packaging</v>
      </c>
      <c r="G32" s="176">
        <v>3201010041</v>
      </c>
      <c r="H32" s="176" t="str">
        <v>HDPE Poly (L=9``, W=9``, T=0.025mm)</v>
      </c>
      <c r="I32" s="176" t="str">
        <v>KG</v>
      </c>
      <c r="J32" s="176">
        <v>150</v>
      </c>
      <c r="K32" s="176">
        <v>44207.13</v>
      </c>
      <c r="L32" s="176">
        <v>50</v>
      </c>
      <c r="M32" s="176">
        <v>14735.71</v>
      </c>
      <c r="N32" s="176">
        <v>100</v>
      </c>
      <c r="O32" s="176">
        <v>29471.42</v>
      </c>
      <c r="P32" s="176" t="str">
        <v>PENDING</v>
      </c>
      <c r="Q32" s="176">
        <v>144</v>
      </c>
      <c r="R32" s="176">
        <v>46228.398125</v>
      </c>
      <c r="AK32" s="354" t="s">
        <v>650</v>
      </c>
      <c r="AL32" s="354">
        <v>2026</v>
      </c>
      <c r="AM32" s="354" t="str">
        <f t="shared" si="0"/>
        <v>August2026</v>
      </c>
    </row>
    <row r="33" spans="1:39" x14ac:dyDescent="0.3">
      <c r="A33" s="176">
        <v>99</v>
      </c>
      <c r="B33" s="176">
        <v>2206</v>
      </c>
      <c r="C33" s="176" t="str">
        <v>22-07-2026</v>
      </c>
      <c r="D33" s="176">
        <v>15816</v>
      </c>
      <c r="E33" s="176" t="str">
        <v>FAN</v>
      </c>
      <c r="F33" s="176" t="str">
        <v>Printing and Packaging</v>
      </c>
      <c r="G33" s="176">
        <v>3201010042</v>
      </c>
      <c r="H33" s="176" t="str">
        <v>HDPE Poly (L=13``, W=4``, T=0.035mm)</v>
      </c>
      <c r="I33" s="176" t="str">
        <v>KG</v>
      </c>
      <c r="J33" s="176">
        <v>150</v>
      </c>
      <c r="K33" s="176">
        <v>44461.37</v>
      </c>
      <c r="L33" s="176">
        <v>60</v>
      </c>
      <c r="M33" s="176">
        <v>17784.55</v>
      </c>
      <c r="N33" s="176">
        <v>90</v>
      </c>
      <c r="O33" s="176">
        <v>26676.82</v>
      </c>
      <c r="P33" s="176" t="str">
        <v>PENDING</v>
      </c>
      <c r="Q33" s="176">
        <v>144</v>
      </c>
      <c r="R33" s="176">
        <v>46228.398125</v>
      </c>
      <c r="AK33" s="354" t="s">
        <v>650</v>
      </c>
      <c r="AL33" s="354">
        <v>2026</v>
      </c>
      <c r="AM33" s="354" t="str">
        <f t="shared" si="0"/>
        <v>August2026</v>
      </c>
    </row>
    <row r="34" spans="1:39" x14ac:dyDescent="0.3">
      <c r="A34" s="176">
        <v>102</v>
      </c>
      <c r="B34" s="176">
        <v>2206</v>
      </c>
      <c r="C34" s="176" t="str">
        <v>22-07-2026</v>
      </c>
      <c r="D34" s="176">
        <v>0</v>
      </c>
      <c r="E34" s="176" t="str">
        <v>FAN</v>
      </c>
      <c r="F34" s="176" t="str">
        <v>Printing and Packaging</v>
      </c>
      <c r="G34" s="176">
        <v>3201010043</v>
      </c>
      <c r="H34" s="176" t="str">
        <v>PP Poly (L=5``, W=5``, T=0.045mm) With Logo Print</v>
      </c>
      <c r="I34" s="176" t="str">
        <v>KG</v>
      </c>
      <c r="J34" s="176">
        <v>50</v>
      </c>
      <c r="K34" s="176">
        <v>16018.69</v>
      </c>
      <c r="L34" s="176">
        <v>0</v>
      </c>
      <c r="M34" s="176">
        <v>0</v>
      </c>
      <c r="N34" s="176">
        <v>50</v>
      </c>
      <c r="O34" s="176">
        <v>16018.69</v>
      </c>
      <c r="P34" s="176" t="str">
        <v>PENDING</v>
      </c>
      <c r="Q34" s="176">
        <v>144</v>
      </c>
      <c r="R34" s="176">
        <v>46228.398125</v>
      </c>
      <c r="AK34" s="354" t="s">
        <v>650</v>
      </c>
      <c r="AL34" s="354">
        <v>2026</v>
      </c>
      <c r="AM34" s="354" t="str">
        <f t="shared" si="0"/>
        <v>August2026</v>
      </c>
    </row>
    <row r="35" spans="1:39" x14ac:dyDescent="0.3">
      <c r="A35" s="176">
        <v>105</v>
      </c>
      <c r="B35" s="176">
        <v>2174</v>
      </c>
      <c r="C35" s="176">
        <v>46241</v>
      </c>
      <c r="D35" s="176">
        <v>0</v>
      </c>
      <c r="E35" s="176" t="str">
        <v>FAN</v>
      </c>
      <c r="F35" s="176" t="str">
        <v>Printing and Packaging</v>
      </c>
      <c r="G35" s="176">
        <v>3201010051</v>
      </c>
      <c r="H35" s="176" t="str">
        <v>Body Sticker - 5603</v>
      </c>
      <c r="I35" s="176" t="str">
        <v>Pcs</v>
      </c>
      <c r="J35" s="176">
        <v>2000</v>
      </c>
      <c r="K35" s="176">
        <v>636.02</v>
      </c>
      <c r="L35" s="176">
        <v>0</v>
      </c>
      <c r="M35" s="176">
        <v>0</v>
      </c>
      <c r="N35" s="176">
        <v>2000</v>
      </c>
      <c r="O35" s="176">
        <v>636.02</v>
      </c>
      <c r="P35" s="176" t="str">
        <v>CHECKED</v>
      </c>
      <c r="Q35" s="176">
        <v>144</v>
      </c>
      <c r="R35" s="176">
        <v>46211.671712962961</v>
      </c>
      <c r="AK35" s="354" t="s">
        <v>650</v>
      </c>
      <c r="AL35" s="354">
        <v>2026</v>
      </c>
      <c r="AM35" s="354" t="str">
        <f t="shared" si="0"/>
        <v>August2026</v>
      </c>
    </row>
    <row r="36" spans="1:39" x14ac:dyDescent="0.3">
      <c r="A36" s="176">
        <v>117</v>
      </c>
      <c r="B36" s="176">
        <v>2174</v>
      </c>
      <c r="C36" s="176">
        <v>46241</v>
      </c>
      <c r="D36" s="176">
        <v>14786</v>
      </c>
      <c r="E36" s="176" t="str">
        <v>FAN</v>
      </c>
      <c r="F36" s="176" t="str">
        <v>Printing and Packaging</v>
      </c>
      <c r="G36" s="176">
        <v>3201010064</v>
      </c>
      <c r="H36" s="176" t="str">
        <v>Guarantee Card -5603</v>
      </c>
      <c r="I36" s="176" t="str">
        <v>Pcs</v>
      </c>
      <c r="J36" s="176">
        <v>3000</v>
      </c>
      <c r="K36" s="176">
        <v>9026.09</v>
      </c>
      <c r="L36" s="176">
        <v>3000</v>
      </c>
      <c r="M36" s="176">
        <v>9026.09</v>
      </c>
      <c r="N36" s="176">
        <v>0</v>
      </c>
      <c r="O36" s="176">
        <v>0</v>
      </c>
      <c r="P36" s="176" t="str">
        <v>CHECKED</v>
      </c>
      <c r="Q36" s="176">
        <v>144</v>
      </c>
      <c r="R36" s="176">
        <v>46211.671712962961</v>
      </c>
      <c r="AK36" s="354" t="s">
        <v>650</v>
      </c>
      <c r="AL36" s="354">
        <v>2026</v>
      </c>
      <c r="AM36" s="354" t="str">
        <f t="shared" si="0"/>
        <v>August2026</v>
      </c>
    </row>
    <row r="37" spans="1:39" x14ac:dyDescent="0.3">
      <c r="A37" s="176">
        <v>128</v>
      </c>
      <c r="B37" s="176">
        <v>2219</v>
      </c>
      <c r="C37" s="176" t="str">
        <v>26-07-2026</v>
      </c>
      <c r="D37" s="176">
        <v>1.53581534915414E+19</v>
      </c>
      <c r="E37" s="176" t="str">
        <v>FAN</v>
      </c>
      <c r="F37" s="176" t="str">
        <v>Printing and Packaging</v>
      </c>
      <c r="G37" s="176">
        <v>3201010073</v>
      </c>
      <c r="H37" s="176" t="str">
        <v>Capacitor Master Carton-Fan</v>
      </c>
      <c r="I37" s="176" t="str">
        <v>Pcs</v>
      </c>
      <c r="J37" s="176">
        <v>3400</v>
      </c>
      <c r="K37" s="176">
        <v>59751.3</v>
      </c>
      <c r="L37" s="176">
        <v>3400</v>
      </c>
      <c r="M37" s="176">
        <v>59751.3</v>
      </c>
      <c r="N37" s="176">
        <v>0</v>
      </c>
      <c r="O37" s="176">
        <v>0</v>
      </c>
      <c r="P37" s="176" t="str">
        <v>PENDING</v>
      </c>
      <c r="Q37" s="176">
        <v>144</v>
      </c>
      <c r="R37" s="176">
        <v>46229.684525462966</v>
      </c>
      <c r="AK37" s="354" t="s">
        <v>650</v>
      </c>
      <c r="AL37" s="354">
        <v>2026</v>
      </c>
      <c r="AM37" s="354" t="str">
        <f t="shared" ref="AM37:AM68" si="1">AK37&amp;AL37</f>
        <v>August2026</v>
      </c>
    </row>
    <row r="38" spans="1:39" x14ac:dyDescent="0.3">
      <c r="A38" s="176">
        <v>131</v>
      </c>
      <c r="B38" s="176">
        <v>2219</v>
      </c>
      <c r="C38" s="176" t="str">
        <v>26-07-2026</v>
      </c>
      <c r="D38" s="176">
        <v>15361</v>
      </c>
      <c r="E38" s="176" t="str">
        <v>FAN</v>
      </c>
      <c r="F38" s="176" t="str">
        <v>Printing and Packaging</v>
      </c>
      <c r="G38" s="176">
        <v>3201010074</v>
      </c>
      <c r="H38" s="176" t="str">
        <v>Capacitor Inner box 2.5 µF -Fan</v>
      </c>
      <c r="I38" s="176" t="str">
        <v>Pcs</v>
      </c>
      <c r="J38" s="176">
        <v>6000</v>
      </c>
      <c r="K38" s="176">
        <v>46956.52</v>
      </c>
      <c r="L38" s="176">
        <v>6000</v>
      </c>
      <c r="M38" s="176">
        <v>46956.52</v>
      </c>
      <c r="N38" s="176">
        <v>0</v>
      </c>
      <c r="O38" s="176">
        <v>0</v>
      </c>
      <c r="P38" s="176" t="str">
        <v>PENDING</v>
      </c>
      <c r="Q38" s="176">
        <v>144</v>
      </c>
      <c r="R38" s="176">
        <v>46229.684525462966</v>
      </c>
      <c r="AK38" s="354" t="s">
        <v>650</v>
      </c>
      <c r="AL38" s="354">
        <v>2026</v>
      </c>
      <c r="AM38" s="354" t="str">
        <f t="shared" si="1"/>
        <v>August2026</v>
      </c>
    </row>
    <row r="39" spans="1:39" x14ac:dyDescent="0.3">
      <c r="A39" s="176">
        <v>134</v>
      </c>
      <c r="B39" s="176">
        <v>2219</v>
      </c>
      <c r="C39" s="176" t="str">
        <v>26-07-2026</v>
      </c>
      <c r="D39" s="176">
        <v>153341536115349</v>
      </c>
      <c r="E39" s="176" t="str">
        <v>FAN</v>
      </c>
      <c r="F39" s="176" t="str">
        <v>Printing and Packaging</v>
      </c>
      <c r="G39" s="176">
        <v>3201010075</v>
      </c>
      <c r="H39" s="176" t="str">
        <v>Capacitor Inner box 3.5 µF -Fan</v>
      </c>
      <c r="I39" s="176" t="str">
        <v>Pcs</v>
      </c>
      <c r="J39" s="176">
        <v>7100</v>
      </c>
      <c r="K39" s="176">
        <v>55565.22</v>
      </c>
      <c r="L39" s="176">
        <v>6272</v>
      </c>
      <c r="M39" s="176">
        <v>49085.22</v>
      </c>
      <c r="N39" s="176">
        <v>828</v>
      </c>
      <c r="O39" s="176">
        <v>6480</v>
      </c>
      <c r="P39" s="176" t="str">
        <v>PENDING</v>
      </c>
      <c r="Q39" s="176">
        <v>144</v>
      </c>
      <c r="R39" s="176">
        <v>46229.684525462966</v>
      </c>
      <c r="AK39" s="354" t="s">
        <v>650</v>
      </c>
      <c r="AL39" s="354">
        <v>2026</v>
      </c>
      <c r="AM39" s="354" t="str">
        <f t="shared" si="1"/>
        <v>August2026</v>
      </c>
    </row>
    <row r="40" spans="1:39" x14ac:dyDescent="0.3">
      <c r="A40" s="176">
        <v>136</v>
      </c>
      <c r="B40" s="176">
        <v>2219</v>
      </c>
      <c r="C40" s="176" t="str">
        <v>26-07-2026</v>
      </c>
      <c r="D40" s="176">
        <v>15334</v>
      </c>
      <c r="E40" s="176" t="str">
        <v>FAN</v>
      </c>
      <c r="F40" s="176" t="str">
        <v>Printing and Packaging</v>
      </c>
      <c r="G40" s="176">
        <v>3201010076</v>
      </c>
      <c r="H40" s="176" t="str">
        <v>Capacitor Warranty Card 2.5 µF -Fan</v>
      </c>
      <c r="I40" s="176" t="str">
        <v>Pcs</v>
      </c>
      <c r="J40" s="176">
        <v>71900</v>
      </c>
      <c r="K40" s="176">
        <v>12504.35</v>
      </c>
      <c r="L40" s="176">
        <v>71900</v>
      </c>
      <c r="M40" s="176">
        <v>12504.35</v>
      </c>
      <c r="N40" s="176">
        <v>0</v>
      </c>
      <c r="O40" s="176">
        <v>0</v>
      </c>
      <c r="P40" s="176" t="str">
        <v>PENDING</v>
      </c>
      <c r="Q40" s="176">
        <v>144</v>
      </c>
      <c r="R40" s="176">
        <v>46229.684525462966</v>
      </c>
      <c r="AK40" s="354" t="s">
        <v>650</v>
      </c>
      <c r="AL40" s="354">
        <v>2026</v>
      </c>
      <c r="AM40" s="354" t="str">
        <f t="shared" si="1"/>
        <v>August2026</v>
      </c>
    </row>
    <row r="41" spans="1:39" x14ac:dyDescent="0.3">
      <c r="A41" s="176">
        <v>138</v>
      </c>
      <c r="B41" s="176">
        <v>2219</v>
      </c>
      <c r="C41" s="176" t="str">
        <v>26-07-2026</v>
      </c>
      <c r="D41" s="176">
        <v>15334</v>
      </c>
      <c r="E41" s="176" t="str">
        <v>FAN</v>
      </c>
      <c r="F41" s="176" t="str">
        <v>Printing and Packaging</v>
      </c>
      <c r="G41" s="176">
        <v>3201010077</v>
      </c>
      <c r="H41" s="176" t="str">
        <v>Capacitor Warranty Card 3.5 µF -Fan</v>
      </c>
      <c r="I41" s="176" t="str">
        <v>Pcs</v>
      </c>
      <c r="J41" s="176">
        <v>85600</v>
      </c>
      <c r="K41" s="176">
        <v>14886.96</v>
      </c>
      <c r="L41" s="176">
        <v>85600</v>
      </c>
      <c r="M41" s="176">
        <v>14886.96</v>
      </c>
      <c r="N41" s="176">
        <v>0</v>
      </c>
      <c r="O41" s="176">
        <v>0</v>
      </c>
      <c r="P41" s="176" t="str">
        <v>PENDING</v>
      </c>
      <c r="Q41" s="176">
        <v>144</v>
      </c>
      <c r="R41" s="176">
        <v>46229.684525462966</v>
      </c>
      <c r="AK41" s="354" t="s">
        <v>650</v>
      </c>
      <c r="AL41" s="354">
        <v>2026</v>
      </c>
      <c r="AM41" s="354" t="str">
        <f t="shared" si="1"/>
        <v>August2026</v>
      </c>
    </row>
    <row r="42" spans="1:39" x14ac:dyDescent="0.3">
      <c r="A42" s="176">
        <v>141</v>
      </c>
      <c r="B42" s="176">
        <v>2219</v>
      </c>
      <c r="C42" s="176" t="str">
        <v>26-07-2026</v>
      </c>
      <c r="D42" s="176">
        <v>1.5453156831539601E+44</v>
      </c>
      <c r="E42" s="176" t="str">
        <v>FAN</v>
      </c>
      <c r="F42" s="176" t="str">
        <v>Printing and Packaging</v>
      </c>
      <c r="G42" s="176">
        <v>3201010079</v>
      </c>
      <c r="H42" s="176" t="str">
        <v>8 Inch Exhaust Fan Body Carton (Alu)</v>
      </c>
      <c r="I42" s="176" t="str">
        <v>Pcs</v>
      </c>
      <c r="J42" s="176">
        <v>5565</v>
      </c>
      <c r="K42" s="176">
        <v>237117.39</v>
      </c>
      <c r="L42" s="176">
        <v>5561</v>
      </c>
      <c r="M42" s="176">
        <v>236946.96</v>
      </c>
      <c r="N42" s="176">
        <v>4</v>
      </c>
      <c r="O42" s="176">
        <v>170.43</v>
      </c>
      <c r="P42" s="176" t="str">
        <v>PENDING</v>
      </c>
      <c r="Q42" s="176">
        <v>144</v>
      </c>
      <c r="R42" s="176">
        <v>46229.684525462966</v>
      </c>
      <c r="AK42" s="354" t="s">
        <v>650</v>
      </c>
      <c r="AL42" s="354">
        <v>2026</v>
      </c>
      <c r="AM42" s="354" t="str">
        <f t="shared" si="1"/>
        <v>August2026</v>
      </c>
    </row>
    <row r="43" spans="1:39" x14ac:dyDescent="0.3">
      <c r="A43" s="176">
        <v>144</v>
      </c>
      <c r="B43" s="176">
        <v>2219</v>
      </c>
      <c r="C43" s="176" t="str">
        <v>26-07-2026</v>
      </c>
      <c r="D43" s="176">
        <v>1.56311543115449E+34</v>
      </c>
      <c r="E43" s="176" t="str">
        <v>FAN</v>
      </c>
      <c r="F43" s="176" t="str">
        <v>Printing and Packaging</v>
      </c>
      <c r="G43" s="176">
        <v>3201010080</v>
      </c>
      <c r="H43" s="176" t="str">
        <v>10 Inch Exhaust Fan Body Carton (Alu)</v>
      </c>
      <c r="I43" s="176" t="str">
        <v>Pcs</v>
      </c>
      <c r="J43" s="176">
        <v>11025</v>
      </c>
      <c r="K43" s="176">
        <v>615482.61</v>
      </c>
      <c r="L43" s="176">
        <v>2316</v>
      </c>
      <c r="M43" s="176">
        <v>129293.22</v>
      </c>
      <c r="N43" s="176">
        <v>8709</v>
      </c>
      <c r="O43" s="176">
        <v>486189.39</v>
      </c>
      <c r="P43" s="176" t="str">
        <v>PENDING</v>
      </c>
      <c r="Q43" s="176">
        <v>144</v>
      </c>
      <c r="R43" s="176">
        <v>46229.684525462966</v>
      </c>
      <c r="AK43" s="354" t="s">
        <v>650</v>
      </c>
      <c r="AL43" s="354">
        <v>2026</v>
      </c>
      <c r="AM43" s="354" t="str">
        <f t="shared" si="1"/>
        <v>August2026</v>
      </c>
    </row>
    <row r="44" spans="1:39" x14ac:dyDescent="0.3">
      <c r="A44" s="176">
        <v>147</v>
      </c>
      <c r="B44" s="176">
        <v>2219</v>
      </c>
      <c r="C44" s="176" t="str">
        <v>26-07-2026</v>
      </c>
      <c r="D44" s="176">
        <v>1551415334</v>
      </c>
      <c r="E44" s="176" t="str">
        <v>FAN</v>
      </c>
      <c r="F44" s="176" t="str">
        <v>Printing and Packaging</v>
      </c>
      <c r="G44" s="176">
        <v>3201010081</v>
      </c>
      <c r="H44" s="176" t="str">
        <v>Aero Flow Sticker</v>
      </c>
      <c r="I44" s="176" t="str">
        <v>Pcs</v>
      </c>
      <c r="J44" s="176">
        <v>20000</v>
      </c>
      <c r="K44" s="176">
        <v>4128.8100000000004</v>
      </c>
      <c r="L44" s="176">
        <v>20000</v>
      </c>
      <c r="M44" s="176">
        <v>4128.8100000000004</v>
      </c>
      <c r="N44" s="176">
        <v>0</v>
      </c>
      <c r="O44" s="176">
        <v>0</v>
      </c>
      <c r="P44" s="176" t="str">
        <v>PENDING</v>
      </c>
      <c r="Q44" s="176">
        <v>144</v>
      </c>
      <c r="R44" s="176">
        <v>46229.684525462966</v>
      </c>
      <c r="AK44" s="354" t="s">
        <v>650</v>
      </c>
      <c r="AL44" s="354">
        <v>2026</v>
      </c>
      <c r="AM44" s="354" t="str">
        <f t="shared" si="1"/>
        <v>August2026</v>
      </c>
    </row>
    <row r="45" spans="1:39" x14ac:dyDescent="0.3">
      <c r="A45" s="176">
        <v>149</v>
      </c>
      <c r="B45" s="176">
        <v>2219</v>
      </c>
      <c r="C45" s="176" t="str">
        <v>26-07-2026</v>
      </c>
      <c r="D45" s="176">
        <v>15353</v>
      </c>
      <c r="E45" s="176" t="str">
        <v>FAN</v>
      </c>
      <c r="F45" s="176" t="str">
        <v>Printing and Packaging</v>
      </c>
      <c r="G45" s="176">
        <v>3201010083</v>
      </c>
      <c r="H45" s="176" t="str">
        <v>Warranty Card (Aero Flow)</v>
      </c>
      <c r="I45" s="176" t="str">
        <v>Pcs</v>
      </c>
      <c r="J45" s="176">
        <v>17000</v>
      </c>
      <c r="K45" s="176">
        <v>4655.4799999999996</v>
      </c>
      <c r="L45" s="176">
        <v>12000</v>
      </c>
      <c r="M45" s="176">
        <v>3286.22</v>
      </c>
      <c r="N45" s="176">
        <v>5000</v>
      </c>
      <c r="O45" s="176">
        <v>1369.26</v>
      </c>
      <c r="P45" s="176" t="str">
        <v>PENDING</v>
      </c>
      <c r="Q45" s="176">
        <v>144</v>
      </c>
      <c r="R45" s="176">
        <v>46229.684525462966</v>
      </c>
      <c r="AK45" s="354" t="s">
        <v>650</v>
      </c>
      <c r="AL45" s="354">
        <v>2026</v>
      </c>
      <c r="AM45" s="354" t="str">
        <f t="shared" si="1"/>
        <v>August2026</v>
      </c>
    </row>
    <row r="46" spans="1:39" x14ac:dyDescent="0.3">
      <c r="A46" s="176">
        <v>154</v>
      </c>
      <c r="B46" s="176">
        <v>2219</v>
      </c>
      <c r="C46" s="176" t="str">
        <v>26-07-2026</v>
      </c>
      <c r="D46" s="176">
        <v>15334</v>
      </c>
      <c r="E46" s="176" t="str">
        <v>FAN</v>
      </c>
      <c r="F46" s="176" t="str">
        <v>Printing and Packaging</v>
      </c>
      <c r="G46" s="176">
        <v>700100035</v>
      </c>
      <c r="H46" s="176" t="str">
        <v>QC Pass Sticker (Fan)- Blue Color</v>
      </c>
      <c r="I46" s="176" t="str">
        <v>Pcs</v>
      </c>
      <c r="J46" s="176">
        <v>20000</v>
      </c>
      <c r="K46" s="176">
        <v>5043.4799999999996</v>
      </c>
      <c r="L46" s="176">
        <v>20000</v>
      </c>
      <c r="M46" s="176">
        <v>5043.4799999999996</v>
      </c>
      <c r="N46" s="176">
        <v>0</v>
      </c>
      <c r="O46" s="176">
        <v>0</v>
      </c>
      <c r="P46" s="176" t="str">
        <v>PENDING</v>
      </c>
      <c r="Q46" s="176">
        <v>144</v>
      </c>
      <c r="R46" s="176">
        <v>46229.684525462966</v>
      </c>
      <c r="AK46" s="354" t="s">
        <v>650</v>
      </c>
      <c r="AL46" s="354">
        <v>2026</v>
      </c>
      <c r="AM46" s="354" t="str">
        <f t="shared" si="1"/>
        <v>August2026</v>
      </c>
    </row>
    <row r="47" spans="1:39" x14ac:dyDescent="0.3">
      <c r="A47" s="176">
        <v>2</v>
      </c>
      <c r="B47" s="176">
        <v>2209</v>
      </c>
      <c r="C47" s="176" t="str">
        <v>22-07-2026</v>
      </c>
      <c r="D47" s="176">
        <v>0</v>
      </c>
      <c r="E47" s="176" t="str">
        <v>FAN</v>
      </c>
      <c r="F47" s="176" t="str">
        <v>MEP</v>
      </c>
      <c r="G47" s="176">
        <v>3101010016</v>
      </c>
      <c r="H47" s="176" t="str">
        <v>Super Wire (SWG 33) / 0.253mm</v>
      </c>
      <c r="I47" s="176" t="str">
        <v>KG</v>
      </c>
      <c r="J47" s="176">
        <v>11000</v>
      </c>
      <c r="K47" s="176">
        <v>21115738.77</v>
      </c>
      <c r="L47" s="176">
        <v>0</v>
      </c>
      <c r="M47" s="176">
        <v>0</v>
      </c>
      <c r="N47" s="176">
        <v>11000</v>
      </c>
      <c r="O47" s="176">
        <v>21115738.77</v>
      </c>
      <c r="P47" s="176" t="str">
        <v>PENDING</v>
      </c>
      <c r="Q47" s="176">
        <v>144</v>
      </c>
      <c r="R47" s="176">
        <v>46228.356990740744</v>
      </c>
      <c r="AK47" s="354" t="s">
        <v>650</v>
      </c>
      <c r="AL47" s="354">
        <v>2026</v>
      </c>
      <c r="AM47" s="354" t="str">
        <f t="shared" si="1"/>
        <v>August2026</v>
      </c>
    </row>
    <row r="48" spans="1:39" x14ac:dyDescent="0.3">
      <c r="A48" s="176">
        <v>4</v>
      </c>
      <c r="B48" s="176">
        <v>2209</v>
      </c>
      <c r="C48" s="176" t="str">
        <v>22-07-2026</v>
      </c>
      <c r="D48" s="176">
        <v>0</v>
      </c>
      <c r="E48" s="176" t="str">
        <v>FAN</v>
      </c>
      <c r="F48" s="176" t="str">
        <v>MEP</v>
      </c>
      <c r="G48" s="176">
        <v>3101010017</v>
      </c>
      <c r="H48" s="176" t="str">
        <v>Super Wire (SWG 34) / 0.233mm</v>
      </c>
      <c r="I48" s="176" t="str">
        <v>KG</v>
      </c>
      <c r="J48" s="176">
        <v>1500</v>
      </c>
      <c r="K48" s="176">
        <v>3046328.54</v>
      </c>
      <c r="L48" s="176">
        <v>0</v>
      </c>
      <c r="M48" s="176">
        <v>0</v>
      </c>
      <c r="N48" s="176">
        <v>1500</v>
      </c>
      <c r="O48" s="176">
        <v>3046328.54</v>
      </c>
      <c r="P48" s="176" t="str">
        <v>PENDING</v>
      </c>
      <c r="Q48" s="176">
        <v>144</v>
      </c>
      <c r="R48" s="176">
        <v>46228.356990740744</v>
      </c>
      <c r="AK48" s="354" t="s">
        <v>650</v>
      </c>
      <c r="AL48" s="354">
        <v>2026</v>
      </c>
      <c r="AM48" s="354" t="str">
        <f t="shared" si="1"/>
        <v>August2026</v>
      </c>
    </row>
    <row r="49" spans="1:39" x14ac:dyDescent="0.3">
      <c r="A49" s="176">
        <v>7</v>
      </c>
      <c r="B49" s="176">
        <v>2209</v>
      </c>
      <c r="C49" s="176" t="str">
        <v>22-07-2026</v>
      </c>
      <c r="D49" s="176">
        <v>0</v>
      </c>
      <c r="E49" s="176" t="str">
        <v>FAN</v>
      </c>
      <c r="F49" s="176" t="str">
        <v>MEP</v>
      </c>
      <c r="G49" s="176">
        <v>3101010018</v>
      </c>
      <c r="H49" s="176" t="str">
        <v>Super Wire (SWG 35) / 0.213mm</v>
      </c>
      <c r="I49" s="176" t="str">
        <v>KG</v>
      </c>
      <c r="J49" s="176">
        <v>2500</v>
      </c>
      <c r="K49" s="176">
        <v>3108208.97</v>
      </c>
      <c r="L49" s="176">
        <v>0</v>
      </c>
      <c r="M49" s="176">
        <v>0</v>
      </c>
      <c r="N49" s="176">
        <v>2500</v>
      </c>
      <c r="O49" s="176">
        <v>3108208.97</v>
      </c>
      <c r="P49" s="176" t="str">
        <v>PENDING</v>
      </c>
      <c r="Q49" s="176">
        <v>144</v>
      </c>
      <c r="R49" s="176">
        <v>46228.356990740744</v>
      </c>
      <c r="AK49" s="354" t="s">
        <v>650</v>
      </c>
      <c r="AL49" s="354">
        <v>2026</v>
      </c>
      <c r="AM49" s="354" t="str">
        <f t="shared" si="1"/>
        <v>August2026</v>
      </c>
    </row>
    <row r="50" spans="1:39" x14ac:dyDescent="0.3">
      <c r="A50" s="176">
        <v>10</v>
      </c>
      <c r="B50" s="176">
        <v>2203</v>
      </c>
      <c r="C50" s="176" t="str">
        <v>22-07-2026</v>
      </c>
      <c r="D50" s="176">
        <v>15788</v>
      </c>
      <c r="E50" s="176" t="str">
        <v>FAN</v>
      </c>
      <c r="F50" s="176" t="str">
        <v>MEP</v>
      </c>
      <c r="G50" s="176">
        <v>3101010070</v>
      </c>
      <c r="H50" s="176" t="str">
        <v>Ms Washer 3/16 (1910/kg)</v>
      </c>
      <c r="I50" s="176" t="str">
        <v>KG</v>
      </c>
      <c r="J50" s="176">
        <v>22</v>
      </c>
      <c r="K50" s="176">
        <v>7919.59</v>
      </c>
      <c r="L50" s="176">
        <v>10.4</v>
      </c>
      <c r="M50" s="176">
        <v>3743.8</v>
      </c>
      <c r="N50" s="176">
        <v>11.6</v>
      </c>
      <c r="O50" s="176">
        <v>4175.78</v>
      </c>
      <c r="P50" s="176" t="str">
        <v>PENDING</v>
      </c>
      <c r="Q50" s="176">
        <v>144</v>
      </c>
      <c r="R50" s="176">
        <v>46228.355081018519</v>
      </c>
      <c r="AK50" s="354" t="s">
        <v>650</v>
      </c>
      <c r="AL50" s="354">
        <v>2026</v>
      </c>
      <c r="AM50" s="354" t="str">
        <f t="shared" si="1"/>
        <v>August2026</v>
      </c>
    </row>
    <row r="51" spans="1:39" x14ac:dyDescent="0.3">
      <c r="A51" s="176">
        <v>13</v>
      </c>
      <c r="B51" s="176">
        <v>2203</v>
      </c>
      <c r="C51" s="176" t="str">
        <v>22-07-2026</v>
      </c>
      <c r="D51" s="176">
        <v>1.55941579015633E+94</v>
      </c>
      <c r="E51" s="176" t="str">
        <v>FAN</v>
      </c>
      <c r="F51" s="176" t="str">
        <v>MEP</v>
      </c>
      <c r="G51" s="176">
        <v>3101010071</v>
      </c>
      <c r="H51" s="176" t="str">
        <v>Down Pipe Bolt 8mm x 1.5```` (50/kg)</v>
      </c>
      <c r="I51" s="176" t="str">
        <v>Pcs</v>
      </c>
      <c r="J51" s="176">
        <v>120750</v>
      </c>
      <c r="K51" s="176">
        <v>359100</v>
      </c>
      <c r="L51" s="176">
        <v>75795</v>
      </c>
      <c r="M51" s="176">
        <v>225407.74</v>
      </c>
      <c r="N51" s="176">
        <v>44955</v>
      </c>
      <c r="O51" s="176">
        <v>133692.26</v>
      </c>
      <c r="P51" s="176" t="str">
        <v>PENDING</v>
      </c>
      <c r="Q51" s="176">
        <v>144</v>
      </c>
      <c r="R51" s="176">
        <v>46228.355081018519</v>
      </c>
      <c r="AK51" s="354" t="s">
        <v>650</v>
      </c>
      <c r="AL51" s="354">
        <v>2026</v>
      </c>
      <c r="AM51" s="354" t="str">
        <f t="shared" si="1"/>
        <v>August2026</v>
      </c>
    </row>
    <row r="52" spans="1:39" x14ac:dyDescent="0.3">
      <c r="A52" s="176">
        <v>16</v>
      </c>
      <c r="B52" s="176">
        <v>2203</v>
      </c>
      <c r="C52" s="176" t="str">
        <v>22-07-2026</v>
      </c>
      <c r="D52" s="176">
        <v>15365</v>
      </c>
      <c r="E52" s="176" t="str">
        <v>FAN</v>
      </c>
      <c r="F52" s="176" t="str">
        <v>MEP</v>
      </c>
      <c r="G52" s="176">
        <v>3101010072</v>
      </c>
      <c r="H52" s="176" t="str">
        <v>Down Pipe Bolt 8mm x 2```` (45/kg)</v>
      </c>
      <c r="I52" s="176" t="str">
        <v>Pcs</v>
      </c>
      <c r="J52" s="176">
        <v>10500</v>
      </c>
      <c r="K52" s="176">
        <v>36430.43</v>
      </c>
      <c r="L52" s="176">
        <v>9526</v>
      </c>
      <c r="M52" s="176">
        <v>33051.08</v>
      </c>
      <c r="N52" s="176">
        <v>974</v>
      </c>
      <c r="O52" s="176">
        <v>3379.36</v>
      </c>
      <c r="P52" s="176" t="str">
        <v>PENDING</v>
      </c>
      <c r="Q52" s="176">
        <v>144</v>
      </c>
      <c r="R52" s="176">
        <v>46228.355081018519</v>
      </c>
      <c r="AK52" s="354" t="s">
        <v>650</v>
      </c>
      <c r="AL52" s="354">
        <v>2026</v>
      </c>
      <c r="AM52" s="354" t="str">
        <f t="shared" si="1"/>
        <v>August2026</v>
      </c>
    </row>
    <row r="53" spans="1:39" x14ac:dyDescent="0.3">
      <c r="A53" s="176">
        <v>19</v>
      </c>
      <c r="B53" s="176">
        <v>2203</v>
      </c>
      <c r="C53" s="176" t="str">
        <v>22-07-2026</v>
      </c>
      <c r="D53" s="176">
        <v>1.5487157331567899E+24</v>
      </c>
      <c r="E53" s="176" t="str">
        <v>FAN</v>
      </c>
      <c r="F53" s="176" t="str">
        <v>MEP</v>
      </c>
      <c r="G53" s="176">
        <v>3101010073</v>
      </c>
      <c r="H53" s="176" t="str">
        <v>Down Pipe Sira Pin(Fan)</v>
      </c>
      <c r="I53" s="176" t="str">
        <v>Pcs</v>
      </c>
      <c r="J53" s="176">
        <v>131250</v>
      </c>
      <c r="K53" s="176">
        <v>22826.09</v>
      </c>
      <c r="L53" s="176">
        <v>131249</v>
      </c>
      <c r="M53" s="176">
        <v>22825.91</v>
      </c>
      <c r="N53" s="176">
        <v>1</v>
      </c>
      <c r="O53" s="176">
        <v>0.17</v>
      </c>
      <c r="P53" s="176" t="str">
        <v>PENDING</v>
      </c>
      <c r="Q53" s="176">
        <v>144</v>
      </c>
      <c r="R53" s="176">
        <v>46228.355081018519</v>
      </c>
      <c r="AK53" s="354" t="s">
        <v>650</v>
      </c>
      <c r="AL53" s="354">
        <v>2026</v>
      </c>
      <c r="AM53" s="354" t="str">
        <f t="shared" si="1"/>
        <v>August2026</v>
      </c>
    </row>
    <row r="54" spans="1:39" x14ac:dyDescent="0.3">
      <c r="A54" s="176">
        <v>22</v>
      </c>
      <c r="B54" s="176">
        <v>2203</v>
      </c>
      <c r="C54" s="176" t="str">
        <v>22-07-2026</v>
      </c>
      <c r="D54" s="176">
        <v>1.56861559415634E+19</v>
      </c>
      <c r="E54" s="176" t="str">
        <v>FAN</v>
      </c>
      <c r="F54" s="176" t="str">
        <v>MEP</v>
      </c>
      <c r="G54" s="176">
        <v>3101010074</v>
      </c>
      <c r="H54" s="176" t="str">
        <v>Shaft/XL /Safity lock Screw 3/16x3/8```` (400/kg)</v>
      </c>
      <c r="I54" s="176" t="str">
        <v>KG</v>
      </c>
      <c r="J54" s="176">
        <v>168</v>
      </c>
      <c r="K54" s="176">
        <v>29400</v>
      </c>
      <c r="L54" s="176">
        <v>160.19999999999999</v>
      </c>
      <c r="M54" s="176">
        <v>28035</v>
      </c>
      <c r="N54" s="176">
        <v>7.8</v>
      </c>
      <c r="O54" s="176">
        <v>1365</v>
      </c>
      <c r="P54" s="176" t="str">
        <v>PENDING</v>
      </c>
      <c r="Q54" s="176">
        <v>144</v>
      </c>
      <c r="R54" s="176">
        <v>46228.355081018519</v>
      </c>
      <c r="AK54" s="354" t="s">
        <v>650</v>
      </c>
      <c r="AL54" s="354">
        <v>2026</v>
      </c>
      <c r="AM54" s="354" t="str">
        <f t="shared" si="1"/>
        <v>August2026</v>
      </c>
    </row>
    <row r="55" spans="1:39" x14ac:dyDescent="0.3">
      <c r="A55" s="176">
        <v>25</v>
      </c>
      <c r="B55" s="176">
        <v>2203</v>
      </c>
      <c r="C55" s="176" t="str">
        <v>22-07-2026</v>
      </c>
      <c r="D55" s="176">
        <v>158251585415872</v>
      </c>
      <c r="E55" s="176" t="str">
        <v>FAN</v>
      </c>
      <c r="F55" s="176" t="str">
        <v>MEP</v>
      </c>
      <c r="G55" s="176">
        <v>3101010075</v>
      </c>
      <c r="H55" s="176" t="str">
        <v>Body Screw 18x6mm,H=10mm (200/kg)</v>
      </c>
      <c r="I55" s="176" t="str">
        <v>KG</v>
      </c>
      <c r="J55" s="176">
        <v>84</v>
      </c>
      <c r="K55" s="176">
        <v>14700.43</v>
      </c>
      <c r="L55" s="176">
        <v>84</v>
      </c>
      <c r="M55" s="176">
        <v>14700.43</v>
      </c>
      <c r="N55" s="176">
        <v>0</v>
      </c>
      <c r="O55" s="176">
        <v>0</v>
      </c>
      <c r="P55" s="176" t="str">
        <v>PENDING</v>
      </c>
      <c r="Q55" s="176">
        <v>144</v>
      </c>
      <c r="R55" s="176">
        <v>46228.355081018519</v>
      </c>
      <c r="AK55" s="354" t="s">
        <v>650</v>
      </c>
      <c r="AL55" s="354">
        <v>2026</v>
      </c>
      <c r="AM55" s="354" t="str">
        <f t="shared" si="1"/>
        <v>August2026</v>
      </c>
    </row>
    <row r="56" spans="1:39" x14ac:dyDescent="0.3">
      <c r="A56" s="176">
        <v>29</v>
      </c>
      <c r="B56" s="176">
        <v>2203</v>
      </c>
      <c r="C56" s="176" t="str">
        <v>22-07-2026</v>
      </c>
      <c r="D56" s="176">
        <v>1.58091588915656E+99</v>
      </c>
      <c r="E56" s="176" t="str">
        <v>FAN</v>
      </c>
      <c r="F56" s="176" t="str">
        <v>MEP</v>
      </c>
      <c r="G56" s="176">
        <v>3101010077</v>
      </c>
      <c r="H56" s="176" t="str">
        <v>Blade/Body Screw 12.7x6mm,H=10mm (220/kg)</v>
      </c>
      <c r="I56" s="176" t="str">
        <v>KG</v>
      </c>
      <c r="J56" s="176">
        <v>1500</v>
      </c>
      <c r="K56" s="176">
        <v>262443.87</v>
      </c>
      <c r="L56" s="176">
        <v>1335.2</v>
      </c>
      <c r="M56" s="176">
        <v>233610.04</v>
      </c>
      <c r="N56" s="176">
        <v>164.8</v>
      </c>
      <c r="O56" s="176">
        <v>28833.83</v>
      </c>
      <c r="P56" s="176" t="str">
        <v>PENDING</v>
      </c>
      <c r="Q56" s="176">
        <v>144</v>
      </c>
      <c r="R56" s="176">
        <v>46228.355081018519</v>
      </c>
      <c r="AK56" s="354" t="s">
        <v>650</v>
      </c>
      <c r="AL56" s="354">
        <v>2026</v>
      </c>
      <c r="AM56" s="354" t="str">
        <f t="shared" si="1"/>
        <v>August2026</v>
      </c>
    </row>
    <row r="57" spans="1:39" x14ac:dyDescent="0.3">
      <c r="A57" s="176">
        <v>32</v>
      </c>
      <c r="B57" s="176">
        <v>2202</v>
      </c>
      <c r="C57" s="176" t="str">
        <v>22-07-2026</v>
      </c>
      <c r="D57" s="176">
        <v>1.55821584115753E+69</v>
      </c>
      <c r="E57" s="176" t="str">
        <v>FAN</v>
      </c>
      <c r="F57" s="176" t="str">
        <v>MEP</v>
      </c>
      <c r="G57" s="176">
        <v>3101010078</v>
      </c>
      <c r="H57" s="176" t="str">
        <v>Canopy Big</v>
      </c>
      <c r="I57" s="176" t="str">
        <v>Pcs</v>
      </c>
      <c r="J57" s="176">
        <v>94500</v>
      </c>
      <c r="K57" s="176">
        <v>973760.87</v>
      </c>
      <c r="L57" s="176">
        <v>86435</v>
      </c>
      <c r="M57" s="176">
        <v>890656.3</v>
      </c>
      <c r="N57" s="176">
        <v>8065</v>
      </c>
      <c r="O57" s="176">
        <v>83104.570000000007</v>
      </c>
      <c r="P57" s="176" t="str">
        <v>PENDING</v>
      </c>
      <c r="Q57" s="176">
        <v>144</v>
      </c>
      <c r="R57" s="176">
        <v>46228.35497685185</v>
      </c>
      <c r="AK57" s="354" t="s">
        <v>650</v>
      </c>
      <c r="AL57" s="354">
        <v>2026</v>
      </c>
      <c r="AM57" s="354" t="str">
        <f t="shared" si="1"/>
        <v>August2026</v>
      </c>
    </row>
    <row r="58" spans="1:39" x14ac:dyDescent="0.3">
      <c r="A58" s="176">
        <v>35</v>
      </c>
      <c r="B58" s="176">
        <v>2202</v>
      </c>
      <c r="C58" s="176" t="str">
        <v>22-07-2026</v>
      </c>
      <c r="D58" s="176">
        <v>15915</v>
      </c>
      <c r="E58" s="176" t="str">
        <v>FAN</v>
      </c>
      <c r="F58" s="176" t="str">
        <v>MEP</v>
      </c>
      <c r="G58" s="176">
        <v>3101010080</v>
      </c>
      <c r="H58" s="176" t="str">
        <v>Capacitor Cover</v>
      </c>
      <c r="I58" s="176" t="str">
        <v>Pcs</v>
      </c>
      <c r="J58" s="176">
        <v>47250</v>
      </c>
      <c r="K58" s="176">
        <v>44373.91</v>
      </c>
      <c r="L58" s="176">
        <v>20300</v>
      </c>
      <c r="M58" s="176">
        <v>19064.349999999999</v>
      </c>
      <c r="N58" s="176">
        <v>26950</v>
      </c>
      <c r="O58" s="176">
        <v>25309.57</v>
      </c>
      <c r="P58" s="176" t="str">
        <v>PENDING</v>
      </c>
      <c r="Q58" s="176">
        <v>144</v>
      </c>
      <c r="R58" s="176">
        <v>46228.35497685185</v>
      </c>
      <c r="AK58" s="354" t="s">
        <v>650</v>
      </c>
      <c r="AL58" s="354">
        <v>2026</v>
      </c>
      <c r="AM58" s="354" t="str">
        <f t="shared" si="1"/>
        <v>August2026</v>
      </c>
    </row>
    <row r="59" spans="1:39" x14ac:dyDescent="0.3">
      <c r="A59" s="176">
        <v>38</v>
      </c>
      <c r="B59" s="176">
        <v>2202</v>
      </c>
      <c r="C59" s="176" t="str">
        <v>22-07-2026</v>
      </c>
      <c r="D59" s="176">
        <v>159151558315462</v>
      </c>
      <c r="E59" s="176" t="str">
        <v>FAN</v>
      </c>
      <c r="F59" s="176" t="str">
        <v>MEP</v>
      </c>
      <c r="G59" s="176">
        <v>3101010081</v>
      </c>
      <c r="H59" s="176" t="str">
        <v>Rubber Gasket (56`` 48``)</v>
      </c>
      <c r="I59" s="176" t="str">
        <v>Pcs</v>
      </c>
      <c r="J59" s="176">
        <v>110250</v>
      </c>
      <c r="K59" s="176">
        <v>37389.129999999997</v>
      </c>
      <c r="L59" s="176">
        <v>87900</v>
      </c>
      <c r="M59" s="176">
        <v>29809.56</v>
      </c>
      <c r="N59" s="176">
        <v>22350</v>
      </c>
      <c r="O59" s="176">
        <v>7579.57</v>
      </c>
      <c r="P59" s="176" t="str">
        <v>PENDING</v>
      </c>
      <c r="Q59" s="176">
        <v>144</v>
      </c>
      <c r="R59" s="176">
        <v>46228.35497685185</v>
      </c>
      <c r="AK59" s="354" t="s">
        <v>650</v>
      </c>
      <c r="AL59" s="354">
        <v>2026</v>
      </c>
      <c r="AM59" s="354" t="str">
        <f t="shared" si="1"/>
        <v>August2026</v>
      </c>
    </row>
    <row r="60" spans="1:39" x14ac:dyDescent="0.3">
      <c r="A60" s="176">
        <v>41</v>
      </c>
      <c r="B60" s="176">
        <v>2202</v>
      </c>
      <c r="C60" s="176" t="str">
        <v>22-07-2026</v>
      </c>
      <c r="D60" s="176">
        <v>0</v>
      </c>
      <c r="E60" s="176" t="str">
        <v>FAN</v>
      </c>
      <c r="F60" s="176" t="str">
        <v>MEP</v>
      </c>
      <c r="G60" s="176">
        <v>3101010083</v>
      </c>
      <c r="H60" s="176" t="str">
        <v>Rubber Gasket (2401,3601)</v>
      </c>
      <c r="I60" s="176" t="str">
        <v>Pcs</v>
      </c>
      <c r="J60" s="176">
        <v>36750</v>
      </c>
      <c r="K60" s="176">
        <v>9267.2900000000009</v>
      </c>
      <c r="L60" s="176">
        <v>0</v>
      </c>
      <c r="M60" s="176">
        <v>0</v>
      </c>
      <c r="N60" s="176">
        <v>36750</v>
      </c>
      <c r="O60" s="176">
        <v>9267.2900000000009</v>
      </c>
      <c r="P60" s="176" t="str">
        <v>PENDING</v>
      </c>
      <c r="Q60" s="176">
        <v>144</v>
      </c>
      <c r="R60" s="176">
        <v>46228.35497685185</v>
      </c>
      <c r="AK60" s="354" t="s">
        <v>650</v>
      </c>
      <c r="AL60" s="354">
        <v>2026</v>
      </c>
      <c r="AM60" s="354" t="str">
        <f t="shared" si="1"/>
        <v>August2026</v>
      </c>
    </row>
    <row r="61" spans="1:39" x14ac:dyDescent="0.3">
      <c r="A61" s="176">
        <v>44</v>
      </c>
      <c r="B61" s="176">
        <v>2202</v>
      </c>
      <c r="C61" s="176" t="str">
        <v>22-07-2026</v>
      </c>
      <c r="D61" s="176">
        <v>154711550515915</v>
      </c>
      <c r="E61" s="176" t="str">
        <v>FAN</v>
      </c>
      <c r="F61" s="176" t="str">
        <v>MEP</v>
      </c>
      <c r="G61" s="176">
        <v>3101010084</v>
      </c>
      <c r="H61" s="176" t="str">
        <v>Plastic XL Cap</v>
      </c>
      <c r="I61" s="176" t="str">
        <v>Pcs</v>
      </c>
      <c r="J61" s="176">
        <v>47250</v>
      </c>
      <c r="K61" s="176">
        <v>9450</v>
      </c>
      <c r="L61" s="176">
        <v>41302</v>
      </c>
      <c r="M61" s="176">
        <v>8260.4</v>
      </c>
      <c r="N61" s="176">
        <v>5948</v>
      </c>
      <c r="O61" s="176">
        <v>1189.5999999999999</v>
      </c>
      <c r="P61" s="176" t="str">
        <v>PENDING</v>
      </c>
      <c r="Q61" s="176">
        <v>144</v>
      </c>
      <c r="R61" s="176">
        <v>46228.35497685185</v>
      </c>
      <c r="AK61" s="354" t="s">
        <v>650</v>
      </c>
      <c r="AL61" s="354">
        <v>2026</v>
      </c>
      <c r="AM61" s="354" t="str">
        <f t="shared" si="1"/>
        <v>August2026</v>
      </c>
    </row>
    <row r="62" spans="1:39" x14ac:dyDescent="0.3">
      <c r="A62" s="176">
        <v>47</v>
      </c>
      <c r="B62" s="176">
        <v>2202</v>
      </c>
      <c r="C62" s="176" t="str">
        <v>22-07-2026</v>
      </c>
      <c r="D62" s="176">
        <v>15583</v>
      </c>
      <c r="E62" s="176" t="str">
        <v>FAN</v>
      </c>
      <c r="F62" s="176" t="str">
        <v>MEP</v>
      </c>
      <c r="G62" s="176">
        <v>3101010085</v>
      </c>
      <c r="H62" s="176" t="str">
        <v>Insulation Rubber</v>
      </c>
      <c r="I62" s="176" t="str">
        <v>Pcs</v>
      </c>
      <c r="J62" s="176">
        <v>20000</v>
      </c>
      <c r="K62" s="176">
        <v>46956.52</v>
      </c>
      <c r="L62" s="176">
        <v>20000</v>
      </c>
      <c r="M62" s="176">
        <v>46956.52</v>
      </c>
      <c r="N62" s="176">
        <v>0</v>
      </c>
      <c r="O62" s="176">
        <v>0</v>
      </c>
      <c r="P62" s="176" t="str">
        <v>PENDING</v>
      </c>
      <c r="Q62" s="176">
        <v>144</v>
      </c>
      <c r="R62" s="176">
        <v>46228.35497685185</v>
      </c>
      <c r="AK62" s="354" t="s">
        <v>650</v>
      </c>
      <c r="AL62" s="354">
        <v>2026</v>
      </c>
      <c r="AM62" s="354" t="str">
        <f t="shared" si="1"/>
        <v>August2026</v>
      </c>
    </row>
    <row r="63" spans="1:39" x14ac:dyDescent="0.3">
      <c r="A63" s="176">
        <v>50</v>
      </c>
      <c r="B63" s="176">
        <v>2202</v>
      </c>
      <c r="C63" s="176" t="str">
        <v>22-07-2026</v>
      </c>
      <c r="D63" s="176">
        <v>1.54621567215425E+19</v>
      </c>
      <c r="E63" s="176" t="str">
        <v>FAN</v>
      </c>
      <c r="F63" s="176" t="str">
        <v>MEP</v>
      </c>
      <c r="G63" s="176">
        <v>3101010086</v>
      </c>
      <c r="H63" s="176" t="str">
        <v>Canopy Rubber Ring</v>
      </c>
      <c r="I63" s="176" t="str">
        <v>Pcs</v>
      </c>
      <c r="J63" s="176">
        <v>94500</v>
      </c>
      <c r="K63" s="176">
        <v>61630.46</v>
      </c>
      <c r="L63" s="176">
        <v>74652</v>
      </c>
      <c r="M63" s="176">
        <v>48686.11</v>
      </c>
      <c r="N63" s="176">
        <v>19848</v>
      </c>
      <c r="O63" s="176">
        <v>12944.35</v>
      </c>
      <c r="P63" s="176" t="str">
        <v>PENDING</v>
      </c>
      <c r="Q63" s="176">
        <v>144</v>
      </c>
      <c r="R63" s="176">
        <v>46228.35497685185</v>
      </c>
      <c r="AK63" s="354" t="s">
        <v>650</v>
      </c>
      <c r="AL63" s="354">
        <v>2026</v>
      </c>
      <c r="AM63" s="354" t="str">
        <f t="shared" si="1"/>
        <v>August2026</v>
      </c>
    </row>
    <row r="64" spans="1:39" x14ac:dyDescent="0.3">
      <c r="A64" s="176">
        <v>53</v>
      </c>
      <c r="B64" s="176">
        <v>2209</v>
      </c>
      <c r="C64" s="176" t="str">
        <v>22-07-2026</v>
      </c>
      <c r="D64" s="176">
        <v>1559915372</v>
      </c>
      <c r="E64" s="176" t="str">
        <v>FAN</v>
      </c>
      <c r="F64" s="176" t="str">
        <v>MEP</v>
      </c>
      <c r="G64" s="176">
        <v>3101010090</v>
      </c>
      <c r="H64" s="176" t="str">
        <v>Flaxible Cable 14x0.0076 - Red</v>
      </c>
      <c r="I64" s="176" t="str">
        <v>Mtr</v>
      </c>
      <c r="J64" s="176">
        <v>43200</v>
      </c>
      <c r="K64" s="176">
        <v>441215.54</v>
      </c>
      <c r="L64" s="176">
        <v>29100</v>
      </c>
      <c r="M64" s="176">
        <v>297207.69</v>
      </c>
      <c r="N64" s="176">
        <v>14100</v>
      </c>
      <c r="O64" s="176">
        <v>144007.85</v>
      </c>
      <c r="P64" s="176" t="str">
        <v>PENDING</v>
      </c>
      <c r="Q64" s="176">
        <v>144</v>
      </c>
      <c r="R64" s="176">
        <v>46228.356990740744</v>
      </c>
      <c r="AK64" s="354" t="s">
        <v>650</v>
      </c>
      <c r="AL64" s="354">
        <v>2026</v>
      </c>
      <c r="AM64" s="354" t="str">
        <f t="shared" si="1"/>
        <v>August2026</v>
      </c>
    </row>
    <row r="65" spans="1:39" x14ac:dyDescent="0.3">
      <c r="A65" s="176">
        <v>56</v>
      </c>
      <c r="B65" s="176">
        <v>2204</v>
      </c>
      <c r="C65" s="176" t="str">
        <v>22-07-2026</v>
      </c>
      <c r="D65" s="176">
        <v>1.5575155861563501E+29</v>
      </c>
      <c r="E65" s="176" t="str">
        <v>FAN</v>
      </c>
      <c r="F65" s="176" t="str">
        <v>MEP</v>
      </c>
      <c r="G65" s="176">
        <v>3101010107</v>
      </c>
      <c r="H65" s="176" t="str">
        <v>Nice Regulator Small White(FAN)</v>
      </c>
      <c r="I65" s="176" t="str">
        <v>Pcs</v>
      </c>
      <c r="J65" s="176">
        <v>50000</v>
      </c>
      <c r="K65" s="176">
        <v>2670869.5699999998</v>
      </c>
      <c r="L65" s="176">
        <v>26500</v>
      </c>
      <c r="M65" s="176">
        <v>1415560.87</v>
      </c>
      <c r="N65" s="176">
        <v>23500</v>
      </c>
      <c r="O65" s="176">
        <v>1255308.7</v>
      </c>
      <c r="P65" s="176" t="str">
        <v>PENDING</v>
      </c>
      <c r="Q65" s="176">
        <v>144</v>
      </c>
      <c r="R65" s="176">
        <v>46228.355150462965</v>
      </c>
      <c r="AK65" s="354" t="s">
        <v>650</v>
      </c>
      <c r="AL65" s="354">
        <v>2026</v>
      </c>
      <c r="AM65" s="354" t="str">
        <f t="shared" si="1"/>
        <v>August2026</v>
      </c>
    </row>
    <row r="66" spans="1:39" x14ac:dyDescent="0.3">
      <c r="A66" s="176">
        <v>60</v>
      </c>
      <c r="B66" s="176">
        <v>2209</v>
      </c>
      <c r="C66" s="176" t="str">
        <v>22-07-2026</v>
      </c>
      <c r="D66" s="176">
        <v>1563815651</v>
      </c>
      <c r="E66" s="176" t="str">
        <v>FAN</v>
      </c>
      <c r="F66" s="176" t="str">
        <v>MEP</v>
      </c>
      <c r="G66" s="176">
        <v>3101010111</v>
      </c>
      <c r="H66" s="176" t="str">
        <v>Flaxible Cable 14x0.0076 - Yellow</v>
      </c>
      <c r="I66" s="176" t="str">
        <v>Mtr</v>
      </c>
      <c r="J66" s="176">
        <v>14400</v>
      </c>
      <c r="K66" s="176">
        <v>146860.07</v>
      </c>
      <c r="L66" s="176">
        <v>14400</v>
      </c>
      <c r="M66" s="176">
        <v>146860.07</v>
      </c>
      <c r="N66" s="176">
        <v>0</v>
      </c>
      <c r="O66" s="176">
        <v>0</v>
      </c>
      <c r="P66" s="176" t="str">
        <v>PENDING</v>
      </c>
      <c r="Q66" s="176">
        <v>144</v>
      </c>
      <c r="R66" s="176">
        <v>46228.356990740744</v>
      </c>
      <c r="AK66" s="354" t="s">
        <v>650</v>
      </c>
      <c r="AL66" s="354">
        <v>2026</v>
      </c>
      <c r="AM66" s="354" t="str">
        <f t="shared" si="1"/>
        <v>August2026</v>
      </c>
    </row>
    <row r="67" spans="1:39" x14ac:dyDescent="0.3">
      <c r="A67" s="176">
        <v>63</v>
      </c>
      <c r="B67" s="176">
        <v>2209</v>
      </c>
      <c r="C67" s="176" t="str">
        <v>22-07-2026</v>
      </c>
      <c r="D67" s="176">
        <v>155991569115372</v>
      </c>
      <c r="E67" s="176" t="str">
        <v>FAN</v>
      </c>
      <c r="F67" s="176" t="str">
        <v>MEP</v>
      </c>
      <c r="G67" s="176">
        <v>3101010112</v>
      </c>
      <c r="H67" s="176" t="str">
        <v>Flaxible Cable 14x0.0076 - Black</v>
      </c>
      <c r="I67" s="176" t="str">
        <v>Mtr</v>
      </c>
      <c r="J67" s="176">
        <v>43200</v>
      </c>
      <c r="K67" s="176">
        <v>440761.16</v>
      </c>
      <c r="L67" s="176">
        <v>43200</v>
      </c>
      <c r="M67" s="176">
        <v>440761.16</v>
      </c>
      <c r="N67" s="176">
        <v>0</v>
      </c>
      <c r="O67" s="176">
        <v>0</v>
      </c>
      <c r="P67" s="176" t="str">
        <v>PENDING</v>
      </c>
      <c r="Q67" s="176">
        <v>144</v>
      </c>
      <c r="R67" s="176">
        <v>46228.356990740744</v>
      </c>
      <c r="AK67" s="354" t="s">
        <v>650</v>
      </c>
      <c r="AL67" s="354">
        <v>2026</v>
      </c>
      <c r="AM67" s="354" t="str">
        <f t="shared" si="1"/>
        <v>August2026</v>
      </c>
    </row>
    <row r="68" spans="1:39" x14ac:dyDescent="0.3">
      <c r="A68" s="176">
        <v>66</v>
      </c>
      <c r="B68" s="176">
        <v>2203</v>
      </c>
      <c r="C68" s="176" t="str">
        <v>22-07-2026</v>
      </c>
      <c r="D68" s="176">
        <v>0</v>
      </c>
      <c r="E68" s="176" t="str">
        <v>FAN</v>
      </c>
      <c r="F68" s="176" t="str">
        <v>MEP</v>
      </c>
      <c r="G68" s="176">
        <v>3101010130</v>
      </c>
      <c r="H68" s="176" t="str">
        <v>Body screw- 3/16`` x 35mm</v>
      </c>
      <c r="I68" s="176" t="str">
        <v>KG</v>
      </c>
      <c r="J68" s="176">
        <v>20</v>
      </c>
      <c r="K68" s="176">
        <v>3730.01</v>
      </c>
      <c r="L68" s="176">
        <v>0</v>
      </c>
      <c r="M68" s="176">
        <v>0</v>
      </c>
      <c r="N68" s="176">
        <v>20</v>
      </c>
      <c r="O68" s="176">
        <v>3730.01</v>
      </c>
      <c r="P68" s="176" t="str">
        <v>PENDING</v>
      </c>
      <c r="Q68" s="176">
        <v>144</v>
      </c>
      <c r="R68" s="176">
        <v>46228.355081018519</v>
      </c>
      <c r="AK68" s="354" t="s">
        <v>650</v>
      </c>
      <c r="AL68" s="354">
        <v>2026</v>
      </c>
      <c r="AM68" s="354" t="str">
        <f t="shared" si="1"/>
        <v>August2026</v>
      </c>
    </row>
    <row r="69" spans="1:39" x14ac:dyDescent="0.3">
      <c r="A69" s="176">
        <v>69</v>
      </c>
      <c r="B69" s="176">
        <v>2211</v>
      </c>
      <c r="C69" s="176" t="str">
        <v>22-07-2026</v>
      </c>
      <c r="D69" s="176">
        <v>1.5639156691558101E+19</v>
      </c>
      <c r="E69" s="176" t="str">
        <v>FAN</v>
      </c>
      <c r="F69" s="176" t="str">
        <v>MEP</v>
      </c>
      <c r="G69" s="176">
        <v>3102010001</v>
      </c>
      <c r="H69" s="176" t="str">
        <v>Exhaust Fan Base (8``)</v>
      </c>
      <c r="I69" s="176" t="str">
        <v>Pcs</v>
      </c>
      <c r="J69" s="176">
        <v>5500</v>
      </c>
      <c r="K69" s="176">
        <v>272273.90999999997</v>
      </c>
      <c r="L69" s="176">
        <v>3860</v>
      </c>
      <c r="M69" s="176">
        <v>191086.78</v>
      </c>
      <c r="N69" s="176">
        <v>1640</v>
      </c>
      <c r="O69" s="176">
        <v>81187.13</v>
      </c>
      <c r="P69" s="176" t="str">
        <v>PENDING</v>
      </c>
      <c r="Q69" s="176">
        <v>144</v>
      </c>
      <c r="R69" s="176">
        <v>46228.357233796298</v>
      </c>
      <c r="AK69" s="354" t="s">
        <v>650</v>
      </c>
      <c r="AL69" s="354">
        <v>2026</v>
      </c>
      <c r="AM69" s="354" t="str">
        <f t="shared" ref="AM69:AM89" si="2">AK69&amp;AL69</f>
        <v>August2026</v>
      </c>
    </row>
    <row r="70" spans="1:39" x14ac:dyDescent="0.3">
      <c r="A70" s="176">
        <v>73</v>
      </c>
      <c r="B70" s="176">
        <v>2211</v>
      </c>
      <c r="C70" s="176" t="str">
        <v>22-07-2026</v>
      </c>
      <c r="D70" s="176">
        <v>1.56691579915705E+19</v>
      </c>
      <c r="E70" s="176" t="str">
        <v>FAN</v>
      </c>
      <c r="F70" s="176" t="str">
        <v>MEP</v>
      </c>
      <c r="G70" s="176">
        <v>3102010002</v>
      </c>
      <c r="H70" s="176" t="str">
        <v>Exhaust Fan Cover (8``)</v>
      </c>
      <c r="I70" s="176" t="str">
        <v>Pcs</v>
      </c>
      <c r="J70" s="176">
        <v>5500</v>
      </c>
      <c r="K70" s="176">
        <v>181474.43</v>
      </c>
      <c r="L70" s="176">
        <v>4461</v>
      </c>
      <c r="M70" s="176">
        <v>147192.26</v>
      </c>
      <c r="N70" s="176">
        <v>1039</v>
      </c>
      <c r="O70" s="176">
        <v>34282.17</v>
      </c>
      <c r="P70" s="176" t="str">
        <v>PENDING</v>
      </c>
      <c r="Q70" s="176">
        <v>144</v>
      </c>
      <c r="R70" s="176">
        <v>46228.357233796298</v>
      </c>
      <c r="AK70" s="354" t="s">
        <v>650</v>
      </c>
      <c r="AL70" s="354">
        <v>2026</v>
      </c>
      <c r="AM70" s="354" t="str">
        <f t="shared" si="2"/>
        <v>August2026</v>
      </c>
    </row>
    <row r="71" spans="1:39" x14ac:dyDescent="0.3">
      <c r="A71" s="176">
        <v>78</v>
      </c>
      <c r="B71" s="176">
        <v>2211</v>
      </c>
      <c r="C71" s="176" t="str">
        <v>22-07-2026</v>
      </c>
      <c r="D71" s="176">
        <v>1.56161558115614E+29</v>
      </c>
      <c r="E71" s="176" t="str">
        <v>FAN</v>
      </c>
      <c r="F71" s="176" t="str">
        <v>MEP</v>
      </c>
      <c r="G71" s="176">
        <v>3102010003</v>
      </c>
      <c r="H71" s="176" t="str">
        <v>Exhaust Fan Shutter (8``)</v>
      </c>
      <c r="I71" s="176" t="str">
        <v>Pcs</v>
      </c>
      <c r="J71" s="176">
        <v>18000</v>
      </c>
      <c r="K71" s="176">
        <v>60259.85</v>
      </c>
      <c r="L71" s="176">
        <v>16482</v>
      </c>
      <c r="M71" s="176">
        <v>55177.94</v>
      </c>
      <c r="N71" s="176">
        <v>1518</v>
      </c>
      <c r="O71" s="176">
        <v>5081.91</v>
      </c>
      <c r="P71" s="176" t="str">
        <v>PENDING</v>
      </c>
      <c r="Q71" s="176">
        <v>144</v>
      </c>
      <c r="R71" s="176">
        <v>46228.357233796298</v>
      </c>
      <c r="AK71" s="354" t="s">
        <v>650</v>
      </c>
      <c r="AL71" s="354">
        <v>2026</v>
      </c>
      <c r="AM71" s="354" t="str">
        <f t="shared" si="2"/>
        <v>August2026</v>
      </c>
    </row>
    <row r="72" spans="1:39" x14ac:dyDescent="0.3">
      <c r="A72" s="176">
        <v>82</v>
      </c>
      <c r="B72" s="176">
        <v>2211</v>
      </c>
      <c r="C72" s="176" t="str">
        <v>22-07-2026</v>
      </c>
      <c r="D72" s="176">
        <v>1.5532156691563901E+24</v>
      </c>
      <c r="E72" s="176" t="str">
        <v>FAN</v>
      </c>
      <c r="F72" s="176" t="str">
        <v>MEP</v>
      </c>
      <c r="G72" s="176">
        <v>3102010004</v>
      </c>
      <c r="H72" s="176" t="str">
        <v>Exhaust Fan Blade (8``)</v>
      </c>
      <c r="I72" s="176" t="str">
        <v>Pcs</v>
      </c>
      <c r="J72" s="176">
        <v>5500</v>
      </c>
      <c r="K72" s="176">
        <v>58873.91</v>
      </c>
      <c r="L72" s="176">
        <v>5500</v>
      </c>
      <c r="M72" s="176">
        <v>58873.91</v>
      </c>
      <c r="N72" s="176">
        <v>0</v>
      </c>
      <c r="O72" s="176">
        <v>0</v>
      </c>
      <c r="P72" s="176" t="str">
        <v>PENDING</v>
      </c>
      <c r="Q72" s="176">
        <v>144</v>
      </c>
      <c r="R72" s="176">
        <v>46228.357233796298</v>
      </c>
      <c r="AK72" s="354" t="s">
        <v>650</v>
      </c>
      <c r="AL72" s="354">
        <v>2026</v>
      </c>
      <c r="AM72" s="354" t="str">
        <f t="shared" si="2"/>
        <v>August2026</v>
      </c>
    </row>
    <row r="73" spans="1:39" x14ac:dyDescent="0.3">
      <c r="A73" s="176">
        <v>86</v>
      </c>
      <c r="B73" s="176">
        <v>2211</v>
      </c>
      <c r="C73" s="176" t="str">
        <v>22-07-2026</v>
      </c>
      <c r="D73" s="176">
        <v>153321581015863</v>
      </c>
      <c r="E73" s="176" t="str">
        <v>FAN</v>
      </c>
      <c r="F73" s="176" t="str">
        <v>MEP</v>
      </c>
      <c r="G73" s="176">
        <v>3102010005</v>
      </c>
      <c r="H73" s="176" t="str">
        <v>Exhaust Fan Side Stand (8``)</v>
      </c>
      <c r="I73" s="176" t="str">
        <v>Pcs</v>
      </c>
      <c r="J73" s="176">
        <v>5500</v>
      </c>
      <c r="K73" s="176">
        <v>50032.41</v>
      </c>
      <c r="L73" s="176">
        <v>1500</v>
      </c>
      <c r="M73" s="176">
        <v>13645.2</v>
      </c>
      <c r="N73" s="176">
        <v>4000</v>
      </c>
      <c r="O73" s="176">
        <v>36387.199999999997</v>
      </c>
      <c r="P73" s="176" t="str">
        <v>PENDING</v>
      </c>
      <c r="Q73" s="176">
        <v>144</v>
      </c>
      <c r="R73" s="176">
        <v>46228.357233796298</v>
      </c>
      <c r="AK73" s="354" t="s">
        <v>650</v>
      </c>
      <c r="AL73" s="354">
        <v>2026</v>
      </c>
      <c r="AM73" s="354" t="str">
        <f t="shared" si="2"/>
        <v>August2026</v>
      </c>
    </row>
    <row r="74" spans="1:39" x14ac:dyDescent="0.3">
      <c r="A74" s="176">
        <v>90</v>
      </c>
      <c r="B74" s="176">
        <v>2211</v>
      </c>
      <c r="C74" s="176" t="str">
        <v>22-07-2026</v>
      </c>
      <c r="D74" s="176">
        <v>1.54241547215377E+24</v>
      </c>
      <c r="E74" s="176" t="str">
        <v>FAN</v>
      </c>
      <c r="F74" s="176" t="str">
        <v>MEP</v>
      </c>
      <c r="G74" s="176">
        <v>3102010006</v>
      </c>
      <c r="H74" s="176" t="str">
        <v>Exhaust Fan Show Cap With Pitol Bush</v>
      </c>
      <c r="I74" s="176" t="str">
        <v>Pcs</v>
      </c>
      <c r="J74" s="176">
        <v>16000</v>
      </c>
      <c r="K74" s="176">
        <v>43269.57</v>
      </c>
      <c r="L74" s="176">
        <v>10925</v>
      </c>
      <c r="M74" s="176">
        <v>29545</v>
      </c>
      <c r="N74" s="176">
        <v>5075</v>
      </c>
      <c r="O74" s="176">
        <v>13724.57</v>
      </c>
      <c r="P74" s="176" t="str">
        <v>PENDING</v>
      </c>
      <c r="Q74" s="176">
        <v>144</v>
      </c>
      <c r="R74" s="176">
        <v>46228.357233796298</v>
      </c>
      <c r="AK74" s="354" t="s">
        <v>650</v>
      </c>
      <c r="AL74" s="354">
        <v>2026</v>
      </c>
      <c r="AM74" s="354" t="str">
        <f t="shared" si="2"/>
        <v>August2026</v>
      </c>
    </row>
    <row r="75" spans="1:39" x14ac:dyDescent="0.3">
      <c r="A75" s="176">
        <v>94</v>
      </c>
      <c r="B75" s="176">
        <v>2211</v>
      </c>
      <c r="C75" s="176" t="str">
        <v>22-07-2026</v>
      </c>
      <c r="D75" s="176">
        <v>1.5343153551542399E+19</v>
      </c>
      <c r="E75" s="176" t="str">
        <v>FAN</v>
      </c>
      <c r="F75" s="176" t="str">
        <v>MEP</v>
      </c>
      <c r="G75" s="176">
        <v>3102010007</v>
      </c>
      <c r="H75" s="176" t="str">
        <v>Exhaust Fan Capacitor Box</v>
      </c>
      <c r="I75" s="176" t="str">
        <v>Pcs</v>
      </c>
      <c r="J75" s="176">
        <v>16000</v>
      </c>
      <c r="K75" s="176">
        <v>43269.599999999999</v>
      </c>
      <c r="L75" s="176">
        <v>16000</v>
      </c>
      <c r="M75" s="176">
        <v>43269.599999999999</v>
      </c>
      <c r="N75" s="176">
        <v>0</v>
      </c>
      <c r="O75" s="176">
        <v>0</v>
      </c>
      <c r="P75" s="176" t="str">
        <v>PENDING</v>
      </c>
      <c r="Q75" s="176">
        <v>144</v>
      </c>
      <c r="R75" s="176">
        <v>46228.357233796298</v>
      </c>
      <c r="AK75" s="354" t="s">
        <v>650</v>
      </c>
      <c r="AL75" s="354">
        <v>2026</v>
      </c>
      <c r="AM75" s="354" t="str">
        <f t="shared" si="2"/>
        <v>August2026</v>
      </c>
    </row>
    <row r="76" spans="1:39" x14ac:dyDescent="0.3">
      <c r="A76" s="176">
        <v>98</v>
      </c>
      <c r="B76" s="176">
        <v>2211</v>
      </c>
      <c r="C76" s="176" t="str">
        <v>22-07-2026</v>
      </c>
      <c r="D76" s="176">
        <v>15562</v>
      </c>
      <c r="E76" s="176" t="str">
        <v>FAN</v>
      </c>
      <c r="F76" s="176" t="str">
        <v>MEP</v>
      </c>
      <c r="G76" s="176">
        <v>3102010008</v>
      </c>
      <c r="H76" s="176" t="str">
        <v>Exhaust Fan Stick (8``)</v>
      </c>
      <c r="I76" s="176" t="str">
        <v>Pcs</v>
      </c>
      <c r="J76" s="176">
        <v>5500</v>
      </c>
      <c r="K76" s="176">
        <v>5737.92</v>
      </c>
      <c r="L76" s="176">
        <v>5500</v>
      </c>
      <c r="M76" s="176">
        <v>5737.92</v>
      </c>
      <c r="N76" s="176">
        <v>0</v>
      </c>
      <c r="O76" s="176">
        <v>0</v>
      </c>
      <c r="P76" s="176" t="str">
        <v>PENDING</v>
      </c>
      <c r="Q76" s="176">
        <v>144</v>
      </c>
      <c r="R76" s="176">
        <v>46228.357233796298</v>
      </c>
      <c r="AK76" s="354" t="s">
        <v>650</v>
      </c>
      <c r="AL76" s="354">
        <v>2026</v>
      </c>
      <c r="AM76" s="354" t="str">
        <f t="shared" si="2"/>
        <v>August2026</v>
      </c>
    </row>
    <row r="77" spans="1:39" x14ac:dyDescent="0.3">
      <c r="A77" s="176">
        <v>100</v>
      </c>
      <c r="B77" s="176">
        <v>2211</v>
      </c>
      <c r="C77" s="176" t="str">
        <v>22-07-2026</v>
      </c>
      <c r="D77" s="176">
        <v>0</v>
      </c>
      <c r="E77" s="176" t="str">
        <v>FAN</v>
      </c>
      <c r="F77" s="176" t="str">
        <v>MEP</v>
      </c>
      <c r="G77" s="176">
        <v>3102010009</v>
      </c>
      <c r="H77" s="176" t="str">
        <v>Exhaust Fan Clam</v>
      </c>
      <c r="I77" s="176" t="str">
        <v>Pcs</v>
      </c>
      <c r="J77" s="176">
        <v>16000</v>
      </c>
      <c r="K77" s="176">
        <v>1113.18</v>
      </c>
      <c r="L77" s="176">
        <v>0</v>
      </c>
      <c r="M77" s="176">
        <v>0</v>
      </c>
      <c r="N77" s="176">
        <v>16000</v>
      </c>
      <c r="O77" s="176">
        <v>1113.18</v>
      </c>
      <c r="P77" s="176" t="str">
        <v>PENDING</v>
      </c>
      <c r="Q77" s="176">
        <v>144</v>
      </c>
      <c r="R77" s="176">
        <v>46228.357233796298</v>
      </c>
      <c r="AK77" s="354" t="s">
        <v>650</v>
      </c>
      <c r="AL77" s="354">
        <v>2026</v>
      </c>
      <c r="AM77" s="354" t="str">
        <f t="shared" si="2"/>
        <v>August2026</v>
      </c>
    </row>
    <row r="78" spans="1:39" x14ac:dyDescent="0.3">
      <c r="A78" s="176">
        <v>104</v>
      </c>
      <c r="B78" s="176">
        <v>2211</v>
      </c>
      <c r="C78" s="176" t="str">
        <v>22-07-2026</v>
      </c>
      <c r="D78" s="176">
        <v>15844</v>
      </c>
      <c r="E78" s="176" t="str">
        <v>FAN</v>
      </c>
      <c r="F78" s="176" t="str">
        <v>MEP</v>
      </c>
      <c r="G78" s="176">
        <v>3102010011</v>
      </c>
      <c r="H78" s="176" t="str">
        <v>Exhaust Fan Spring Lock</v>
      </c>
      <c r="I78" s="176" t="str">
        <v>Pcs</v>
      </c>
      <c r="J78" s="176">
        <v>16000</v>
      </c>
      <c r="K78" s="176">
        <v>698.04</v>
      </c>
      <c r="L78" s="176">
        <v>3500</v>
      </c>
      <c r="M78" s="176">
        <v>152.69999999999999</v>
      </c>
      <c r="N78" s="176">
        <v>12500</v>
      </c>
      <c r="O78" s="176">
        <v>545.34</v>
      </c>
      <c r="P78" s="176" t="str">
        <v>PENDING</v>
      </c>
      <c r="Q78" s="176">
        <v>144</v>
      </c>
      <c r="R78" s="176">
        <v>46228.357233796298</v>
      </c>
      <c r="AK78" s="354" t="s">
        <v>650</v>
      </c>
      <c r="AL78" s="354">
        <v>2026</v>
      </c>
      <c r="AM78" s="354" t="str">
        <f t="shared" si="2"/>
        <v>August2026</v>
      </c>
    </row>
    <row r="79" spans="1:39" x14ac:dyDescent="0.3">
      <c r="A79" s="176">
        <v>107</v>
      </c>
      <c r="B79" s="176">
        <v>2212</v>
      </c>
      <c r="C79" s="176" t="str">
        <v>22-07-2026</v>
      </c>
      <c r="D79" s="176">
        <v>0</v>
      </c>
      <c r="E79" s="176" t="str">
        <v>FAN</v>
      </c>
      <c r="F79" s="176" t="str">
        <v>MEP</v>
      </c>
      <c r="G79" s="176">
        <v>3102010012</v>
      </c>
      <c r="H79" s="176" t="str">
        <v>Cable 2x23/0.0076</v>
      </c>
      <c r="I79" s="176" t="str">
        <v>Mtr</v>
      </c>
      <c r="J79" s="176">
        <v>10500</v>
      </c>
      <c r="K79" s="176">
        <v>533850.97</v>
      </c>
      <c r="L79" s="176">
        <v>0</v>
      </c>
      <c r="M79" s="176">
        <v>0</v>
      </c>
      <c r="N79" s="176">
        <v>10500</v>
      </c>
      <c r="O79" s="176">
        <v>533850.97</v>
      </c>
      <c r="P79" s="176" t="str">
        <v>CHECKED</v>
      </c>
      <c r="Q79" s="176">
        <v>144</v>
      </c>
      <c r="R79" s="176">
        <v>46228.35732638889</v>
      </c>
      <c r="AK79" s="354" t="s">
        <v>650</v>
      </c>
      <c r="AL79" s="354">
        <v>2026</v>
      </c>
      <c r="AM79" s="354" t="str">
        <f t="shared" si="2"/>
        <v>August2026</v>
      </c>
    </row>
    <row r="80" spans="1:39" x14ac:dyDescent="0.3">
      <c r="A80" s="176">
        <v>111</v>
      </c>
      <c r="B80" s="176">
        <v>2210</v>
      </c>
      <c r="C80" s="176" t="str">
        <v>22-07-2026</v>
      </c>
      <c r="D80" s="176">
        <v>0</v>
      </c>
      <c r="E80" s="176" t="str">
        <v>FAN</v>
      </c>
      <c r="F80" s="176" t="str">
        <v>MEP</v>
      </c>
      <c r="G80" s="176">
        <v>3102010013</v>
      </c>
      <c r="H80" s="176" t="str">
        <v>5/32 Inch, 9mm Screw</v>
      </c>
      <c r="I80" s="176" t="str">
        <v>KG</v>
      </c>
      <c r="J80" s="176">
        <v>150</v>
      </c>
      <c r="K80" s="176">
        <v>26250</v>
      </c>
      <c r="L80" s="176">
        <v>0</v>
      </c>
      <c r="M80" s="176">
        <v>0</v>
      </c>
      <c r="N80" s="176">
        <v>150</v>
      </c>
      <c r="O80" s="176">
        <v>26250</v>
      </c>
      <c r="P80" s="176" t="str">
        <v>PENDING</v>
      </c>
      <c r="Q80" s="176">
        <v>144</v>
      </c>
      <c r="R80" s="176">
        <v>46228.357083333336</v>
      </c>
      <c r="AK80" s="354" t="s">
        <v>650</v>
      </c>
      <c r="AL80" s="354">
        <v>2026</v>
      </c>
      <c r="AM80" s="354" t="str">
        <f t="shared" si="2"/>
        <v>August2026</v>
      </c>
    </row>
    <row r="81" spans="1:39" x14ac:dyDescent="0.3">
      <c r="A81" s="176">
        <v>115</v>
      </c>
      <c r="B81" s="176">
        <v>2211</v>
      </c>
      <c r="C81" s="176" t="str">
        <v>22-07-2026</v>
      </c>
      <c r="D81" s="176">
        <v>1.53751552715472E+44</v>
      </c>
      <c r="E81" s="176" t="str">
        <v>FAN</v>
      </c>
      <c r="F81" s="176" t="str">
        <v>MEP</v>
      </c>
      <c r="G81" s="176">
        <v>3202010010</v>
      </c>
      <c r="H81" s="176" t="str">
        <v>Exhaust Fan Base (10``)</v>
      </c>
      <c r="I81" s="176" t="str">
        <v>Pcs</v>
      </c>
      <c r="J81" s="176">
        <v>11000</v>
      </c>
      <c r="K81" s="176">
        <v>814000</v>
      </c>
      <c r="L81" s="176">
        <v>9351</v>
      </c>
      <c r="M81" s="176">
        <v>691974</v>
      </c>
      <c r="N81" s="176">
        <v>1649</v>
      </c>
      <c r="O81" s="176">
        <v>122026</v>
      </c>
      <c r="P81" s="176" t="str">
        <v>PENDING</v>
      </c>
      <c r="Q81" s="176">
        <v>144</v>
      </c>
      <c r="R81" s="176">
        <v>46228.357233796298</v>
      </c>
      <c r="AK81" s="354" t="s">
        <v>650</v>
      </c>
      <c r="AL81" s="354">
        <v>2026</v>
      </c>
      <c r="AM81" s="354" t="str">
        <f t="shared" si="2"/>
        <v>August2026</v>
      </c>
    </row>
    <row r="82" spans="1:39" x14ac:dyDescent="0.3">
      <c r="A82" s="176">
        <v>119</v>
      </c>
      <c r="B82" s="176">
        <v>2211</v>
      </c>
      <c r="C82" s="176" t="str">
        <v>22-07-2026</v>
      </c>
      <c r="D82" s="176">
        <v>158631591415901</v>
      </c>
      <c r="E82" s="176" t="str">
        <v>FAN</v>
      </c>
      <c r="F82" s="176" t="str">
        <v>MEP</v>
      </c>
      <c r="G82" s="176">
        <v>3202010011</v>
      </c>
      <c r="H82" s="176" t="str">
        <v>Exhaust Fan Cover (10``)</v>
      </c>
      <c r="I82" s="176" t="str">
        <v>Pcs</v>
      </c>
      <c r="J82" s="176">
        <v>11000</v>
      </c>
      <c r="K82" s="176">
        <v>550000</v>
      </c>
      <c r="L82" s="176">
        <v>3750</v>
      </c>
      <c r="M82" s="176">
        <v>187500</v>
      </c>
      <c r="N82" s="176">
        <v>7250</v>
      </c>
      <c r="O82" s="176">
        <v>362500</v>
      </c>
      <c r="P82" s="176" t="str">
        <v>PENDING</v>
      </c>
      <c r="Q82" s="176">
        <v>144</v>
      </c>
      <c r="R82" s="176">
        <v>46228.357233796298</v>
      </c>
      <c r="AK82" s="354" t="s">
        <v>650</v>
      </c>
      <c r="AL82" s="354">
        <v>2026</v>
      </c>
      <c r="AM82" s="354" t="str">
        <f t="shared" si="2"/>
        <v>August2026</v>
      </c>
    </row>
    <row r="83" spans="1:39" x14ac:dyDescent="0.3">
      <c r="A83" s="176">
        <v>123</v>
      </c>
      <c r="B83" s="176">
        <v>2211</v>
      </c>
      <c r="C83" s="176" t="str">
        <v>22-07-2026</v>
      </c>
      <c r="D83" s="176">
        <v>1.53751591415901E+24</v>
      </c>
      <c r="E83" s="176" t="str">
        <v>FAN</v>
      </c>
      <c r="F83" s="176" t="str">
        <v>MEP</v>
      </c>
      <c r="G83" s="176">
        <v>3202010012</v>
      </c>
      <c r="H83" s="176" t="str">
        <v>Exhaust Fan Side Stand (10``)</v>
      </c>
      <c r="I83" s="176" t="str">
        <v>Pcs</v>
      </c>
      <c r="J83" s="176">
        <v>11000</v>
      </c>
      <c r="K83" s="176">
        <v>119728.7</v>
      </c>
      <c r="L83" s="176">
        <v>9437</v>
      </c>
      <c r="M83" s="176">
        <v>102716.34</v>
      </c>
      <c r="N83" s="176">
        <v>1563</v>
      </c>
      <c r="O83" s="176">
        <v>17012.36</v>
      </c>
      <c r="P83" s="176" t="str">
        <v>PENDING</v>
      </c>
      <c r="Q83" s="176">
        <v>144</v>
      </c>
      <c r="R83" s="176">
        <v>46228.357233796298</v>
      </c>
      <c r="AK83" s="354" t="s">
        <v>650</v>
      </c>
      <c r="AL83" s="354">
        <v>2026</v>
      </c>
      <c r="AM83" s="354" t="str">
        <f t="shared" si="2"/>
        <v>August2026</v>
      </c>
    </row>
    <row r="84" spans="1:39" x14ac:dyDescent="0.3">
      <c r="A84" s="176">
        <v>127</v>
      </c>
      <c r="B84" s="176">
        <v>2211</v>
      </c>
      <c r="C84" s="176" t="str">
        <v>22-07-2026</v>
      </c>
      <c r="D84" s="176">
        <v>154241546115581</v>
      </c>
      <c r="E84" s="176" t="str">
        <v>FAN</v>
      </c>
      <c r="F84" s="176" t="str">
        <v>MEP</v>
      </c>
      <c r="G84" s="176">
        <v>3202010013</v>
      </c>
      <c r="H84" s="176" t="str">
        <v>Exhaust Fan Shutter (10``)</v>
      </c>
      <c r="I84" s="176" t="str">
        <v>Pcs</v>
      </c>
      <c r="J84" s="176">
        <v>33000</v>
      </c>
      <c r="K84" s="176">
        <v>221243.48</v>
      </c>
      <c r="L84" s="176">
        <v>6965</v>
      </c>
      <c r="M84" s="176">
        <v>46695.78</v>
      </c>
      <c r="N84" s="176">
        <v>26035</v>
      </c>
      <c r="O84" s="176">
        <v>174547.69</v>
      </c>
      <c r="P84" s="176" t="str">
        <v>PENDING</v>
      </c>
      <c r="Q84" s="176">
        <v>144</v>
      </c>
      <c r="R84" s="176">
        <v>46228.357233796298</v>
      </c>
      <c r="AK84" s="354" t="s">
        <v>650</v>
      </c>
      <c r="AL84" s="354">
        <v>2026</v>
      </c>
      <c r="AM84" s="354" t="str">
        <f t="shared" si="2"/>
        <v>August2026</v>
      </c>
    </row>
    <row r="85" spans="1:39" x14ac:dyDescent="0.3">
      <c r="A85" s="176">
        <v>131</v>
      </c>
      <c r="B85" s="176">
        <v>2211</v>
      </c>
      <c r="C85" s="176" t="str">
        <v>22-07-2026</v>
      </c>
      <c r="D85" s="176">
        <v>154721550415527</v>
      </c>
      <c r="E85" s="176" t="str">
        <v>FAN</v>
      </c>
      <c r="F85" s="176" t="str">
        <v>MEP</v>
      </c>
      <c r="G85" s="176">
        <v>3202010014</v>
      </c>
      <c r="H85" s="176" t="str">
        <v>Exhaust Fan Stick (10``)</v>
      </c>
      <c r="I85" s="176" t="str">
        <v>Pcs</v>
      </c>
      <c r="J85" s="176">
        <v>11000</v>
      </c>
      <c r="K85" s="176">
        <v>14826</v>
      </c>
      <c r="L85" s="176">
        <v>11000</v>
      </c>
      <c r="M85" s="176">
        <v>14826</v>
      </c>
      <c r="N85" s="176">
        <v>0</v>
      </c>
      <c r="O85" s="176">
        <v>0</v>
      </c>
      <c r="P85" s="176" t="str">
        <v>PENDING</v>
      </c>
      <c r="Q85" s="176">
        <v>144</v>
      </c>
      <c r="R85" s="176">
        <v>46228.357233796298</v>
      </c>
      <c r="AK85" s="354" t="s">
        <v>650</v>
      </c>
      <c r="AL85" s="354">
        <v>2026</v>
      </c>
      <c r="AM85" s="354" t="str">
        <f t="shared" si="2"/>
        <v>August2026</v>
      </c>
    </row>
    <row r="86" spans="1:39" x14ac:dyDescent="0.3">
      <c r="A86" s="176">
        <v>135</v>
      </c>
      <c r="B86" s="176">
        <v>2211</v>
      </c>
      <c r="C86" s="176" t="str">
        <v>22-07-2026</v>
      </c>
      <c r="D86" s="176">
        <v>155041552715799</v>
      </c>
      <c r="E86" s="176" t="str">
        <v>FAN</v>
      </c>
      <c r="F86" s="176" t="str">
        <v>MEP</v>
      </c>
      <c r="G86" s="176">
        <v>3202010017</v>
      </c>
      <c r="H86" s="176" t="str">
        <v>Exhaust Fan Blade (10``)</v>
      </c>
      <c r="I86" s="176" t="str">
        <v>Pcs</v>
      </c>
      <c r="J86" s="176">
        <v>11000</v>
      </c>
      <c r="K86" s="176">
        <v>176000</v>
      </c>
      <c r="L86" s="176">
        <v>5963</v>
      </c>
      <c r="M86" s="176">
        <v>95408</v>
      </c>
      <c r="N86" s="176">
        <v>5037</v>
      </c>
      <c r="O86" s="176">
        <v>80592</v>
      </c>
      <c r="P86" s="176" t="str">
        <v>PENDING</v>
      </c>
      <c r="Q86" s="176">
        <v>144</v>
      </c>
      <c r="R86" s="176">
        <v>46228.357233796298</v>
      </c>
      <c r="AK86" s="354" t="s">
        <v>650</v>
      </c>
      <c r="AL86" s="354">
        <v>2026</v>
      </c>
      <c r="AM86" s="354" t="str">
        <f t="shared" si="2"/>
        <v>August2026</v>
      </c>
    </row>
    <row r="87" spans="1:39" x14ac:dyDescent="0.3">
      <c r="A87" s="176">
        <v>139</v>
      </c>
      <c r="B87" s="176">
        <v>2210</v>
      </c>
      <c r="C87" s="176" t="str">
        <v>22-07-2026</v>
      </c>
      <c r="D87" s="176">
        <v>1.5406155431545899E+24</v>
      </c>
      <c r="E87" s="176" t="str">
        <v>FAN</v>
      </c>
      <c r="F87" s="176" t="str">
        <v>MEP</v>
      </c>
      <c r="G87" s="176">
        <v>3102010010</v>
      </c>
      <c r="H87" s="176" t="str">
        <v>Exhaust Fan Spring (FAN)</v>
      </c>
      <c r="I87" s="176" t="str">
        <v>KG</v>
      </c>
      <c r="J87" s="176">
        <v>50</v>
      </c>
      <c r="K87" s="176">
        <v>8750</v>
      </c>
      <c r="L87" s="176">
        <v>8.6</v>
      </c>
      <c r="M87" s="176">
        <v>1505</v>
      </c>
      <c r="N87" s="176">
        <v>41.4</v>
      </c>
      <c r="O87" s="176">
        <v>7245</v>
      </c>
      <c r="P87" s="176" t="str">
        <v>PENDING</v>
      </c>
      <c r="Q87" s="176">
        <v>144</v>
      </c>
      <c r="R87" s="176">
        <v>46228.357083333336</v>
      </c>
      <c r="AK87" s="354" t="s">
        <v>650</v>
      </c>
      <c r="AL87" s="354">
        <v>2026</v>
      </c>
      <c r="AM87" s="354" t="str">
        <f t="shared" si="2"/>
        <v>August2026</v>
      </c>
    </row>
    <row r="88" spans="1:39" x14ac:dyDescent="0.3">
      <c r="A88" s="176">
        <v>142</v>
      </c>
      <c r="B88" s="176">
        <v>2211</v>
      </c>
      <c r="C88" s="176" t="str">
        <v>22-07-2026</v>
      </c>
      <c r="D88" s="176">
        <v>15640</v>
      </c>
      <c r="E88" s="176" t="str">
        <v>FAN</v>
      </c>
      <c r="F88" s="176" t="str">
        <v>MEP</v>
      </c>
      <c r="G88" s="176">
        <v>3102010019</v>
      </c>
      <c r="H88" s="176" t="str">
        <v>MEP Cable Tie -3.5x150mm</v>
      </c>
      <c r="I88" s="176" t="str">
        <v>Pcs</v>
      </c>
      <c r="J88" s="176">
        <v>16000</v>
      </c>
      <c r="K88" s="176">
        <v>4034.78</v>
      </c>
      <c r="L88" s="176">
        <v>16000</v>
      </c>
      <c r="M88" s="176">
        <v>4034.78</v>
      </c>
      <c r="N88" s="176">
        <v>0</v>
      </c>
      <c r="O88" s="176">
        <v>0</v>
      </c>
      <c r="P88" s="176" t="str">
        <v>PENDING</v>
      </c>
      <c r="Q88" s="176">
        <v>144</v>
      </c>
      <c r="R88" s="176">
        <v>46228.357233796298</v>
      </c>
      <c r="AK88" s="354" t="s">
        <v>650</v>
      </c>
      <c r="AL88" s="354">
        <v>2026</v>
      </c>
      <c r="AM88" s="354" t="str">
        <f t="shared" si="2"/>
        <v>August2026</v>
      </c>
    </row>
    <row r="89" spans="1:39" x14ac:dyDescent="0.3">
      <c r="A89" s="176">
        <v>144</v>
      </c>
      <c r="B89" s="176">
        <v>2216</v>
      </c>
      <c r="C89" s="176" t="str">
        <v>23-07-2026</v>
      </c>
      <c r="D89" s="176">
        <v>0</v>
      </c>
      <c r="E89" s="176" t="str">
        <v>FAN</v>
      </c>
      <c r="F89" s="176" t="str">
        <v>MEP</v>
      </c>
      <c r="G89" s="176">
        <v>700100023</v>
      </c>
      <c r="H89" s="176" t="str">
        <v>MS Rivet Armature (FAN)</v>
      </c>
      <c r="I89" s="176" t="str">
        <v>KG</v>
      </c>
      <c r="J89" s="176">
        <v>50</v>
      </c>
      <c r="K89" s="176">
        <v>8750</v>
      </c>
      <c r="L89" s="176">
        <v>0</v>
      </c>
      <c r="M89" s="176">
        <v>0</v>
      </c>
      <c r="N89" s="176">
        <v>50</v>
      </c>
      <c r="O89" s="176">
        <v>8750</v>
      </c>
      <c r="P89" s="176" t="str">
        <v>CHECKED</v>
      </c>
      <c r="Q89" s="176">
        <v>144</v>
      </c>
      <c r="R89" s="176">
        <v>46229.679432870369</v>
      </c>
      <c r="AK89" s="354" t="s">
        <v>650</v>
      </c>
      <c r="AL89" s="354">
        <v>2026</v>
      </c>
      <c r="AM89" s="354" t="str">
        <f t="shared" si="2"/>
        <v>August2026</v>
      </c>
    </row>
    <row r="90" spans="1:39" ht="15.75" customHeight="1" thickBot="1" x14ac:dyDescent="0.35">
      <c r="AK90" s="354"/>
      <c r="AL90" s="354"/>
      <c r="AM90" s="354"/>
    </row>
    <row r="91" spans="1:39" x14ac:dyDescent="0.3">
      <c r="B91" s="376" t="s">
        <v>684</v>
      </c>
      <c r="C91" s="377">
        <v>46254</v>
      </c>
      <c r="D91" s="378">
        <v>46284</v>
      </c>
      <c r="AK91" s="354" t="s">
        <v>650</v>
      </c>
      <c r="AL91" s="354">
        <v>2026</v>
      </c>
      <c r="AM91" s="354" t="str">
        <f t="shared" ref="AM91:AM122" si="3">AK91&amp;AL91</f>
        <v>August2026</v>
      </c>
    </row>
    <row r="92" spans="1:39" x14ac:dyDescent="0.3">
      <c r="A92" s="176">
        <f t="array" ref="A92:R180">IFERROR(_xlfn.VSTACK(_xlfn._xlws.FILTER('BSIC Entry'!A12:R1030,('BSIC Entry'!AA12:AA1030&gt;=C91)*('BSIC Entry'!AA12:AA1030&lt;=D91),""),_xlfn._xlws.FILTER('Plastic Entry'!A12:R1030,('Plastic Entry'!AA12:AA1030&gt;=C91)*('Plastic Entry'!AA12:AA1030&lt;=D91),"")),"No Data")</f>
        <v>4</v>
      </c>
      <c r="B92" s="176">
        <v>2282</v>
      </c>
      <c r="C92" s="176" t="str">
        <v>20-08-2026</v>
      </c>
      <c r="D92" s="176">
        <v>0</v>
      </c>
      <c r="E92" s="176" t="str">
        <v>FAN</v>
      </c>
      <c r="F92" s="176" t="str">
        <v>Printing and Packaging</v>
      </c>
      <c r="G92" s="176">
        <v>3202010001</v>
      </c>
      <c r="H92" s="176" t="str">
        <v>HDPE Poly (L=22``, W=18``, T=0.025mm)</v>
      </c>
      <c r="I92" s="176" t="str">
        <v>KG</v>
      </c>
      <c r="J92" s="176">
        <v>0</v>
      </c>
      <c r="K92" s="176">
        <v>0</v>
      </c>
      <c r="L92" s="176">
        <v>0</v>
      </c>
      <c r="M92" s="176">
        <v>0</v>
      </c>
      <c r="N92" s="176">
        <v>0</v>
      </c>
      <c r="O92" s="176">
        <v>0</v>
      </c>
      <c r="P92" s="176" t="str">
        <v>CHECKED</v>
      </c>
      <c r="Q92" s="176">
        <v>144</v>
      </c>
      <c r="R92" s="176">
        <v>46260.681643518517</v>
      </c>
      <c r="AK92" s="354" t="s">
        <v>660</v>
      </c>
      <c r="AL92" s="354">
        <v>2026</v>
      </c>
      <c r="AM92" s="354" t="str">
        <f t="shared" si="3"/>
        <v>September2026</v>
      </c>
    </row>
    <row r="93" spans="1:39" x14ac:dyDescent="0.3">
      <c r="A93" s="176">
        <v>11</v>
      </c>
      <c r="B93" s="176">
        <v>2282</v>
      </c>
      <c r="C93" s="176" t="str">
        <v>20-08-2026</v>
      </c>
      <c r="D93" s="176">
        <v>0</v>
      </c>
      <c r="E93" s="176" t="str">
        <v>FAN</v>
      </c>
      <c r="F93" s="176" t="str">
        <v>Printing and Packaging</v>
      </c>
      <c r="G93" s="176">
        <v>3202010008</v>
      </c>
      <c r="H93" s="176" t="str">
        <v>HDPE Poly (L=24``, W=20``, T=0.025mm)</v>
      </c>
      <c r="I93" s="176" t="str">
        <v>KG</v>
      </c>
      <c r="J93" s="176">
        <v>150</v>
      </c>
      <c r="K93" s="176">
        <v>43296.01</v>
      </c>
      <c r="L93" s="176">
        <v>0</v>
      </c>
      <c r="M93" s="176">
        <v>0</v>
      </c>
      <c r="N93" s="176">
        <v>150</v>
      </c>
      <c r="O93" s="176">
        <v>43296.01</v>
      </c>
      <c r="P93" s="176" t="str">
        <v>CHECKED</v>
      </c>
      <c r="Q93" s="176">
        <v>144</v>
      </c>
      <c r="R93" s="176">
        <v>46260.681643518517</v>
      </c>
      <c r="AK93" s="354" t="s">
        <v>660</v>
      </c>
      <c r="AL93" s="354">
        <v>2026</v>
      </c>
      <c r="AM93" s="354" t="str">
        <f t="shared" si="3"/>
        <v>September2026</v>
      </c>
    </row>
    <row r="94" spans="1:39" x14ac:dyDescent="0.3">
      <c r="A94" s="176">
        <v>23</v>
      </c>
      <c r="B94" s="176">
        <v>2283</v>
      </c>
      <c r="C94" s="176" t="str">
        <v>20-08-2026</v>
      </c>
      <c r="D94" s="176">
        <v>0</v>
      </c>
      <c r="E94" s="176" t="str">
        <v>FAN</v>
      </c>
      <c r="F94" s="176" t="str">
        <v>Printing and Packaging</v>
      </c>
      <c r="G94" s="176">
        <v>3201010002</v>
      </c>
      <c r="H94" s="176" t="str">
        <v>FAN Shank Paper</v>
      </c>
      <c r="I94" s="176" t="str">
        <v>Pcs</v>
      </c>
      <c r="J94" s="176">
        <v>129780</v>
      </c>
      <c r="K94" s="176">
        <v>199052.04</v>
      </c>
      <c r="L94" s="176">
        <v>0</v>
      </c>
      <c r="M94" s="176">
        <v>0</v>
      </c>
      <c r="N94" s="176">
        <v>129780</v>
      </c>
      <c r="O94" s="176">
        <v>199052.04</v>
      </c>
      <c r="P94" s="176" t="str">
        <v>CHECKED</v>
      </c>
      <c r="Q94" s="176">
        <v>144</v>
      </c>
      <c r="R94" s="176">
        <v>46260.690868055557</v>
      </c>
      <c r="AK94" s="354" t="s">
        <v>660</v>
      </c>
      <c r="AL94" s="354">
        <v>2026</v>
      </c>
      <c r="AM94" s="354" t="str">
        <f t="shared" si="3"/>
        <v>September2026</v>
      </c>
    </row>
    <row r="95" spans="1:39" x14ac:dyDescent="0.3">
      <c r="A95" s="176">
        <v>26</v>
      </c>
      <c r="B95" s="176">
        <v>2283</v>
      </c>
      <c r="C95" s="176" t="str">
        <v>20-08-2026</v>
      </c>
      <c r="D95" s="176">
        <v>0</v>
      </c>
      <c r="E95" s="176" t="str">
        <v>FAN</v>
      </c>
      <c r="F95" s="176" t="str">
        <v>Printing and Packaging</v>
      </c>
      <c r="G95" s="176">
        <v>3201010006</v>
      </c>
      <c r="H95" s="176" t="str">
        <v>Body Sticker Speed King</v>
      </c>
      <c r="I95" s="176" t="str">
        <v>Pcs</v>
      </c>
      <c r="J95" s="176">
        <v>10500</v>
      </c>
      <c r="K95" s="176">
        <v>3152.5</v>
      </c>
      <c r="L95" s="176">
        <v>0</v>
      </c>
      <c r="M95" s="176">
        <v>0</v>
      </c>
      <c r="N95" s="176">
        <v>10500</v>
      </c>
      <c r="O95" s="176">
        <v>3152.5</v>
      </c>
      <c r="P95" s="176" t="str">
        <v>CHECKED</v>
      </c>
      <c r="Q95" s="176">
        <v>144</v>
      </c>
      <c r="R95" s="176">
        <v>46260.690868055557</v>
      </c>
      <c r="AK95" s="354" t="s">
        <v>660</v>
      </c>
      <c r="AL95" s="354">
        <v>2026</v>
      </c>
      <c r="AM95" s="354" t="str">
        <f t="shared" si="3"/>
        <v>September2026</v>
      </c>
    </row>
    <row r="96" spans="1:39" x14ac:dyDescent="0.3">
      <c r="A96" s="176">
        <v>29</v>
      </c>
      <c r="B96" s="176">
        <v>2283</v>
      </c>
      <c r="C96" s="176" t="str">
        <v>20-08-2026</v>
      </c>
      <c r="D96" s="176">
        <v>0</v>
      </c>
      <c r="E96" s="176" t="str">
        <v>FAN</v>
      </c>
      <c r="F96" s="176" t="str">
        <v>Printing and Packaging</v>
      </c>
      <c r="G96" s="176">
        <v>3201010008</v>
      </c>
      <c r="H96" s="176" t="str">
        <v>Body Sticker-3601</v>
      </c>
      <c r="I96" s="176" t="str">
        <v>Pcs</v>
      </c>
      <c r="J96" s="176">
        <v>5000</v>
      </c>
      <c r="K96" s="176">
        <v>1453.25</v>
      </c>
      <c r="L96" s="176">
        <v>0</v>
      </c>
      <c r="M96" s="176">
        <v>0</v>
      </c>
      <c r="N96" s="176">
        <v>5000</v>
      </c>
      <c r="O96" s="176">
        <v>1453.25</v>
      </c>
      <c r="P96" s="176" t="str">
        <v>CHECKED</v>
      </c>
      <c r="Q96" s="176">
        <v>144</v>
      </c>
      <c r="R96" s="176">
        <v>46260.690868055557</v>
      </c>
      <c r="AK96" s="354" t="s">
        <v>660</v>
      </c>
      <c r="AL96" s="354">
        <v>2026</v>
      </c>
      <c r="AM96" s="354" t="str">
        <f t="shared" si="3"/>
        <v>September2026</v>
      </c>
    </row>
    <row r="97" spans="1:39" x14ac:dyDescent="0.3">
      <c r="A97" s="176">
        <v>34</v>
      </c>
      <c r="B97" s="176">
        <v>2283</v>
      </c>
      <c r="C97" s="176" t="str">
        <v>20-08-2026</v>
      </c>
      <c r="D97" s="176">
        <v>0</v>
      </c>
      <c r="E97" s="176" t="str">
        <v>FAN</v>
      </c>
      <c r="F97" s="176" t="str">
        <v>Printing and Packaging</v>
      </c>
      <c r="G97" s="176">
        <v>3201010010</v>
      </c>
      <c r="H97" s="176" t="str">
        <v>Fan Canopy Sticker</v>
      </c>
      <c r="I97" s="176" t="str">
        <v>Pcs</v>
      </c>
      <c r="J97" s="176">
        <v>60000</v>
      </c>
      <c r="K97" s="176">
        <v>29486.1</v>
      </c>
      <c r="L97" s="176">
        <v>0</v>
      </c>
      <c r="M97" s="176">
        <v>0</v>
      </c>
      <c r="N97" s="176">
        <v>60000</v>
      </c>
      <c r="O97" s="176">
        <v>29486.1</v>
      </c>
      <c r="P97" s="176" t="str">
        <v>CHECKED</v>
      </c>
      <c r="Q97" s="176">
        <v>144</v>
      </c>
      <c r="R97" s="176">
        <v>46260.690868055557</v>
      </c>
      <c r="AK97" s="354" t="s">
        <v>660</v>
      </c>
      <c r="AL97" s="354">
        <v>2026</v>
      </c>
      <c r="AM97" s="354" t="str">
        <f t="shared" si="3"/>
        <v>September2026</v>
      </c>
    </row>
    <row r="98" spans="1:39" x14ac:dyDescent="0.3">
      <c r="A98" s="176">
        <v>35</v>
      </c>
      <c r="B98" s="176">
        <v>2283</v>
      </c>
      <c r="C98" s="176" t="str">
        <v>20-08-2026</v>
      </c>
      <c r="D98" s="176">
        <v>0</v>
      </c>
      <c r="E98" s="176" t="str">
        <v>FAN</v>
      </c>
      <c r="F98" s="176" t="str">
        <v>Printing and Packaging</v>
      </c>
      <c r="G98" s="176">
        <v>3201010011</v>
      </c>
      <c r="H98" s="176" t="str">
        <v>Canopy Sticker Speed King</v>
      </c>
      <c r="I98" s="176" t="str">
        <v>Pcs</v>
      </c>
      <c r="J98" s="176">
        <v>20000</v>
      </c>
      <c r="K98" s="176">
        <v>8769.68</v>
      </c>
      <c r="L98" s="176">
        <v>0</v>
      </c>
      <c r="M98" s="176">
        <v>0</v>
      </c>
      <c r="N98" s="176">
        <v>20000</v>
      </c>
      <c r="O98" s="176">
        <v>8769.68</v>
      </c>
      <c r="P98" s="176" t="str">
        <v>CHECKED</v>
      </c>
      <c r="Q98" s="176">
        <v>144</v>
      </c>
      <c r="R98" s="176">
        <v>46260.690868055557</v>
      </c>
      <c r="AK98" s="354" t="s">
        <v>660</v>
      </c>
      <c r="AL98" s="354">
        <v>2026</v>
      </c>
      <c r="AM98" s="354" t="str">
        <f t="shared" si="3"/>
        <v>September2026</v>
      </c>
    </row>
    <row r="99" spans="1:39" x14ac:dyDescent="0.3">
      <c r="A99" s="176">
        <v>38</v>
      </c>
      <c r="B99" s="176">
        <v>2283</v>
      </c>
      <c r="C99" s="176" t="str">
        <v>20-08-2026</v>
      </c>
      <c r="D99" s="176">
        <v>0</v>
      </c>
      <c r="E99" s="176" t="str">
        <v>FAN</v>
      </c>
      <c r="F99" s="176" t="str">
        <v>Printing and Packaging</v>
      </c>
      <c r="G99" s="176">
        <v>3201010013</v>
      </c>
      <c r="H99" s="176" t="str">
        <v>Fan Down Pipe Sticker</v>
      </c>
      <c r="I99" s="176" t="str">
        <v>Pcs</v>
      </c>
      <c r="J99" s="176">
        <v>21000</v>
      </c>
      <c r="K99" s="176">
        <v>7852.18</v>
      </c>
      <c r="L99" s="176">
        <v>0</v>
      </c>
      <c r="M99" s="176">
        <v>0</v>
      </c>
      <c r="N99" s="176">
        <v>21000</v>
      </c>
      <c r="O99" s="176">
        <v>7852.18</v>
      </c>
      <c r="P99" s="176" t="str">
        <v>CHECKED</v>
      </c>
      <c r="Q99" s="176">
        <v>144</v>
      </c>
      <c r="R99" s="176">
        <v>46260.690868055557</v>
      </c>
      <c r="AK99" s="354" t="s">
        <v>660</v>
      </c>
      <c r="AL99" s="354">
        <v>2026</v>
      </c>
      <c r="AM99" s="354" t="str">
        <f t="shared" si="3"/>
        <v>September2026</v>
      </c>
    </row>
    <row r="100" spans="1:39" x14ac:dyDescent="0.3">
      <c r="A100" s="176">
        <v>44</v>
      </c>
      <c r="B100" s="176">
        <v>2282</v>
      </c>
      <c r="C100" s="176" t="str">
        <v>20-08-2026</v>
      </c>
      <c r="D100" s="176">
        <v>0</v>
      </c>
      <c r="E100" s="176" t="str">
        <v>FAN</v>
      </c>
      <c r="F100" s="176" t="str">
        <v>Printing and Packaging</v>
      </c>
      <c r="G100" s="176">
        <v>3201010014</v>
      </c>
      <c r="H100" s="176" t="str">
        <v>Fan QC Sticker</v>
      </c>
      <c r="I100" s="176" t="str">
        <v>Pcs</v>
      </c>
      <c r="J100" s="176">
        <v>0</v>
      </c>
      <c r="K100" s="176">
        <v>0</v>
      </c>
      <c r="L100" s="176">
        <v>0</v>
      </c>
      <c r="M100" s="176">
        <v>0</v>
      </c>
      <c r="N100" s="176">
        <v>0</v>
      </c>
      <c r="O100" s="176">
        <v>0</v>
      </c>
      <c r="P100" s="176" t="str">
        <v>CHECKED</v>
      </c>
      <c r="Q100" s="176">
        <v>144</v>
      </c>
      <c r="R100" s="176">
        <v>46260.681643518517</v>
      </c>
      <c r="AK100" s="354" t="s">
        <v>660</v>
      </c>
      <c r="AL100" s="354">
        <v>2026</v>
      </c>
      <c r="AM100" s="354" t="str">
        <f t="shared" si="3"/>
        <v>September2026</v>
      </c>
    </row>
    <row r="101" spans="1:39" x14ac:dyDescent="0.3">
      <c r="A101" s="176">
        <v>45</v>
      </c>
      <c r="B101" s="176">
        <v>2283</v>
      </c>
      <c r="C101" s="176" t="str">
        <v>20-08-2026</v>
      </c>
      <c r="D101" s="176">
        <v>0</v>
      </c>
      <c r="E101" s="176" t="str">
        <v>FAN</v>
      </c>
      <c r="F101" s="176" t="str">
        <v>Printing and Packaging</v>
      </c>
      <c r="G101" s="176">
        <v>3201010014</v>
      </c>
      <c r="H101" s="176" t="str">
        <v>Fan QC Sticker</v>
      </c>
      <c r="I101" s="176" t="str">
        <v>Pcs</v>
      </c>
      <c r="J101" s="176">
        <v>43000</v>
      </c>
      <c r="K101" s="176">
        <v>9702.23</v>
      </c>
      <c r="L101" s="176">
        <v>0</v>
      </c>
      <c r="M101" s="176">
        <v>0</v>
      </c>
      <c r="N101" s="176">
        <v>43000</v>
      </c>
      <c r="O101" s="176">
        <v>9702.23</v>
      </c>
      <c r="P101" s="176" t="str">
        <v>CHECKED</v>
      </c>
      <c r="Q101" s="176">
        <v>144</v>
      </c>
      <c r="R101" s="176">
        <v>46260.690868055557</v>
      </c>
      <c r="AK101" s="354" t="s">
        <v>660</v>
      </c>
      <c r="AL101" s="354">
        <v>2026</v>
      </c>
      <c r="AM101" s="354" t="str">
        <f t="shared" si="3"/>
        <v>September2026</v>
      </c>
    </row>
    <row r="102" spans="1:39" x14ac:dyDescent="0.3">
      <c r="A102" s="176">
        <v>48</v>
      </c>
      <c r="B102" s="176">
        <v>2283</v>
      </c>
      <c r="C102" s="176" t="str">
        <v>20-08-2026</v>
      </c>
      <c r="D102" s="176">
        <v>0</v>
      </c>
      <c r="E102" s="176" t="str">
        <v>FAN</v>
      </c>
      <c r="F102" s="176" t="str">
        <v>Printing and Packaging</v>
      </c>
      <c r="G102" s="176">
        <v>3201010015</v>
      </c>
      <c r="H102" s="176" t="str">
        <v>Guarantee Card -5601</v>
      </c>
      <c r="I102" s="176" t="str">
        <v>Pcs</v>
      </c>
      <c r="J102" s="176">
        <v>21210</v>
      </c>
      <c r="K102" s="176">
        <v>31002.2</v>
      </c>
      <c r="L102" s="176">
        <v>0</v>
      </c>
      <c r="M102" s="176">
        <v>0</v>
      </c>
      <c r="N102" s="176">
        <v>21210</v>
      </c>
      <c r="O102" s="176">
        <v>31002.2</v>
      </c>
      <c r="P102" s="176" t="str">
        <v>CHECKED</v>
      </c>
      <c r="Q102" s="176">
        <v>144</v>
      </c>
      <c r="R102" s="176">
        <v>46260.690868055557</v>
      </c>
      <c r="AK102" s="354" t="s">
        <v>660</v>
      </c>
      <c r="AL102" s="354">
        <v>2026</v>
      </c>
      <c r="AM102" s="354" t="str">
        <f t="shared" si="3"/>
        <v>September2026</v>
      </c>
    </row>
    <row r="103" spans="1:39" x14ac:dyDescent="0.3">
      <c r="A103" s="176">
        <v>50</v>
      </c>
      <c r="B103" s="176">
        <v>2283</v>
      </c>
      <c r="C103" s="176" t="str">
        <v>20-08-2026</v>
      </c>
      <c r="D103" s="176">
        <v>0</v>
      </c>
      <c r="E103" s="176" t="str">
        <v>FAN</v>
      </c>
      <c r="F103" s="176" t="str">
        <v>Printing and Packaging</v>
      </c>
      <c r="G103" s="176">
        <v>3201010017</v>
      </c>
      <c r="H103" s="176" t="str">
        <v>Guarantee Card Speed King</v>
      </c>
      <c r="I103" s="176" t="str">
        <v>Pcs</v>
      </c>
      <c r="J103" s="176">
        <v>10500</v>
      </c>
      <c r="K103" s="176">
        <v>23464.27</v>
      </c>
      <c r="L103" s="176">
        <v>0</v>
      </c>
      <c r="M103" s="176">
        <v>0</v>
      </c>
      <c r="N103" s="176">
        <v>10500</v>
      </c>
      <c r="O103" s="176">
        <v>23464.27</v>
      </c>
      <c r="P103" s="176" t="str">
        <v>CHECKED</v>
      </c>
      <c r="Q103" s="176">
        <v>144</v>
      </c>
      <c r="R103" s="176">
        <v>46260.690868055557</v>
      </c>
      <c r="AK103" s="354" t="s">
        <v>660</v>
      </c>
      <c r="AL103" s="354">
        <v>2026</v>
      </c>
      <c r="AM103" s="354" t="str">
        <f t="shared" si="3"/>
        <v>September2026</v>
      </c>
    </row>
    <row r="104" spans="1:39" x14ac:dyDescent="0.3">
      <c r="A104" s="176">
        <v>53</v>
      </c>
      <c r="B104" s="176">
        <v>2283</v>
      </c>
      <c r="C104" s="176" t="str">
        <v>20-08-2026</v>
      </c>
      <c r="D104" s="176">
        <v>0</v>
      </c>
      <c r="E104" s="176" t="str">
        <v>FAN</v>
      </c>
      <c r="F104" s="176" t="str">
        <v>Printing and Packaging</v>
      </c>
      <c r="G104" s="176">
        <v>3201010018</v>
      </c>
      <c r="H104" s="176" t="str">
        <v>Guarantee Card -2401,3601</v>
      </c>
      <c r="I104" s="176" t="str">
        <v>Pcs</v>
      </c>
      <c r="J104" s="176">
        <v>10500</v>
      </c>
      <c r="K104" s="176">
        <v>12811.67</v>
      </c>
      <c r="L104" s="176">
        <v>0</v>
      </c>
      <c r="M104" s="176">
        <v>0</v>
      </c>
      <c r="N104" s="176">
        <v>10500</v>
      </c>
      <c r="O104" s="176">
        <v>12811.67</v>
      </c>
      <c r="P104" s="176" t="str">
        <v>CHECKED</v>
      </c>
      <c r="Q104" s="176">
        <v>144</v>
      </c>
      <c r="R104" s="176">
        <v>46260.690868055557</v>
      </c>
      <c r="AK104" s="354" t="s">
        <v>660</v>
      </c>
      <c r="AL104" s="354">
        <v>2026</v>
      </c>
      <c r="AM104" s="354" t="str">
        <f t="shared" si="3"/>
        <v>September2026</v>
      </c>
    </row>
    <row r="105" spans="1:39" x14ac:dyDescent="0.3">
      <c r="A105" s="176">
        <v>56</v>
      </c>
      <c r="B105" s="176">
        <v>2283</v>
      </c>
      <c r="C105" s="176" t="str">
        <v>20-08-2026</v>
      </c>
      <c r="D105" s="176">
        <v>0</v>
      </c>
      <c r="E105" s="176" t="str">
        <v>FAN</v>
      </c>
      <c r="F105" s="176" t="str">
        <v>Printing and Packaging</v>
      </c>
      <c r="G105" s="176">
        <v>3201010019</v>
      </c>
      <c r="H105" s="176" t="str">
        <v>Cork Sheet -5601````/4801````</v>
      </c>
      <c r="I105" s="176" t="str">
        <v>Pcs</v>
      </c>
      <c r="J105" s="176">
        <v>21210</v>
      </c>
      <c r="K105" s="176">
        <v>407600.85</v>
      </c>
      <c r="L105" s="176">
        <v>0</v>
      </c>
      <c r="M105" s="176">
        <v>0</v>
      </c>
      <c r="N105" s="176">
        <v>21210</v>
      </c>
      <c r="O105" s="176">
        <v>407600.85</v>
      </c>
      <c r="P105" s="176" t="str">
        <v>CHECKED</v>
      </c>
      <c r="Q105" s="176">
        <v>144</v>
      </c>
      <c r="R105" s="176">
        <v>46260.690868055557</v>
      </c>
      <c r="AK105" s="354" t="s">
        <v>660</v>
      </c>
      <c r="AL105" s="354">
        <v>2026</v>
      </c>
      <c r="AM105" s="354" t="str">
        <f t="shared" si="3"/>
        <v>September2026</v>
      </c>
    </row>
    <row r="106" spans="1:39" x14ac:dyDescent="0.3">
      <c r="A106" s="176">
        <v>57</v>
      </c>
      <c r="B106" s="176">
        <v>2283</v>
      </c>
      <c r="C106" s="176" t="str">
        <v>20-08-2026</v>
      </c>
      <c r="D106" s="176">
        <v>0</v>
      </c>
      <c r="E106" s="176" t="str">
        <v>FAN</v>
      </c>
      <c r="F106" s="176" t="str">
        <v>Printing and Packaging</v>
      </c>
      <c r="G106" s="176">
        <v>3201010020</v>
      </c>
      <c r="H106" s="176" t="str">
        <v>Cork Sheet -5602````</v>
      </c>
      <c r="I106" s="176" t="str">
        <v>Pcs</v>
      </c>
      <c r="J106" s="176">
        <v>10500</v>
      </c>
      <c r="K106" s="176">
        <v>22369.56</v>
      </c>
      <c r="L106" s="176">
        <v>0</v>
      </c>
      <c r="M106" s="176">
        <v>0</v>
      </c>
      <c r="N106" s="176">
        <v>10500</v>
      </c>
      <c r="O106" s="176">
        <v>22369.56</v>
      </c>
      <c r="P106" s="176" t="str">
        <v>CHECKED</v>
      </c>
      <c r="Q106" s="176">
        <v>144</v>
      </c>
      <c r="R106" s="176">
        <v>46260.690868055557</v>
      </c>
      <c r="AK106" s="354" t="s">
        <v>660</v>
      </c>
      <c r="AL106" s="354">
        <v>2026</v>
      </c>
      <c r="AM106" s="354" t="str">
        <f t="shared" si="3"/>
        <v>September2026</v>
      </c>
    </row>
    <row r="107" spans="1:39" x14ac:dyDescent="0.3">
      <c r="A107" s="176">
        <v>60</v>
      </c>
      <c r="B107" s="176">
        <v>2283</v>
      </c>
      <c r="C107" s="176" t="str">
        <v>20-08-2026</v>
      </c>
      <c r="D107" s="176">
        <v>0</v>
      </c>
      <c r="E107" s="176" t="str">
        <v>FAN</v>
      </c>
      <c r="F107" s="176" t="str">
        <v>Printing and Packaging</v>
      </c>
      <c r="G107" s="176">
        <v>3201010021</v>
      </c>
      <c r="H107" s="176" t="str">
        <v>Cork Sheet -2401/3601</v>
      </c>
      <c r="I107" s="176" t="str">
        <v>Pcs</v>
      </c>
      <c r="J107" s="176">
        <v>10500</v>
      </c>
      <c r="K107" s="176">
        <v>233725.26</v>
      </c>
      <c r="L107" s="176">
        <v>0</v>
      </c>
      <c r="M107" s="176">
        <v>0</v>
      </c>
      <c r="N107" s="176">
        <v>10500</v>
      </c>
      <c r="O107" s="176">
        <v>233725.26</v>
      </c>
      <c r="P107" s="176" t="str">
        <v>CHECKED</v>
      </c>
      <c r="Q107" s="176">
        <v>144</v>
      </c>
      <c r="R107" s="176">
        <v>46260.690868055557</v>
      </c>
      <c r="AK107" s="354" t="s">
        <v>660</v>
      </c>
      <c r="AL107" s="354">
        <v>2026</v>
      </c>
      <c r="AM107" s="354" t="str">
        <f t="shared" si="3"/>
        <v>September2026</v>
      </c>
    </row>
    <row r="108" spans="1:39" x14ac:dyDescent="0.3">
      <c r="A108" s="176">
        <v>63</v>
      </c>
      <c r="B108" s="176">
        <v>2283</v>
      </c>
      <c r="C108" s="176" t="str">
        <v>20-08-2026</v>
      </c>
      <c r="D108" s="176">
        <v>0</v>
      </c>
      <c r="E108" s="176" t="str">
        <v>FAN</v>
      </c>
      <c r="F108" s="176" t="str">
        <v>Printing and Packaging</v>
      </c>
      <c r="G108" s="176">
        <v>3201010022</v>
      </c>
      <c r="H108" s="176" t="str">
        <v>Body Carton -Premium (5601)-263x264x213mm</v>
      </c>
      <c r="I108" s="176" t="str">
        <v>Pcs</v>
      </c>
      <c r="J108" s="176">
        <v>18900</v>
      </c>
      <c r="K108" s="176">
        <v>815242.06</v>
      </c>
      <c r="L108" s="176">
        <v>0</v>
      </c>
      <c r="M108" s="176">
        <v>0</v>
      </c>
      <c r="N108" s="176">
        <v>18900</v>
      </c>
      <c r="O108" s="176">
        <v>815242.06</v>
      </c>
      <c r="P108" s="176" t="str">
        <v>CHECKED</v>
      </c>
      <c r="Q108" s="176">
        <v>144</v>
      </c>
      <c r="R108" s="176">
        <v>46260.690868055557</v>
      </c>
      <c r="AK108" s="354" t="s">
        <v>660</v>
      </c>
      <c r="AL108" s="354">
        <v>2026</v>
      </c>
      <c r="AM108" s="354" t="str">
        <f t="shared" si="3"/>
        <v>September2026</v>
      </c>
    </row>
    <row r="109" spans="1:39" x14ac:dyDescent="0.3">
      <c r="A109" s="176">
        <v>65</v>
      </c>
      <c r="B109" s="176">
        <v>2283</v>
      </c>
      <c r="C109" s="176" t="str">
        <v>20-08-2026</v>
      </c>
      <c r="D109" s="176">
        <v>0</v>
      </c>
      <c r="E109" s="176" t="str">
        <v>FAN</v>
      </c>
      <c r="F109" s="176" t="str">
        <v>Printing and Packaging</v>
      </c>
      <c r="G109" s="176">
        <v>3201010023</v>
      </c>
      <c r="H109" s="176" t="str">
        <v>Body Carton Premium Gold (5603)</v>
      </c>
      <c r="I109" s="176" t="str">
        <v>Pcs</v>
      </c>
      <c r="J109" s="176">
        <v>2500</v>
      </c>
      <c r="K109" s="176">
        <v>104370.28</v>
      </c>
      <c r="L109" s="176">
        <v>0</v>
      </c>
      <c r="M109" s="176">
        <v>0</v>
      </c>
      <c r="N109" s="176">
        <v>2500</v>
      </c>
      <c r="O109" s="176">
        <v>104370.28</v>
      </c>
      <c r="P109" s="176" t="str">
        <v>CHECKED</v>
      </c>
      <c r="Q109" s="176">
        <v>144</v>
      </c>
      <c r="R109" s="176">
        <v>46260.690868055557</v>
      </c>
      <c r="AK109" s="354" t="s">
        <v>660</v>
      </c>
      <c r="AL109" s="354">
        <v>2026</v>
      </c>
      <c r="AM109" s="354" t="str">
        <f t="shared" si="3"/>
        <v>September2026</v>
      </c>
    </row>
    <row r="110" spans="1:39" x14ac:dyDescent="0.3">
      <c r="A110" s="176">
        <v>66</v>
      </c>
      <c r="B110" s="176">
        <v>2283</v>
      </c>
      <c r="C110" s="176" t="str">
        <v>20-08-2026</v>
      </c>
      <c r="D110" s="176">
        <v>0</v>
      </c>
      <c r="E110" s="176" t="str">
        <v>FAN</v>
      </c>
      <c r="F110" s="176" t="str">
        <v>Printing and Packaging</v>
      </c>
      <c r="G110" s="176">
        <v>3201010024</v>
      </c>
      <c r="H110" s="176" t="str">
        <v>Body Carton Premium Plus (5606)</v>
      </c>
      <c r="I110" s="176" t="str">
        <v>Pcs</v>
      </c>
      <c r="J110" s="176">
        <v>300</v>
      </c>
      <c r="K110" s="176">
        <v>35411.81</v>
      </c>
      <c r="L110" s="176">
        <v>0</v>
      </c>
      <c r="M110" s="176">
        <v>0</v>
      </c>
      <c r="N110" s="176">
        <v>300</v>
      </c>
      <c r="O110" s="176">
        <v>35411.81</v>
      </c>
      <c r="P110" s="176" t="str">
        <v>CHECKED</v>
      </c>
      <c r="Q110" s="176">
        <v>144</v>
      </c>
      <c r="R110" s="176">
        <v>46260.690868055557</v>
      </c>
      <c r="AK110" s="354" t="s">
        <v>660</v>
      </c>
      <c r="AL110" s="354">
        <v>2026</v>
      </c>
      <c r="AM110" s="354" t="str">
        <f t="shared" si="3"/>
        <v>September2026</v>
      </c>
    </row>
    <row r="111" spans="1:39" x14ac:dyDescent="0.3">
      <c r="A111" s="176">
        <v>67</v>
      </c>
      <c r="B111" s="176">
        <v>2283</v>
      </c>
      <c r="C111" s="176" t="str">
        <v>20-08-2026</v>
      </c>
      <c r="D111" s="176">
        <v>0</v>
      </c>
      <c r="E111" s="176" t="str">
        <v>FAN</v>
      </c>
      <c r="F111" s="176" t="str">
        <v>Printing and Packaging</v>
      </c>
      <c r="G111" s="176">
        <v>3201010026</v>
      </c>
      <c r="H111" s="176" t="str">
        <v>Body Carton -Speed king (5602) -220x220x208mm</v>
      </c>
      <c r="I111" s="176" t="str">
        <v>Pcs</v>
      </c>
      <c r="J111" s="176">
        <v>10500</v>
      </c>
      <c r="K111" s="176">
        <v>394509.83</v>
      </c>
      <c r="L111" s="176">
        <v>0</v>
      </c>
      <c r="M111" s="176">
        <v>0</v>
      </c>
      <c r="N111" s="176">
        <v>10500</v>
      </c>
      <c r="O111" s="176">
        <v>394509.83</v>
      </c>
      <c r="P111" s="176" t="str">
        <v>CHECKED</v>
      </c>
      <c r="Q111" s="176">
        <v>144</v>
      </c>
      <c r="R111" s="176">
        <v>46260.690868055557</v>
      </c>
      <c r="AK111" s="354" t="s">
        <v>660</v>
      </c>
      <c r="AL111" s="354">
        <v>2026</v>
      </c>
      <c r="AM111" s="354" t="str">
        <f t="shared" si="3"/>
        <v>September2026</v>
      </c>
    </row>
    <row r="112" spans="1:39" x14ac:dyDescent="0.3">
      <c r="A112" s="176">
        <v>70</v>
      </c>
      <c r="B112" s="176">
        <v>2283</v>
      </c>
      <c r="C112" s="176" t="str">
        <v>20-08-2026</v>
      </c>
      <c r="D112" s="176">
        <v>0</v>
      </c>
      <c r="E112" s="176" t="str">
        <v>FAN</v>
      </c>
      <c r="F112" s="176" t="str">
        <v>Printing and Packaging</v>
      </c>
      <c r="G112" s="176">
        <v>3201010028</v>
      </c>
      <c r="H112" s="176" t="str">
        <v>Body Carton -Hero (3601)-195x195x230mm</v>
      </c>
      <c r="I112" s="176" t="str">
        <v>Pcs</v>
      </c>
      <c r="J112" s="176">
        <v>10500</v>
      </c>
      <c r="K112" s="176">
        <v>375342.46</v>
      </c>
      <c r="L112" s="176">
        <v>0</v>
      </c>
      <c r="M112" s="176">
        <v>0</v>
      </c>
      <c r="N112" s="176">
        <v>10500</v>
      </c>
      <c r="O112" s="176">
        <v>375342.46</v>
      </c>
      <c r="P112" s="176" t="str">
        <v>CHECKED</v>
      </c>
      <c r="Q112" s="176">
        <v>144</v>
      </c>
      <c r="R112" s="176">
        <v>46260.690868055557</v>
      </c>
      <c r="AK112" s="354" t="s">
        <v>660</v>
      </c>
      <c r="AL112" s="354">
        <v>2026</v>
      </c>
      <c r="AM112" s="354" t="str">
        <f t="shared" si="3"/>
        <v>September2026</v>
      </c>
    </row>
    <row r="113" spans="1:39" x14ac:dyDescent="0.3">
      <c r="A113" s="176">
        <v>75</v>
      </c>
      <c r="B113" s="176">
        <v>2283</v>
      </c>
      <c r="C113" s="176" t="str">
        <v>20-08-2026</v>
      </c>
      <c r="D113" s="176">
        <v>0</v>
      </c>
      <c r="E113" s="176" t="str">
        <v>FAN</v>
      </c>
      <c r="F113" s="176" t="str">
        <v>Printing and Packaging</v>
      </c>
      <c r="G113" s="176">
        <v>3201010030</v>
      </c>
      <c r="H113" s="176" t="str">
        <v>Blade Carton-Premium (5601)-622x153x34mm</v>
      </c>
      <c r="I113" s="176" t="str">
        <v>Pcs</v>
      </c>
      <c r="J113" s="176">
        <v>18900</v>
      </c>
      <c r="K113" s="176">
        <v>410997.32</v>
      </c>
      <c r="L113" s="176">
        <v>0</v>
      </c>
      <c r="M113" s="176">
        <v>0</v>
      </c>
      <c r="N113" s="176">
        <v>18900</v>
      </c>
      <c r="O113" s="176">
        <v>410997.32</v>
      </c>
      <c r="P113" s="176" t="str">
        <v>CHECKED</v>
      </c>
      <c r="Q113" s="176">
        <v>144</v>
      </c>
      <c r="R113" s="176">
        <v>46260.690868055557</v>
      </c>
      <c r="AK113" s="354" t="s">
        <v>660</v>
      </c>
      <c r="AL113" s="354">
        <v>2026</v>
      </c>
      <c r="AM113" s="354" t="str">
        <f t="shared" si="3"/>
        <v>September2026</v>
      </c>
    </row>
    <row r="114" spans="1:39" x14ac:dyDescent="0.3">
      <c r="A114" s="176">
        <v>77</v>
      </c>
      <c r="B114" s="176">
        <v>2283</v>
      </c>
      <c r="C114" s="176" t="str">
        <v>20-08-2026</v>
      </c>
      <c r="D114" s="176">
        <v>0</v>
      </c>
      <c r="E114" s="176" t="str">
        <v>FAN</v>
      </c>
      <c r="F114" s="176" t="str">
        <v>Printing and Packaging</v>
      </c>
      <c r="G114" s="176">
        <v>3201010031</v>
      </c>
      <c r="H114" s="176" t="str">
        <v>Blade Carton-Premium Gold (5603)</v>
      </c>
      <c r="I114" s="176" t="str">
        <v>Pcs</v>
      </c>
      <c r="J114" s="176">
        <v>2100</v>
      </c>
      <c r="K114" s="176">
        <v>148212.51999999999</v>
      </c>
      <c r="L114" s="176">
        <v>0</v>
      </c>
      <c r="M114" s="176">
        <v>0</v>
      </c>
      <c r="N114" s="176">
        <v>2100</v>
      </c>
      <c r="O114" s="176">
        <v>148212.51999999999</v>
      </c>
      <c r="P114" s="176" t="str">
        <v>CHECKED</v>
      </c>
      <c r="Q114" s="176">
        <v>144</v>
      </c>
      <c r="R114" s="176">
        <v>46260.690868055557</v>
      </c>
      <c r="AK114" s="354" t="s">
        <v>660</v>
      </c>
      <c r="AL114" s="354">
        <v>2026</v>
      </c>
      <c r="AM114" s="354" t="str">
        <f t="shared" si="3"/>
        <v>September2026</v>
      </c>
    </row>
    <row r="115" spans="1:39" x14ac:dyDescent="0.3">
      <c r="A115" s="176">
        <v>78</v>
      </c>
      <c r="B115" s="176">
        <v>2283</v>
      </c>
      <c r="C115" s="176" t="str">
        <v>20-08-2026</v>
      </c>
      <c r="D115" s="176">
        <v>0</v>
      </c>
      <c r="E115" s="176" t="str">
        <v>FAN</v>
      </c>
      <c r="F115" s="176" t="str">
        <v>Printing and Packaging</v>
      </c>
      <c r="G115" s="176">
        <v>3201010032</v>
      </c>
      <c r="H115" s="176" t="str">
        <v>Blade Carton-Premium Plus (5606)</v>
      </c>
      <c r="I115" s="176" t="str">
        <v>Pcs</v>
      </c>
      <c r="J115" s="176">
        <v>210</v>
      </c>
      <c r="K115" s="176">
        <v>32074.66</v>
      </c>
      <c r="L115" s="176">
        <v>0</v>
      </c>
      <c r="M115" s="176">
        <v>0</v>
      </c>
      <c r="N115" s="176">
        <v>210</v>
      </c>
      <c r="O115" s="176">
        <v>32074.66</v>
      </c>
      <c r="P115" s="176" t="str">
        <v>CHECKED</v>
      </c>
      <c r="Q115" s="176">
        <v>144</v>
      </c>
      <c r="R115" s="176">
        <v>46260.690868055557</v>
      </c>
      <c r="AK115" s="354" t="s">
        <v>660</v>
      </c>
      <c r="AL115" s="354">
        <v>2026</v>
      </c>
      <c r="AM115" s="354" t="str">
        <f t="shared" si="3"/>
        <v>September2026</v>
      </c>
    </row>
    <row r="116" spans="1:39" x14ac:dyDescent="0.3">
      <c r="A116" s="176">
        <v>79</v>
      </c>
      <c r="B116" s="176">
        <v>2283</v>
      </c>
      <c r="C116" s="176" t="str">
        <v>20-08-2026</v>
      </c>
      <c r="D116" s="176">
        <v>0</v>
      </c>
      <c r="E116" s="176" t="str">
        <v>FAN</v>
      </c>
      <c r="F116" s="176" t="str">
        <v>Printing and Packaging</v>
      </c>
      <c r="G116" s="176">
        <v>3201010034</v>
      </c>
      <c r="H116" s="176" t="str">
        <v>Blade Carton -Speed king (5602)-622x127x30mm</v>
      </c>
      <c r="I116" s="176" t="str">
        <v>Pcs</v>
      </c>
      <c r="J116" s="176">
        <v>10500</v>
      </c>
      <c r="K116" s="176">
        <v>115622.08</v>
      </c>
      <c r="L116" s="176">
        <v>0</v>
      </c>
      <c r="M116" s="176">
        <v>0</v>
      </c>
      <c r="N116" s="176">
        <v>10500</v>
      </c>
      <c r="O116" s="176">
        <v>115622.08</v>
      </c>
      <c r="P116" s="176" t="str">
        <v>CHECKED</v>
      </c>
      <c r="Q116" s="176">
        <v>144</v>
      </c>
      <c r="R116" s="176">
        <v>46260.690868055557</v>
      </c>
      <c r="AK116" s="354" t="s">
        <v>660</v>
      </c>
      <c r="AL116" s="354">
        <v>2026</v>
      </c>
      <c r="AM116" s="354" t="str">
        <f t="shared" si="3"/>
        <v>September2026</v>
      </c>
    </row>
    <row r="117" spans="1:39" x14ac:dyDescent="0.3">
      <c r="A117" s="176">
        <v>82</v>
      </c>
      <c r="B117" s="176">
        <v>2283</v>
      </c>
      <c r="C117" s="176" t="str">
        <v>20-08-2026</v>
      </c>
      <c r="D117" s="176">
        <v>0</v>
      </c>
      <c r="E117" s="176" t="str">
        <v>FAN</v>
      </c>
      <c r="F117" s="176" t="str">
        <v>Printing and Packaging</v>
      </c>
      <c r="G117" s="176">
        <v>3201010036</v>
      </c>
      <c r="H117" s="176" t="str">
        <v>Blade Carton -Hero (3601)-400x120x29mm</v>
      </c>
      <c r="I117" s="176" t="str">
        <v>Pcs</v>
      </c>
      <c r="J117" s="176">
        <v>10500</v>
      </c>
      <c r="K117" s="176">
        <v>135130.43</v>
      </c>
      <c r="L117" s="176">
        <v>0</v>
      </c>
      <c r="M117" s="176">
        <v>0</v>
      </c>
      <c r="N117" s="176">
        <v>10500</v>
      </c>
      <c r="O117" s="176">
        <v>135130.43</v>
      </c>
      <c r="P117" s="176" t="str">
        <v>CHECKED</v>
      </c>
      <c r="Q117" s="176">
        <v>144</v>
      </c>
      <c r="R117" s="176">
        <v>46260.690868055557</v>
      </c>
      <c r="AK117" s="354" t="s">
        <v>660</v>
      </c>
      <c r="AL117" s="354">
        <v>2026</v>
      </c>
      <c r="AM117" s="354" t="str">
        <f t="shared" si="3"/>
        <v>September2026</v>
      </c>
    </row>
    <row r="118" spans="1:39" x14ac:dyDescent="0.3">
      <c r="A118" s="176">
        <v>85</v>
      </c>
      <c r="B118" s="176">
        <v>2283</v>
      </c>
      <c r="C118" s="176" t="str">
        <v>20-08-2026</v>
      </c>
      <c r="D118" s="176">
        <v>0</v>
      </c>
      <c r="E118" s="176" t="str">
        <v>FAN</v>
      </c>
      <c r="F118" s="176" t="str">
        <v>Printing and Packaging</v>
      </c>
      <c r="G118" s="176">
        <v>3201010037</v>
      </c>
      <c r="H118" s="176" t="str">
        <v>HDPE Poly (L=15``, W=15``, T=0.035mm)</v>
      </c>
      <c r="I118" s="176" t="str">
        <v>KG</v>
      </c>
      <c r="J118" s="176">
        <v>0</v>
      </c>
      <c r="K118" s="176">
        <v>0</v>
      </c>
      <c r="L118" s="176">
        <v>0</v>
      </c>
      <c r="M118" s="176">
        <v>0</v>
      </c>
      <c r="N118" s="176">
        <v>0</v>
      </c>
      <c r="O118" s="176">
        <v>0</v>
      </c>
      <c r="P118" s="176" t="str">
        <v>CHECKED</v>
      </c>
      <c r="Q118" s="176">
        <v>144</v>
      </c>
      <c r="R118" s="176">
        <v>46260.690868055557</v>
      </c>
      <c r="AK118" s="354" t="s">
        <v>660</v>
      </c>
      <c r="AL118" s="354">
        <v>2026</v>
      </c>
      <c r="AM118" s="354" t="str">
        <f t="shared" si="3"/>
        <v>September2026</v>
      </c>
    </row>
    <row r="119" spans="1:39" x14ac:dyDescent="0.3">
      <c r="A119" s="176">
        <v>88</v>
      </c>
      <c r="B119" s="176">
        <v>2283</v>
      </c>
      <c r="C119" s="176" t="str">
        <v>20-08-2026</v>
      </c>
      <c r="D119" s="176">
        <v>0</v>
      </c>
      <c r="E119" s="176" t="str">
        <v>FAN</v>
      </c>
      <c r="F119" s="176" t="str">
        <v>Printing and Packaging</v>
      </c>
      <c r="G119" s="176">
        <v>3201010038</v>
      </c>
      <c r="H119" s="176" t="str">
        <v>HDPE Poly (L=14``, W=12``,T=0.035mm)</v>
      </c>
      <c r="I119" s="176" t="str">
        <v>KG</v>
      </c>
      <c r="J119" s="176">
        <v>0</v>
      </c>
      <c r="K119" s="176">
        <v>0</v>
      </c>
      <c r="L119" s="176">
        <v>0</v>
      </c>
      <c r="M119" s="176">
        <v>0</v>
      </c>
      <c r="N119" s="176">
        <v>0</v>
      </c>
      <c r="O119" s="176">
        <v>0</v>
      </c>
      <c r="P119" s="176" t="str">
        <v>CHECKED</v>
      </c>
      <c r="Q119" s="176">
        <v>144</v>
      </c>
      <c r="R119" s="176">
        <v>46260.690868055557</v>
      </c>
      <c r="AK119" s="354" t="s">
        <v>660</v>
      </c>
      <c r="AL119" s="354">
        <v>2026</v>
      </c>
      <c r="AM119" s="354" t="str">
        <f t="shared" si="3"/>
        <v>September2026</v>
      </c>
    </row>
    <row r="120" spans="1:39" x14ac:dyDescent="0.3">
      <c r="A120" s="176">
        <v>91</v>
      </c>
      <c r="B120" s="176">
        <v>2283</v>
      </c>
      <c r="C120" s="176" t="str">
        <v>20-08-2026</v>
      </c>
      <c r="D120" s="176">
        <v>0</v>
      </c>
      <c r="E120" s="176" t="str">
        <v>FAN</v>
      </c>
      <c r="F120" s="176" t="str">
        <v>Printing and Packaging</v>
      </c>
      <c r="G120" s="176">
        <v>3201010039</v>
      </c>
      <c r="H120" s="176" t="str">
        <v>HDPE Poly (L=27``, W=8``, T=0.035mm)</v>
      </c>
      <c r="I120" s="176" t="str">
        <v>KG</v>
      </c>
      <c r="J120" s="176">
        <v>0</v>
      </c>
      <c r="K120" s="176">
        <v>0</v>
      </c>
      <c r="L120" s="176">
        <v>0</v>
      </c>
      <c r="M120" s="176">
        <v>0</v>
      </c>
      <c r="N120" s="176">
        <v>0</v>
      </c>
      <c r="O120" s="176">
        <v>0</v>
      </c>
      <c r="P120" s="176" t="str">
        <v>CHECKED</v>
      </c>
      <c r="Q120" s="176">
        <v>144</v>
      </c>
      <c r="R120" s="176">
        <v>46260.690868055557</v>
      </c>
      <c r="AK120" s="354" t="s">
        <v>660</v>
      </c>
      <c r="AL120" s="354">
        <v>2026</v>
      </c>
      <c r="AM120" s="354" t="str">
        <f t="shared" si="3"/>
        <v>September2026</v>
      </c>
    </row>
    <row r="121" spans="1:39" x14ac:dyDescent="0.3">
      <c r="A121" s="176">
        <v>94</v>
      </c>
      <c r="B121" s="176">
        <v>2283</v>
      </c>
      <c r="C121" s="176" t="str">
        <v>20-08-2026</v>
      </c>
      <c r="D121" s="176">
        <v>0</v>
      </c>
      <c r="E121" s="176" t="str">
        <v>FAN</v>
      </c>
      <c r="F121" s="176" t="str">
        <v>Printing and Packaging</v>
      </c>
      <c r="G121" s="176">
        <v>3201010040</v>
      </c>
      <c r="H121" s="176" t="str">
        <v>HDPE Poly (L=18``, W=7``, T=0.035mm)</v>
      </c>
      <c r="I121" s="176" t="str">
        <v>KG</v>
      </c>
      <c r="J121" s="176">
        <v>0</v>
      </c>
      <c r="K121" s="176">
        <v>0</v>
      </c>
      <c r="L121" s="176">
        <v>0</v>
      </c>
      <c r="M121" s="176">
        <v>0</v>
      </c>
      <c r="N121" s="176">
        <v>0</v>
      </c>
      <c r="O121" s="176">
        <v>0</v>
      </c>
      <c r="P121" s="176" t="str">
        <v>CHECKED</v>
      </c>
      <c r="Q121" s="176">
        <v>144</v>
      </c>
      <c r="R121" s="176">
        <v>46260.690868055557</v>
      </c>
      <c r="AK121" s="354" t="s">
        <v>660</v>
      </c>
      <c r="AL121" s="354">
        <v>2026</v>
      </c>
      <c r="AM121" s="354" t="str">
        <f t="shared" si="3"/>
        <v>September2026</v>
      </c>
    </row>
    <row r="122" spans="1:39" x14ac:dyDescent="0.3">
      <c r="A122" s="176">
        <v>97</v>
      </c>
      <c r="B122" s="176">
        <v>2283</v>
      </c>
      <c r="C122" s="176" t="str">
        <v>20-08-2026</v>
      </c>
      <c r="D122" s="176">
        <v>0</v>
      </c>
      <c r="E122" s="176" t="str">
        <v>FAN</v>
      </c>
      <c r="F122" s="176" t="str">
        <v>Printing and Packaging</v>
      </c>
      <c r="G122" s="176">
        <v>3201010041</v>
      </c>
      <c r="H122" s="176" t="str">
        <v>HDPE Poly (L=9``, W=9``, T=0.025mm)</v>
      </c>
      <c r="I122" s="176" t="str">
        <v>KG</v>
      </c>
      <c r="J122" s="176">
        <v>0</v>
      </c>
      <c r="K122" s="176">
        <v>0</v>
      </c>
      <c r="L122" s="176">
        <v>0</v>
      </c>
      <c r="M122" s="176">
        <v>0</v>
      </c>
      <c r="N122" s="176">
        <v>0</v>
      </c>
      <c r="O122" s="176">
        <v>0</v>
      </c>
      <c r="P122" s="176" t="str">
        <v>CHECKED</v>
      </c>
      <c r="Q122" s="176">
        <v>144</v>
      </c>
      <c r="R122" s="176">
        <v>46260.690868055557</v>
      </c>
      <c r="AK122" s="354" t="s">
        <v>660</v>
      </c>
      <c r="AL122" s="354">
        <v>2026</v>
      </c>
      <c r="AM122" s="354" t="str">
        <f t="shared" si="3"/>
        <v>September2026</v>
      </c>
    </row>
    <row r="123" spans="1:39" x14ac:dyDescent="0.3">
      <c r="A123" s="176">
        <v>100</v>
      </c>
      <c r="B123" s="176">
        <v>2283</v>
      </c>
      <c r="C123" s="176" t="str">
        <v>20-08-2026</v>
      </c>
      <c r="D123" s="176">
        <v>0</v>
      </c>
      <c r="E123" s="176" t="str">
        <v>FAN</v>
      </c>
      <c r="F123" s="176" t="str">
        <v>Printing and Packaging</v>
      </c>
      <c r="G123" s="176">
        <v>3201010042</v>
      </c>
      <c r="H123" s="176" t="str">
        <v>HDPE Poly (L=13``, W=4``, T=0.035mm)</v>
      </c>
      <c r="I123" s="176" t="str">
        <v>KG</v>
      </c>
      <c r="J123" s="176">
        <v>0</v>
      </c>
      <c r="K123" s="176">
        <v>0</v>
      </c>
      <c r="L123" s="176">
        <v>0</v>
      </c>
      <c r="M123" s="176">
        <v>0</v>
      </c>
      <c r="N123" s="176">
        <v>0</v>
      </c>
      <c r="O123" s="176">
        <v>0</v>
      </c>
      <c r="P123" s="176" t="str">
        <v>CHECKED</v>
      </c>
      <c r="Q123" s="176">
        <v>144</v>
      </c>
      <c r="R123" s="176">
        <v>46260.690868055557</v>
      </c>
      <c r="AK123" s="354" t="s">
        <v>660</v>
      </c>
      <c r="AL123" s="354">
        <v>2026</v>
      </c>
      <c r="AM123" s="354" t="str">
        <f t="shared" ref="AM123:AM154" si="4">AK123&amp;AL123</f>
        <v>September2026</v>
      </c>
    </row>
    <row r="124" spans="1:39" x14ac:dyDescent="0.3">
      <c r="A124" s="176">
        <v>103</v>
      </c>
      <c r="B124" s="176">
        <v>2283</v>
      </c>
      <c r="C124" s="176" t="str">
        <v>20-08-2026</v>
      </c>
      <c r="D124" s="176">
        <v>0</v>
      </c>
      <c r="E124" s="176" t="str">
        <v>FAN</v>
      </c>
      <c r="F124" s="176" t="str">
        <v>Printing and Packaging</v>
      </c>
      <c r="G124" s="176">
        <v>3201010043</v>
      </c>
      <c r="H124" s="176" t="str">
        <v>PP Poly (L=5``, W=5``, T=0.045mm) With Logo Print</v>
      </c>
      <c r="I124" s="176" t="str">
        <v>KG</v>
      </c>
      <c r="J124" s="176">
        <v>0</v>
      </c>
      <c r="K124" s="176">
        <v>0</v>
      </c>
      <c r="L124" s="176">
        <v>0</v>
      </c>
      <c r="M124" s="176">
        <v>0</v>
      </c>
      <c r="N124" s="176">
        <v>0</v>
      </c>
      <c r="O124" s="176">
        <v>0</v>
      </c>
      <c r="P124" s="176" t="str">
        <v>CHECKED</v>
      </c>
      <c r="Q124" s="176">
        <v>144</v>
      </c>
      <c r="R124" s="176">
        <v>46260.690868055557</v>
      </c>
      <c r="AK124" s="354" t="s">
        <v>660</v>
      </c>
      <c r="AL124" s="354">
        <v>2026</v>
      </c>
      <c r="AM124" s="354" t="str">
        <f t="shared" si="4"/>
        <v>September2026</v>
      </c>
    </row>
    <row r="125" spans="1:39" x14ac:dyDescent="0.3">
      <c r="A125" s="176">
        <v>106</v>
      </c>
      <c r="B125" s="176">
        <v>2283</v>
      </c>
      <c r="C125" s="176" t="str">
        <v>20-08-2026</v>
      </c>
      <c r="D125" s="176">
        <v>0</v>
      </c>
      <c r="E125" s="176" t="str">
        <v>FAN</v>
      </c>
      <c r="F125" s="176" t="str">
        <v>Printing and Packaging</v>
      </c>
      <c r="G125" s="176">
        <v>3201010051</v>
      </c>
      <c r="H125" s="176" t="str">
        <v>Body Sticker - 5603</v>
      </c>
      <c r="I125" s="176" t="str">
        <v>Pcs</v>
      </c>
      <c r="J125" s="176">
        <v>2500</v>
      </c>
      <c r="K125" s="176">
        <v>795.02</v>
      </c>
      <c r="L125" s="176">
        <v>0</v>
      </c>
      <c r="M125" s="176">
        <v>0</v>
      </c>
      <c r="N125" s="176">
        <v>2500</v>
      </c>
      <c r="O125" s="176">
        <v>795.02</v>
      </c>
      <c r="P125" s="176" t="str">
        <v>CHECKED</v>
      </c>
      <c r="Q125" s="176">
        <v>144</v>
      </c>
      <c r="R125" s="176">
        <v>46260.690868055557</v>
      </c>
      <c r="AK125" s="354" t="s">
        <v>660</v>
      </c>
      <c r="AL125" s="354">
        <v>2026</v>
      </c>
      <c r="AM125" s="354" t="str">
        <f t="shared" si="4"/>
        <v>September2026</v>
      </c>
    </row>
    <row r="126" spans="1:39" x14ac:dyDescent="0.3">
      <c r="A126" s="176">
        <v>108</v>
      </c>
      <c r="B126" s="176">
        <v>2283</v>
      </c>
      <c r="C126" s="176" t="str">
        <v>20-08-2026</v>
      </c>
      <c r="D126" s="176">
        <v>0</v>
      </c>
      <c r="E126" s="176" t="str">
        <v>FAN</v>
      </c>
      <c r="F126" s="176" t="str">
        <v>Printing and Packaging</v>
      </c>
      <c r="G126" s="176">
        <v>3201010057</v>
      </c>
      <c r="H126" s="176" t="str">
        <v>Body Carton - Crown (5607)</v>
      </c>
      <c r="I126" s="176" t="str">
        <v>Pcs</v>
      </c>
      <c r="J126" s="176">
        <v>1050</v>
      </c>
      <c r="K126" s="176">
        <v>69294.94</v>
      </c>
      <c r="L126" s="176">
        <v>0</v>
      </c>
      <c r="M126" s="176">
        <v>0</v>
      </c>
      <c r="N126" s="176">
        <v>1050</v>
      </c>
      <c r="O126" s="176">
        <v>69294.94</v>
      </c>
      <c r="P126" s="176" t="str">
        <v>CHECKED</v>
      </c>
      <c r="Q126" s="176">
        <v>144</v>
      </c>
      <c r="R126" s="176">
        <v>46260.690868055557</v>
      </c>
      <c r="AK126" s="354" t="s">
        <v>660</v>
      </c>
      <c r="AL126" s="354">
        <v>2026</v>
      </c>
      <c r="AM126" s="354" t="str">
        <f t="shared" si="4"/>
        <v>September2026</v>
      </c>
    </row>
    <row r="127" spans="1:39" x14ac:dyDescent="0.3">
      <c r="A127" s="176">
        <v>110</v>
      </c>
      <c r="B127" s="176">
        <v>2283</v>
      </c>
      <c r="C127" s="176" t="str">
        <v>20-08-2026</v>
      </c>
      <c r="D127" s="176">
        <v>0</v>
      </c>
      <c r="E127" s="176" t="str">
        <v>FAN</v>
      </c>
      <c r="F127" s="176" t="str">
        <v>Printing and Packaging</v>
      </c>
      <c r="G127" s="176">
        <v>3201010058</v>
      </c>
      <c r="H127" s="176" t="str">
        <v>Blade Carton - Crown (5607)</v>
      </c>
      <c r="I127" s="176" t="str">
        <v>Pcs</v>
      </c>
      <c r="J127" s="176">
        <v>1050</v>
      </c>
      <c r="K127" s="176">
        <v>47896.959999999999</v>
      </c>
      <c r="L127" s="176">
        <v>0</v>
      </c>
      <c r="M127" s="176">
        <v>0</v>
      </c>
      <c r="N127" s="176">
        <v>1050</v>
      </c>
      <c r="O127" s="176">
        <v>47896.959999999999</v>
      </c>
      <c r="P127" s="176" t="str">
        <v>CHECKED</v>
      </c>
      <c r="Q127" s="176">
        <v>144</v>
      </c>
      <c r="R127" s="176">
        <v>46260.690868055557</v>
      </c>
      <c r="AK127" s="354" t="s">
        <v>660</v>
      </c>
      <c r="AL127" s="354">
        <v>2026</v>
      </c>
      <c r="AM127" s="354" t="str">
        <f t="shared" si="4"/>
        <v>September2026</v>
      </c>
    </row>
    <row r="128" spans="1:39" x14ac:dyDescent="0.3">
      <c r="A128" s="176">
        <v>112</v>
      </c>
      <c r="B128" s="176">
        <v>2283</v>
      </c>
      <c r="C128" s="176" t="str">
        <v>20-08-2026</v>
      </c>
      <c r="D128" s="176">
        <v>0</v>
      </c>
      <c r="E128" s="176" t="str">
        <v>FAN</v>
      </c>
      <c r="F128" s="176" t="str">
        <v>Printing and Packaging</v>
      </c>
      <c r="G128" s="176">
        <v>3201010059</v>
      </c>
      <c r="H128" s="176" t="str">
        <v>Body Sticker (5607)</v>
      </c>
      <c r="I128" s="176" t="str">
        <v>Pcs</v>
      </c>
      <c r="J128" s="176">
        <v>2000</v>
      </c>
      <c r="K128" s="176">
        <v>695.65</v>
      </c>
      <c r="L128" s="176">
        <v>0</v>
      </c>
      <c r="M128" s="176">
        <v>0</v>
      </c>
      <c r="N128" s="176">
        <v>2000</v>
      </c>
      <c r="O128" s="176">
        <v>695.65</v>
      </c>
      <c r="P128" s="176" t="str">
        <v>CHECKED</v>
      </c>
      <c r="Q128" s="176">
        <v>144</v>
      </c>
      <c r="R128" s="176">
        <v>46260.690868055557</v>
      </c>
      <c r="AK128" s="354" t="s">
        <v>660</v>
      </c>
      <c r="AL128" s="354">
        <v>2026</v>
      </c>
      <c r="AM128" s="354" t="str">
        <f t="shared" si="4"/>
        <v>September2026</v>
      </c>
    </row>
    <row r="129" spans="1:39" x14ac:dyDescent="0.3">
      <c r="A129" s="176">
        <v>114</v>
      </c>
      <c r="B129" s="176">
        <v>2283</v>
      </c>
      <c r="C129" s="176" t="str">
        <v>20-08-2026</v>
      </c>
      <c r="D129" s="176">
        <v>0</v>
      </c>
      <c r="E129" s="176" t="str">
        <v>FAN</v>
      </c>
      <c r="F129" s="176" t="str">
        <v>Printing and Packaging</v>
      </c>
      <c r="G129" s="176">
        <v>3201010060</v>
      </c>
      <c r="H129" s="176" t="str">
        <v>Guarantee Card - Crown (5607)</v>
      </c>
      <c r="I129" s="176" t="str">
        <v>Pcs</v>
      </c>
      <c r="J129" s="176">
        <v>1050</v>
      </c>
      <c r="K129" s="176">
        <v>2405.12</v>
      </c>
      <c r="L129" s="176">
        <v>0</v>
      </c>
      <c r="M129" s="176">
        <v>0</v>
      </c>
      <c r="N129" s="176">
        <v>1050</v>
      </c>
      <c r="O129" s="176">
        <v>2405.12</v>
      </c>
      <c r="P129" s="176" t="str">
        <v>CHECKED</v>
      </c>
      <c r="Q129" s="176">
        <v>144</v>
      </c>
      <c r="R129" s="176">
        <v>46260.690868055557</v>
      </c>
      <c r="AK129" s="354" t="s">
        <v>660</v>
      </c>
      <c r="AL129" s="354">
        <v>2026</v>
      </c>
      <c r="AM129" s="354" t="str">
        <f t="shared" si="4"/>
        <v>September2026</v>
      </c>
    </row>
    <row r="130" spans="1:39" x14ac:dyDescent="0.3">
      <c r="A130" s="176">
        <v>129</v>
      </c>
      <c r="B130" s="176">
        <v>2282</v>
      </c>
      <c r="C130" s="176" t="str">
        <v>20-08-2026</v>
      </c>
      <c r="D130" s="176">
        <v>0</v>
      </c>
      <c r="E130" s="176" t="str">
        <v>FAN</v>
      </c>
      <c r="F130" s="176" t="str">
        <v>Printing and Packaging</v>
      </c>
      <c r="G130" s="176">
        <v>3201010073</v>
      </c>
      <c r="H130" s="176" t="str">
        <v>Capacitor Master Carton-Fan</v>
      </c>
      <c r="I130" s="176" t="str">
        <v>Pcs</v>
      </c>
      <c r="J130" s="176">
        <v>3300</v>
      </c>
      <c r="K130" s="176">
        <v>57993.91</v>
      </c>
      <c r="L130" s="176">
        <v>0</v>
      </c>
      <c r="M130" s="176">
        <v>0</v>
      </c>
      <c r="N130" s="176">
        <v>3300</v>
      </c>
      <c r="O130" s="176">
        <v>57993.91</v>
      </c>
      <c r="P130" s="176" t="str">
        <v>CHECKED</v>
      </c>
      <c r="Q130" s="176">
        <v>144</v>
      </c>
      <c r="R130" s="176">
        <v>46260.681643518517</v>
      </c>
      <c r="AK130" s="354" t="s">
        <v>660</v>
      </c>
      <c r="AL130" s="354">
        <v>2026</v>
      </c>
      <c r="AM130" s="354" t="str">
        <f t="shared" si="4"/>
        <v>September2026</v>
      </c>
    </row>
    <row r="131" spans="1:39" x14ac:dyDescent="0.3">
      <c r="A131" s="176">
        <v>132</v>
      </c>
      <c r="B131" s="176">
        <v>2282</v>
      </c>
      <c r="C131" s="176" t="str">
        <v>20-08-2026</v>
      </c>
      <c r="D131" s="176">
        <v>0</v>
      </c>
      <c r="E131" s="176" t="str">
        <v>FAN</v>
      </c>
      <c r="F131" s="176" t="str">
        <v>Printing and Packaging</v>
      </c>
      <c r="G131" s="176">
        <v>3201010074</v>
      </c>
      <c r="H131" s="176" t="str">
        <v>Capacitor Inner box 2.5 µF -Fan</v>
      </c>
      <c r="I131" s="176" t="str">
        <v>Pcs</v>
      </c>
      <c r="J131" s="176">
        <v>6130</v>
      </c>
      <c r="K131" s="176">
        <v>47973.91</v>
      </c>
      <c r="L131" s="176">
        <v>0</v>
      </c>
      <c r="M131" s="176">
        <v>0</v>
      </c>
      <c r="N131" s="176">
        <v>6130</v>
      </c>
      <c r="O131" s="176">
        <v>47973.91</v>
      </c>
      <c r="P131" s="176" t="str">
        <v>CHECKED</v>
      </c>
      <c r="Q131" s="176">
        <v>144</v>
      </c>
      <c r="R131" s="176">
        <v>46260.681643518517</v>
      </c>
      <c r="AK131" s="354" t="s">
        <v>660</v>
      </c>
      <c r="AL131" s="354">
        <v>2026</v>
      </c>
      <c r="AM131" s="354" t="str">
        <f t="shared" si="4"/>
        <v>September2026</v>
      </c>
    </row>
    <row r="132" spans="1:39" x14ac:dyDescent="0.3">
      <c r="A132" s="176">
        <v>135</v>
      </c>
      <c r="B132" s="176">
        <v>2282</v>
      </c>
      <c r="C132" s="176" t="str">
        <v>20-08-2026</v>
      </c>
      <c r="D132" s="176">
        <v>0</v>
      </c>
      <c r="E132" s="176" t="str">
        <v>FAN</v>
      </c>
      <c r="F132" s="176" t="str">
        <v>Printing and Packaging</v>
      </c>
      <c r="G132" s="176">
        <v>3201010075</v>
      </c>
      <c r="H132" s="176" t="str">
        <v>Capacitor Inner box 3.5 µF -Fan</v>
      </c>
      <c r="I132" s="176" t="str">
        <v>Pcs</v>
      </c>
      <c r="J132" s="176">
        <v>7010</v>
      </c>
      <c r="K132" s="176">
        <v>54860.87</v>
      </c>
      <c r="L132" s="176">
        <v>0</v>
      </c>
      <c r="M132" s="176">
        <v>0</v>
      </c>
      <c r="N132" s="176">
        <v>7010</v>
      </c>
      <c r="O132" s="176">
        <v>54860.87</v>
      </c>
      <c r="P132" s="176" t="str">
        <v>CHECKED</v>
      </c>
      <c r="Q132" s="176">
        <v>144</v>
      </c>
      <c r="R132" s="176">
        <v>46260.681643518517</v>
      </c>
      <c r="AK132" s="354" t="s">
        <v>660</v>
      </c>
      <c r="AL132" s="354">
        <v>2026</v>
      </c>
      <c r="AM132" s="354" t="str">
        <f t="shared" si="4"/>
        <v>September2026</v>
      </c>
    </row>
    <row r="133" spans="1:39" x14ac:dyDescent="0.3">
      <c r="A133" s="176">
        <v>137</v>
      </c>
      <c r="B133" s="176">
        <v>2282</v>
      </c>
      <c r="C133" s="176" t="str">
        <v>20-08-2026</v>
      </c>
      <c r="D133" s="176">
        <v>0</v>
      </c>
      <c r="E133" s="176" t="str">
        <v>FAN</v>
      </c>
      <c r="F133" s="176" t="str">
        <v>Printing and Packaging</v>
      </c>
      <c r="G133" s="176">
        <v>3201010076</v>
      </c>
      <c r="H133" s="176" t="str">
        <v>Capacitor Warranty Card 2.5 µF -Fan</v>
      </c>
      <c r="I133" s="176" t="str">
        <v>Pcs</v>
      </c>
      <c r="J133" s="176">
        <v>73500</v>
      </c>
      <c r="K133" s="176">
        <v>12782.61</v>
      </c>
      <c r="L133" s="176">
        <v>0</v>
      </c>
      <c r="M133" s="176">
        <v>0</v>
      </c>
      <c r="N133" s="176">
        <v>73500</v>
      </c>
      <c r="O133" s="176">
        <v>12782.61</v>
      </c>
      <c r="P133" s="176" t="str">
        <v>CHECKED</v>
      </c>
      <c r="Q133" s="176">
        <v>144</v>
      </c>
      <c r="R133" s="176">
        <v>46260.681643518517</v>
      </c>
      <c r="AK133" s="354" t="s">
        <v>660</v>
      </c>
      <c r="AL133" s="354">
        <v>2026</v>
      </c>
      <c r="AM133" s="354" t="str">
        <f t="shared" si="4"/>
        <v>September2026</v>
      </c>
    </row>
    <row r="134" spans="1:39" x14ac:dyDescent="0.3">
      <c r="A134" s="176">
        <v>139</v>
      </c>
      <c r="B134" s="176">
        <v>2282</v>
      </c>
      <c r="C134" s="176" t="str">
        <v>20-08-2026</v>
      </c>
      <c r="D134" s="176">
        <v>0</v>
      </c>
      <c r="E134" s="176" t="str">
        <v>FAN</v>
      </c>
      <c r="F134" s="176" t="str">
        <v>Printing and Packaging</v>
      </c>
      <c r="G134" s="176">
        <v>3201010077</v>
      </c>
      <c r="H134" s="176" t="str">
        <v>Capacitor Warranty Card 3.5 µF -Fan</v>
      </c>
      <c r="I134" s="176" t="str">
        <v>Pcs</v>
      </c>
      <c r="J134" s="176">
        <v>50000</v>
      </c>
      <c r="K134" s="176">
        <v>8695.65</v>
      </c>
      <c r="L134" s="176">
        <v>0</v>
      </c>
      <c r="M134" s="176">
        <v>0</v>
      </c>
      <c r="N134" s="176">
        <v>50000</v>
      </c>
      <c r="O134" s="176">
        <v>8695.65</v>
      </c>
      <c r="P134" s="176" t="str">
        <v>CHECKED</v>
      </c>
      <c r="Q134" s="176">
        <v>144</v>
      </c>
      <c r="R134" s="176">
        <v>46260.681643518517</v>
      </c>
      <c r="AK134" s="354" t="s">
        <v>660</v>
      </c>
      <c r="AL134" s="354">
        <v>2026</v>
      </c>
      <c r="AM134" s="354" t="str">
        <f t="shared" si="4"/>
        <v>September2026</v>
      </c>
    </row>
    <row r="135" spans="1:39" x14ac:dyDescent="0.3">
      <c r="A135" s="176">
        <v>142</v>
      </c>
      <c r="B135" s="176">
        <v>2282</v>
      </c>
      <c r="C135" s="176" t="str">
        <v>20-08-2026</v>
      </c>
      <c r="D135" s="176">
        <v>0</v>
      </c>
      <c r="E135" s="176" t="str">
        <v>FAN</v>
      </c>
      <c r="F135" s="176" t="str">
        <v>Printing and Packaging</v>
      </c>
      <c r="G135" s="176">
        <v>3201010079</v>
      </c>
      <c r="H135" s="176" t="str">
        <v>8 Inch Exhaust Fan Body Carton (Alu)</v>
      </c>
      <c r="I135" s="176" t="str">
        <v>Pcs</v>
      </c>
      <c r="J135" s="176">
        <v>7350</v>
      </c>
      <c r="K135" s="176">
        <v>313173.90999999997</v>
      </c>
      <c r="L135" s="176">
        <v>0</v>
      </c>
      <c r="M135" s="176">
        <v>0</v>
      </c>
      <c r="N135" s="176">
        <v>7350</v>
      </c>
      <c r="O135" s="176">
        <v>313173.90999999997</v>
      </c>
      <c r="P135" s="176" t="str">
        <v>CHECKED</v>
      </c>
      <c r="Q135" s="176">
        <v>144</v>
      </c>
      <c r="R135" s="176">
        <v>46260.681643518517</v>
      </c>
      <c r="AK135" s="354" t="s">
        <v>660</v>
      </c>
      <c r="AL135" s="354">
        <v>2026</v>
      </c>
      <c r="AM135" s="354" t="str">
        <f t="shared" si="4"/>
        <v>September2026</v>
      </c>
    </row>
    <row r="136" spans="1:39" x14ac:dyDescent="0.3">
      <c r="A136" s="176">
        <v>145</v>
      </c>
      <c r="B136" s="176">
        <v>2282</v>
      </c>
      <c r="C136" s="176" t="str">
        <v>20-08-2026</v>
      </c>
      <c r="D136" s="176">
        <v>0</v>
      </c>
      <c r="E136" s="176" t="str">
        <v>FAN</v>
      </c>
      <c r="F136" s="176" t="str">
        <v>Printing and Packaging</v>
      </c>
      <c r="G136" s="176">
        <v>3201010080</v>
      </c>
      <c r="H136" s="176" t="str">
        <v>10 Inch Exhaust Fan Body Carton (Alu)</v>
      </c>
      <c r="I136" s="176" t="str">
        <v>Pcs</v>
      </c>
      <c r="J136" s="176">
        <v>8400</v>
      </c>
      <c r="K136" s="176">
        <v>468939.13</v>
      </c>
      <c r="L136" s="176">
        <v>0</v>
      </c>
      <c r="M136" s="176">
        <v>0</v>
      </c>
      <c r="N136" s="176">
        <v>8400</v>
      </c>
      <c r="O136" s="176">
        <v>468939.13</v>
      </c>
      <c r="P136" s="176" t="str">
        <v>CHECKED</v>
      </c>
      <c r="Q136" s="176">
        <v>144</v>
      </c>
      <c r="R136" s="176">
        <v>46260.681643518517</v>
      </c>
      <c r="AK136" s="354" t="s">
        <v>660</v>
      </c>
      <c r="AL136" s="354">
        <v>2026</v>
      </c>
      <c r="AM136" s="354" t="str">
        <f t="shared" si="4"/>
        <v>September2026</v>
      </c>
    </row>
    <row r="137" spans="1:39" x14ac:dyDescent="0.3">
      <c r="A137" s="176">
        <v>148</v>
      </c>
      <c r="B137" s="176">
        <v>2282</v>
      </c>
      <c r="C137" s="176" t="str">
        <v>20-08-2026</v>
      </c>
      <c r="D137" s="176">
        <v>0</v>
      </c>
      <c r="E137" s="176" t="str">
        <v>FAN</v>
      </c>
      <c r="F137" s="176" t="str">
        <v>Printing and Packaging</v>
      </c>
      <c r="G137" s="176">
        <v>3201010081</v>
      </c>
      <c r="H137" s="176" t="str">
        <v>Aero Flow Sticker</v>
      </c>
      <c r="I137" s="176" t="str">
        <v>Pcs</v>
      </c>
      <c r="J137" s="176">
        <v>8000</v>
      </c>
      <c r="K137" s="176">
        <v>1651.53</v>
      </c>
      <c r="L137" s="176">
        <v>0</v>
      </c>
      <c r="M137" s="176">
        <v>0</v>
      </c>
      <c r="N137" s="176">
        <v>8000</v>
      </c>
      <c r="O137" s="176">
        <v>1651.53</v>
      </c>
      <c r="P137" s="176" t="str">
        <v>CHECKED</v>
      </c>
      <c r="Q137" s="176">
        <v>144</v>
      </c>
      <c r="R137" s="176">
        <v>46260.681643518517</v>
      </c>
      <c r="AK137" s="354" t="s">
        <v>660</v>
      </c>
      <c r="AL137" s="354">
        <v>2026</v>
      </c>
      <c r="AM137" s="354" t="str">
        <f t="shared" si="4"/>
        <v>September2026</v>
      </c>
    </row>
    <row r="138" spans="1:39" x14ac:dyDescent="0.3">
      <c r="A138" s="176">
        <v>150</v>
      </c>
      <c r="B138" s="176">
        <v>2282</v>
      </c>
      <c r="C138" s="176" t="str">
        <v>20-08-2026</v>
      </c>
      <c r="D138" s="176">
        <v>0</v>
      </c>
      <c r="E138" s="176" t="str">
        <v>FAN</v>
      </c>
      <c r="F138" s="176" t="str">
        <v>Printing and Packaging</v>
      </c>
      <c r="G138" s="176">
        <v>3201010083</v>
      </c>
      <c r="H138" s="176" t="str">
        <v>Warranty Card (Aero Flow)</v>
      </c>
      <c r="I138" s="176" t="str">
        <v>Pcs</v>
      </c>
      <c r="J138" s="176">
        <v>16000</v>
      </c>
      <c r="K138" s="176">
        <v>4381.63</v>
      </c>
      <c r="L138" s="176">
        <v>0</v>
      </c>
      <c r="M138" s="176">
        <v>0</v>
      </c>
      <c r="N138" s="176">
        <v>16000</v>
      </c>
      <c r="O138" s="176">
        <v>4381.63</v>
      </c>
      <c r="P138" s="176" t="str">
        <v>CHECKED</v>
      </c>
      <c r="Q138" s="176">
        <v>144</v>
      </c>
      <c r="R138" s="176">
        <v>46260.681643518517</v>
      </c>
      <c r="AK138" s="354" t="s">
        <v>660</v>
      </c>
      <c r="AL138" s="354">
        <v>2026</v>
      </c>
      <c r="AM138" s="354" t="str">
        <f t="shared" si="4"/>
        <v>September2026</v>
      </c>
    </row>
    <row r="139" spans="1:39" x14ac:dyDescent="0.3">
      <c r="A139" s="176">
        <v>155</v>
      </c>
      <c r="B139" s="176">
        <v>2282</v>
      </c>
      <c r="C139" s="176" t="str">
        <v>20-08-2026</v>
      </c>
      <c r="D139" s="176">
        <v>0</v>
      </c>
      <c r="E139" s="176" t="str">
        <v>FAN</v>
      </c>
      <c r="F139" s="176" t="str">
        <v>Printing and Packaging</v>
      </c>
      <c r="G139" s="176">
        <v>700100035</v>
      </c>
      <c r="H139" s="176" t="str">
        <v>QC Pass Sticker (Fan)- Blue Color</v>
      </c>
      <c r="I139" s="176" t="str">
        <v>Pcs</v>
      </c>
      <c r="J139" s="176">
        <v>100000</v>
      </c>
      <c r="K139" s="176">
        <v>25217.39</v>
      </c>
      <c r="L139" s="176">
        <v>0</v>
      </c>
      <c r="M139" s="176">
        <v>0</v>
      </c>
      <c r="N139" s="176">
        <v>100000</v>
      </c>
      <c r="O139" s="176">
        <v>25217.39</v>
      </c>
      <c r="P139" s="176" t="str">
        <v>CHECKED</v>
      </c>
      <c r="Q139" s="176">
        <v>144</v>
      </c>
      <c r="R139" s="176">
        <v>46260.681643518517</v>
      </c>
      <c r="AK139" s="354" t="s">
        <v>660</v>
      </c>
      <c r="AL139" s="354">
        <v>2026</v>
      </c>
      <c r="AM139" s="354" t="str">
        <f t="shared" si="4"/>
        <v>September2026</v>
      </c>
    </row>
    <row r="140" spans="1:39" x14ac:dyDescent="0.3">
      <c r="A140" s="176">
        <v>5</v>
      </c>
      <c r="B140" s="176">
        <v>2288</v>
      </c>
      <c r="C140" s="176" t="str">
        <v>22-08-2026</v>
      </c>
      <c r="D140" s="176">
        <v>0</v>
      </c>
      <c r="E140" s="176" t="str">
        <v>FAN</v>
      </c>
      <c r="F140" s="176" t="str">
        <v>MEP</v>
      </c>
      <c r="G140" s="176">
        <v>3101010017</v>
      </c>
      <c r="H140" s="176" t="str">
        <v>Super Wire (SWG 34) / 0.233mm</v>
      </c>
      <c r="I140" s="176" t="str">
        <v>KG</v>
      </c>
      <c r="J140" s="176">
        <v>3000</v>
      </c>
      <c r="K140" s="176">
        <v>6092657.0800000001</v>
      </c>
      <c r="L140" s="176">
        <v>0</v>
      </c>
      <c r="M140" s="176">
        <v>0</v>
      </c>
      <c r="N140" s="176">
        <v>3000</v>
      </c>
      <c r="O140" s="176">
        <v>6092657.0800000001</v>
      </c>
      <c r="P140" s="176" t="str">
        <v>CHECKED</v>
      </c>
      <c r="Q140" s="176">
        <v>144</v>
      </c>
      <c r="R140" s="176">
        <v>46260.691643518519</v>
      </c>
      <c r="AK140" s="354" t="s">
        <v>660</v>
      </c>
      <c r="AL140" s="354">
        <v>2026</v>
      </c>
      <c r="AM140" s="354" t="str">
        <f t="shared" si="4"/>
        <v>September2026</v>
      </c>
    </row>
    <row r="141" spans="1:39" x14ac:dyDescent="0.3">
      <c r="A141" s="176">
        <v>8</v>
      </c>
      <c r="B141" s="176">
        <v>2288</v>
      </c>
      <c r="C141" s="176" t="str">
        <v>22-08-2026</v>
      </c>
      <c r="D141" s="176">
        <v>0</v>
      </c>
      <c r="E141" s="176" t="str">
        <v>FAN</v>
      </c>
      <c r="F141" s="176" t="str">
        <v>MEP</v>
      </c>
      <c r="G141" s="176">
        <v>3101010018</v>
      </c>
      <c r="H141" s="176" t="str">
        <v>Super Wire (SWG 35) / 0.213mm</v>
      </c>
      <c r="I141" s="176" t="str">
        <v>KG</v>
      </c>
      <c r="J141" s="176">
        <v>3000</v>
      </c>
      <c r="K141" s="176">
        <v>3729850.76</v>
      </c>
      <c r="L141" s="176">
        <v>0</v>
      </c>
      <c r="M141" s="176">
        <v>0</v>
      </c>
      <c r="N141" s="176">
        <v>3000</v>
      </c>
      <c r="O141" s="176">
        <v>3729850.76</v>
      </c>
      <c r="P141" s="176" t="str">
        <v>CHECKED</v>
      </c>
      <c r="Q141" s="176">
        <v>144</v>
      </c>
      <c r="R141" s="176">
        <v>46260.691643518519</v>
      </c>
      <c r="AK141" s="354" t="s">
        <v>660</v>
      </c>
      <c r="AL141" s="354">
        <v>2026</v>
      </c>
      <c r="AM141" s="354" t="str">
        <f t="shared" si="4"/>
        <v>September2026</v>
      </c>
    </row>
    <row r="142" spans="1:39" x14ac:dyDescent="0.3">
      <c r="A142" s="176">
        <v>11</v>
      </c>
      <c r="B142" s="176">
        <v>2287</v>
      </c>
      <c r="C142" s="176" t="str">
        <v>22-08-2026</v>
      </c>
      <c r="D142" s="176">
        <v>0</v>
      </c>
      <c r="E142" s="176" t="str">
        <v>FAN</v>
      </c>
      <c r="F142" s="176" t="str">
        <v>MEP</v>
      </c>
      <c r="G142" s="176">
        <v>3101010070</v>
      </c>
      <c r="H142" s="176" t="str">
        <v>Ms Washer 3/16 (1910/kg)</v>
      </c>
      <c r="I142" s="176" t="str">
        <v>KG</v>
      </c>
      <c r="J142" s="176">
        <v>15</v>
      </c>
      <c r="K142" s="176">
        <v>5399.72</v>
      </c>
      <c r="L142" s="176">
        <v>0</v>
      </c>
      <c r="M142" s="176">
        <v>0</v>
      </c>
      <c r="N142" s="176">
        <v>15</v>
      </c>
      <c r="O142" s="176">
        <v>5399.72</v>
      </c>
      <c r="P142" s="176" t="str">
        <v>CHECKED</v>
      </c>
      <c r="Q142" s="176">
        <v>144</v>
      </c>
      <c r="R142" s="176">
        <v>46260.691400462965</v>
      </c>
      <c r="AK142" s="354" t="s">
        <v>660</v>
      </c>
      <c r="AL142" s="354">
        <v>2026</v>
      </c>
      <c r="AM142" s="354" t="str">
        <f t="shared" si="4"/>
        <v>September2026</v>
      </c>
    </row>
    <row r="143" spans="1:39" x14ac:dyDescent="0.3">
      <c r="A143" s="176">
        <v>14</v>
      </c>
      <c r="B143" s="176">
        <v>2287</v>
      </c>
      <c r="C143" s="176" t="str">
        <v>22-08-2026</v>
      </c>
      <c r="D143" s="176">
        <v>0</v>
      </c>
      <c r="E143" s="176" t="str">
        <v>FAN</v>
      </c>
      <c r="F143" s="176" t="str">
        <v>MEP</v>
      </c>
      <c r="G143" s="176">
        <v>3101010071</v>
      </c>
      <c r="H143" s="176" t="str">
        <v>Down Pipe Bolt 8mm x 1.5```` (50/kg)</v>
      </c>
      <c r="I143" s="176" t="str">
        <v>Pcs</v>
      </c>
      <c r="J143" s="176">
        <v>84000</v>
      </c>
      <c r="K143" s="176">
        <v>249808.7</v>
      </c>
      <c r="L143" s="176">
        <v>0</v>
      </c>
      <c r="M143" s="176">
        <v>0</v>
      </c>
      <c r="N143" s="176">
        <v>84000</v>
      </c>
      <c r="O143" s="176">
        <v>249808.7</v>
      </c>
      <c r="P143" s="176" t="str">
        <v>CHECKED</v>
      </c>
      <c r="Q143" s="176">
        <v>144</v>
      </c>
      <c r="R143" s="176">
        <v>46260.691400462965</v>
      </c>
      <c r="AK143" s="354" t="s">
        <v>660</v>
      </c>
      <c r="AL143" s="354">
        <v>2026</v>
      </c>
      <c r="AM143" s="354" t="str">
        <f t="shared" si="4"/>
        <v>September2026</v>
      </c>
    </row>
    <row r="144" spans="1:39" x14ac:dyDescent="0.3">
      <c r="A144" s="176">
        <v>17</v>
      </c>
      <c r="B144" s="176">
        <v>2287</v>
      </c>
      <c r="C144" s="176" t="str">
        <v>22-08-2026</v>
      </c>
      <c r="D144" s="176">
        <v>0</v>
      </c>
      <c r="E144" s="176" t="str">
        <v>FAN</v>
      </c>
      <c r="F144" s="176" t="str">
        <v>MEP</v>
      </c>
      <c r="G144" s="176">
        <v>3101010072</v>
      </c>
      <c r="H144" s="176" t="str">
        <v>Down Pipe Bolt 8mm x 2```` (45/kg)</v>
      </c>
      <c r="I144" s="176" t="str">
        <v>Pcs</v>
      </c>
      <c r="J144" s="176">
        <v>21000</v>
      </c>
      <c r="K144" s="176">
        <v>72860.87</v>
      </c>
      <c r="L144" s="176">
        <v>0</v>
      </c>
      <c r="M144" s="176">
        <v>0</v>
      </c>
      <c r="N144" s="176">
        <v>21000</v>
      </c>
      <c r="O144" s="176">
        <v>72860.87</v>
      </c>
      <c r="P144" s="176" t="str">
        <v>CHECKED</v>
      </c>
      <c r="Q144" s="176">
        <v>144</v>
      </c>
      <c r="R144" s="176">
        <v>46260.691400462965</v>
      </c>
      <c r="AK144" s="354" t="s">
        <v>660</v>
      </c>
      <c r="AL144" s="354">
        <v>2026</v>
      </c>
      <c r="AM144" s="354" t="str">
        <f t="shared" si="4"/>
        <v>September2026</v>
      </c>
    </row>
    <row r="145" spans="1:39" x14ac:dyDescent="0.3">
      <c r="A145" s="176">
        <v>20</v>
      </c>
      <c r="B145" s="176">
        <v>2287</v>
      </c>
      <c r="C145" s="176" t="str">
        <v>22-08-2026</v>
      </c>
      <c r="D145" s="176">
        <v>0</v>
      </c>
      <c r="E145" s="176" t="str">
        <v>FAN</v>
      </c>
      <c r="F145" s="176" t="str">
        <v>MEP</v>
      </c>
      <c r="G145" s="176">
        <v>3101010073</v>
      </c>
      <c r="H145" s="176" t="str">
        <v>Down Pipe Sira Pin(Fan)</v>
      </c>
      <c r="I145" s="176" t="str">
        <v>Pcs</v>
      </c>
      <c r="J145" s="176">
        <v>70000</v>
      </c>
      <c r="K145" s="176">
        <v>12173.91</v>
      </c>
      <c r="L145" s="176">
        <v>0</v>
      </c>
      <c r="M145" s="176">
        <v>0</v>
      </c>
      <c r="N145" s="176">
        <v>70000</v>
      </c>
      <c r="O145" s="176">
        <v>12173.91</v>
      </c>
      <c r="P145" s="176" t="str">
        <v>CHECKED</v>
      </c>
      <c r="Q145" s="176">
        <v>144</v>
      </c>
      <c r="R145" s="176">
        <v>46260.691400462965</v>
      </c>
      <c r="AK145" s="354" t="s">
        <v>660</v>
      </c>
      <c r="AL145" s="354">
        <v>2026</v>
      </c>
      <c r="AM145" s="354" t="str">
        <f t="shared" si="4"/>
        <v>September2026</v>
      </c>
    </row>
    <row r="146" spans="1:39" x14ac:dyDescent="0.3">
      <c r="A146" s="176">
        <v>23</v>
      </c>
      <c r="B146" s="176">
        <v>2287</v>
      </c>
      <c r="C146" s="176" t="str">
        <v>22-08-2026</v>
      </c>
      <c r="D146" s="176">
        <v>0</v>
      </c>
      <c r="E146" s="176" t="str">
        <v>FAN</v>
      </c>
      <c r="F146" s="176" t="str">
        <v>MEP</v>
      </c>
      <c r="G146" s="176">
        <v>3101010074</v>
      </c>
      <c r="H146" s="176" t="str">
        <v>Shaft/XL /Safity lock Screw 3/16x3/8```` (400/kg)</v>
      </c>
      <c r="I146" s="176" t="str">
        <v>KG</v>
      </c>
      <c r="J146" s="176">
        <v>126</v>
      </c>
      <c r="K146" s="176">
        <v>22050</v>
      </c>
      <c r="L146" s="176">
        <v>0</v>
      </c>
      <c r="M146" s="176">
        <v>0</v>
      </c>
      <c r="N146" s="176">
        <v>126</v>
      </c>
      <c r="O146" s="176">
        <v>22050</v>
      </c>
      <c r="P146" s="176" t="str">
        <v>CHECKED</v>
      </c>
      <c r="Q146" s="176">
        <v>144</v>
      </c>
      <c r="R146" s="176">
        <v>46260.691400462965</v>
      </c>
      <c r="AK146" s="354" t="s">
        <v>660</v>
      </c>
      <c r="AL146" s="354">
        <v>2026</v>
      </c>
      <c r="AM146" s="354" t="str">
        <f t="shared" si="4"/>
        <v>September2026</v>
      </c>
    </row>
    <row r="147" spans="1:39" x14ac:dyDescent="0.3">
      <c r="A147" s="176">
        <v>26</v>
      </c>
      <c r="B147" s="176">
        <v>2287</v>
      </c>
      <c r="C147" s="176" t="str">
        <v>22-08-2026</v>
      </c>
      <c r="D147" s="176">
        <v>0</v>
      </c>
      <c r="E147" s="176" t="str">
        <v>FAN</v>
      </c>
      <c r="F147" s="176" t="str">
        <v>MEP</v>
      </c>
      <c r="G147" s="176">
        <v>3101010075</v>
      </c>
      <c r="H147" s="176" t="str">
        <v>Body Screw 18x6mm,H=10mm (200/kg)</v>
      </c>
      <c r="I147" s="176" t="str">
        <v>KG</v>
      </c>
      <c r="J147" s="176">
        <v>20</v>
      </c>
      <c r="K147" s="176">
        <v>3500.1</v>
      </c>
      <c r="L147" s="176">
        <v>0</v>
      </c>
      <c r="M147" s="176">
        <v>0</v>
      </c>
      <c r="N147" s="176">
        <v>20</v>
      </c>
      <c r="O147" s="176">
        <v>3500.1</v>
      </c>
      <c r="P147" s="176" t="str">
        <v>CHECKED</v>
      </c>
      <c r="Q147" s="176">
        <v>144</v>
      </c>
      <c r="R147" s="176">
        <v>46260.691400462965</v>
      </c>
      <c r="AK147" s="354" t="s">
        <v>660</v>
      </c>
      <c r="AL147" s="354">
        <v>2026</v>
      </c>
      <c r="AM147" s="354" t="str">
        <f t="shared" si="4"/>
        <v>September2026</v>
      </c>
    </row>
    <row r="148" spans="1:39" x14ac:dyDescent="0.3">
      <c r="A148" s="176">
        <v>27</v>
      </c>
      <c r="B148" s="176">
        <v>2287</v>
      </c>
      <c r="C148" s="176" t="str">
        <v>22-08-2026</v>
      </c>
      <c r="D148" s="176">
        <v>0</v>
      </c>
      <c r="E148" s="176" t="str">
        <v>FAN</v>
      </c>
      <c r="F148" s="176" t="str">
        <v>MEP</v>
      </c>
      <c r="G148" s="176">
        <v>3101010076</v>
      </c>
      <c r="H148" s="176" t="str">
        <v>Body Screw 15x6mm,H=10mm (230/kg)</v>
      </c>
      <c r="I148" s="176" t="str">
        <v>KG</v>
      </c>
      <c r="J148" s="176">
        <v>168</v>
      </c>
      <c r="K148" s="176">
        <v>29400</v>
      </c>
      <c r="L148" s="176">
        <v>0</v>
      </c>
      <c r="M148" s="176">
        <v>0</v>
      </c>
      <c r="N148" s="176">
        <v>168</v>
      </c>
      <c r="O148" s="176">
        <v>29400</v>
      </c>
      <c r="P148" s="176" t="str">
        <v>CHECKED</v>
      </c>
      <c r="Q148" s="176">
        <v>144</v>
      </c>
      <c r="R148" s="176">
        <v>46260.691400462965</v>
      </c>
      <c r="AK148" s="354" t="s">
        <v>660</v>
      </c>
      <c r="AL148" s="354">
        <v>2026</v>
      </c>
      <c r="AM148" s="354" t="str">
        <f t="shared" si="4"/>
        <v>September2026</v>
      </c>
    </row>
    <row r="149" spans="1:39" x14ac:dyDescent="0.3">
      <c r="A149" s="176">
        <v>30</v>
      </c>
      <c r="B149" s="176">
        <v>2287</v>
      </c>
      <c r="C149" s="176" t="str">
        <v>22-08-2026</v>
      </c>
      <c r="D149" s="176">
        <v>0</v>
      </c>
      <c r="E149" s="176" t="str">
        <v>FAN</v>
      </c>
      <c r="F149" s="176" t="str">
        <v>MEP</v>
      </c>
      <c r="G149" s="176">
        <v>3101010077</v>
      </c>
      <c r="H149" s="176" t="str">
        <v>Blade/Body Screw 12.7x6mm,H=10mm (220/kg)</v>
      </c>
      <c r="I149" s="176" t="str">
        <v>KG</v>
      </c>
      <c r="J149" s="176">
        <v>1380</v>
      </c>
      <c r="K149" s="176">
        <v>241448.36</v>
      </c>
      <c r="L149" s="176">
        <v>0</v>
      </c>
      <c r="M149" s="176">
        <v>0</v>
      </c>
      <c r="N149" s="176">
        <v>1380</v>
      </c>
      <c r="O149" s="176">
        <v>241448.36</v>
      </c>
      <c r="P149" s="176" t="str">
        <v>CHECKED</v>
      </c>
      <c r="Q149" s="176">
        <v>144</v>
      </c>
      <c r="R149" s="176">
        <v>46260.691400462965</v>
      </c>
      <c r="AK149" s="354" t="s">
        <v>660</v>
      </c>
      <c r="AL149" s="354">
        <v>2026</v>
      </c>
      <c r="AM149" s="354" t="str">
        <f t="shared" si="4"/>
        <v>September2026</v>
      </c>
    </row>
    <row r="150" spans="1:39" x14ac:dyDescent="0.3">
      <c r="A150" s="176">
        <v>33</v>
      </c>
      <c r="B150" s="176">
        <v>2285</v>
      </c>
      <c r="C150" s="176" t="str">
        <v>22-08-2026</v>
      </c>
      <c r="D150" s="176">
        <v>0</v>
      </c>
      <c r="E150" s="176" t="str">
        <v>FAN</v>
      </c>
      <c r="F150" s="176" t="str">
        <v>MEP</v>
      </c>
      <c r="G150" s="176">
        <v>3101010078</v>
      </c>
      <c r="H150" s="176" t="str">
        <v>Canopy Big</v>
      </c>
      <c r="I150" s="176" t="str">
        <v>Pcs</v>
      </c>
      <c r="J150" s="176">
        <v>84000</v>
      </c>
      <c r="K150" s="176">
        <v>865565.22</v>
      </c>
      <c r="L150" s="176">
        <v>0</v>
      </c>
      <c r="M150" s="176">
        <v>0</v>
      </c>
      <c r="N150" s="176">
        <v>84000</v>
      </c>
      <c r="O150" s="176">
        <v>865565.22</v>
      </c>
      <c r="P150" s="176" t="str">
        <v>CHECKED</v>
      </c>
      <c r="Q150" s="176">
        <v>144</v>
      </c>
      <c r="R150" s="176">
        <v>46260.691041666665</v>
      </c>
      <c r="AK150" s="354" t="s">
        <v>660</v>
      </c>
      <c r="AL150" s="354">
        <v>2026</v>
      </c>
      <c r="AM150" s="354" t="str">
        <f t="shared" si="4"/>
        <v>September2026</v>
      </c>
    </row>
    <row r="151" spans="1:39" x14ac:dyDescent="0.3">
      <c r="A151" s="176">
        <v>36</v>
      </c>
      <c r="B151" s="176">
        <v>2285</v>
      </c>
      <c r="C151" s="176" t="str">
        <v>22-08-2026</v>
      </c>
      <c r="D151" s="176">
        <v>0</v>
      </c>
      <c r="E151" s="176" t="str">
        <v>FAN</v>
      </c>
      <c r="F151" s="176" t="str">
        <v>MEP</v>
      </c>
      <c r="G151" s="176">
        <v>3101010080</v>
      </c>
      <c r="H151" s="176" t="str">
        <v>Capacitor Cover</v>
      </c>
      <c r="I151" s="176" t="str">
        <v>Pcs</v>
      </c>
      <c r="J151" s="176">
        <v>42000</v>
      </c>
      <c r="K151" s="176">
        <v>39443.480000000003</v>
      </c>
      <c r="L151" s="176">
        <v>0</v>
      </c>
      <c r="M151" s="176">
        <v>0</v>
      </c>
      <c r="N151" s="176">
        <v>42000</v>
      </c>
      <c r="O151" s="176">
        <v>39443.480000000003</v>
      </c>
      <c r="P151" s="176" t="str">
        <v>CHECKED</v>
      </c>
      <c r="Q151" s="176">
        <v>144</v>
      </c>
      <c r="R151" s="176">
        <v>46260.691041666665</v>
      </c>
      <c r="AK151" s="354" t="s">
        <v>660</v>
      </c>
      <c r="AL151" s="354">
        <v>2026</v>
      </c>
      <c r="AM151" s="354" t="str">
        <f t="shared" si="4"/>
        <v>September2026</v>
      </c>
    </row>
    <row r="152" spans="1:39" x14ac:dyDescent="0.3">
      <c r="A152" s="176">
        <v>39</v>
      </c>
      <c r="B152" s="176">
        <v>2285</v>
      </c>
      <c r="C152" s="176" t="str">
        <v>22-08-2026</v>
      </c>
      <c r="D152" s="176">
        <v>0</v>
      </c>
      <c r="E152" s="176" t="str">
        <v>FAN</v>
      </c>
      <c r="F152" s="176" t="str">
        <v>MEP</v>
      </c>
      <c r="G152" s="176">
        <v>3101010081</v>
      </c>
      <c r="H152" s="176" t="str">
        <v>Rubber Gasket (56`` 48``)</v>
      </c>
      <c r="I152" s="176" t="str">
        <v>Pcs</v>
      </c>
      <c r="J152" s="176">
        <v>63000</v>
      </c>
      <c r="K152" s="176">
        <v>21365.22</v>
      </c>
      <c r="L152" s="176">
        <v>0</v>
      </c>
      <c r="M152" s="176">
        <v>0</v>
      </c>
      <c r="N152" s="176">
        <v>63000</v>
      </c>
      <c r="O152" s="176">
        <v>21365.22</v>
      </c>
      <c r="P152" s="176" t="str">
        <v>CHECKED</v>
      </c>
      <c r="Q152" s="176">
        <v>144</v>
      </c>
      <c r="R152" s="176">
        <v>46260.691041666665</v>
      </c>
      <c r="AK152" s="354" t="s">
        <v>660</v>
      </c>
      <c r="AL152" s="354">
        <v>2026</v>
      </c>
      <c r="AM152" s="354" t="str">
        <f t="shared" si="4"/>
        <v>September2026</v>
      </c>
    </row>
    <row r="153" spans="1:39" x14ac:dyDescent="0.3">
      <c r="A153" s="176">
        <v>42</v>
      </c>
      <c r="B153" s="176">
        <v>2285</v>
      </c>
      <c r="C153" s="176" t="str">
        <v>22-08-2026</v>
      </c>
      <c r="D153" s="176">
        <v>0</v>
      </c>
      <c r="E153" s="176" t="str">
        <v>FAN</v>
      </c>
      <c r="F153" s="176" t="str">
        <v>MEP</v>
      </c>
      <c r="G153" s="176">
        <v>3101010083</v>
      </c>
      <c r="H153" s="176" t="str">
        <v>Rubber Gasket (2401,3601)</v>
      </c>
      <c r="I153" s="176" t="str">
        <v>Pcs</v>
      </c>
      <c r="J153" s="176">
        <v>31500</v>
      </c>
      <c r="K153" s="176">
        <v>7943.39</v>
      </c>
      <c r="L153" s="176">
        <v>0</v>
      </c>
      <c r="M153" s="176">
        <v>0</v>
      </c>
      <c r="N153" s="176">
        <v>31500</v>
      </c>
      <c r="O153" s="176">
        <v>7943.39</v>
      </c>
      <c r="P153" s="176" t="str">
        <v>CHECKED</v>
      </c>
      <c r="Q153" s="176">
        <v>144</v>
      </c>
      <c r="R153" s="176">
        <v>46260.691041666665</v>
      </c>
      <c r="AK153" s="354" t="s">
        <v>660</v>
      </c>
      <c r="AL153" s="354">
        <v>2026</v>
      </c>
      <c r="AM153" s="354" t="str">
        <f t="shared" si="4"/>
        <v>September2026</v>
      </c>
    </row>
    <row r="154" spans="1:39" x14ac:dyDescent="0.3">
      <c r="A154" s="176">
        <v>45</v>
      </c>
      <c r="B154" s="176">
        <v>2285</v>
      </c>
      <c r="C154" s="176" t="str">
        <v>22-08-2026</v>
      </c>
      <c r="D154" s="176">
        <v>0</v>
      </c>
      <c r="E154" s="176" t="str">
        <v>FAN</v>
      </c>
      <c r="F154" s="176" t="str">
        <v>MEP</v>
      </c>
      <c r="G154" s="176">
        <v>3101010084</v>
      </c>
      <c r="H154" s="176" t="str">
        <v>Plastic XL Cap</v>
      </c>
      <c r="I154" s="176" t="str">
        <v>Pcs</v>
      </c>
      <c r="J154" s="176">
        <v>42000</v>
      </c>
      <c r="K154" s="176">
        <v>8400</v>
      </c>
      <c r="L154" s="176">
        <v>0</v>
      </c>
      <c r="M154" s="176">
        <v>0</v>
      </c>
      <c r="N154" s="176">
        <v>42000</v>
      </c>
      <c r="O154" s="176">
        <v>8400</v>
      </c>
      <c r="P154" s="176" t="str">
        <v>CHECKED</v>
      </c>
      <c r="Q154" s="176">
        <v>144</v>
      </c>
      <c r="R154" s="176">
        <v>46260.691041666665</v>
      </c>
      <c r="AK154" s="354" t="s">
        <v>660</v>
      </c>
      <c r="AL154" s="354">
        <v>2026</v>
      </c>
      <c r="AM154" s="354" t="str">
        <f t="shared" si="4"/>
        <v>September2026</v>
      </c>
    </row>
    <row r="155" spans="1:39" x14ac:dyDescent="0.3">
      <c r="A155" s="176">
        <v>48</v>
      </c>
      <c r="B155" s="176">
        <v>2285</v>
      </c>
      <c r="C155" s="176" t="str">
        <v>22-08-2026</v>
      </c>
      <c r="D155" s="176">
        <v>0</v>
      </c>
      <c r="E155" s="176" t="str">
        <v>FAN</v>
      </c>
      <c r="F155" s="176" t="str">
        <v>MEP</v>
      </c>
      <c r="G155" s="176">
        <v>3101010085</v>
      </c>
      <c r="H155" s="176" t="str">
        <v>Insulation Rubber</v>
      </c>
      <c r="I155" s="176" t="str">
        <v>Pcs</v>
      </c>
      <c r="J155" s="176">
        <v>42000</v>
      </c>
      <c r="K155" s="176">
        <v>98608.7</v>
      </c>
      <c r="L155" s="176">
        <v>0</v>
      </c>
      <c r="M155" s="176">
        <v>0</v>
      </c>
      <c r="N155" s="176">
        <v>42000</v>
      </c>
      <c r="O155" s="176">
        <v>98608.7</v>
      </c>
      <c r="P155" s="176" t="str">
        <v>CHECKED</v>
      </c>
      <c r="Q155" s="176">
        <v>144</v>
      </c>
      <c r="R155" s="176">
        <v>46260.691041666665</v>
      </c>
      <c r="AK155" s="354" t="s">
        <v>660</v>
      </c>
      <c r="AL155" s="354">
        <v>2026</v>
      </c>
      <c r="AM155" s="354" t="str">
        <f t="shared" ref="AM155:AM182" si="5">AK155&amp;AL155</f>
        <v>September2026</v>
      </c>
    </row>
    <row r="156" spans="1:39" x14ac:dyDescent="0.3">
      <c r="A156" s="176">
        <v>51</v>
      </c>
      <c r="B156" s="176">
        <v>2285</v>
      </c>
      <c r="C156" s="176" t="str">
        <v>22-08-2026</v>
      </c>
      <c r="D156" s="176">
        <v>0</v>
      </c>
      <c r="E156" s="176" t="str">
        <v>FAN</v>
      </c>
      <c r="F156" s="176" t="str">
        <v>MEP</v>
      </c>
      <c r="G156" s="176">
        <v>3101010086</v>
      </c>
      <c r="H156" s="176" t="str">
        <v>Canopy Rubber Ring</v>
      </c>
      <c r="I156" s="176" t="str">
        <v>Pcs</v>
      </c>
      <c r="J156" s="176">
        <v>84000</v>
      </c>
      <c r="K156" s="176">
        <v>54782.63</v>
      </c>
      <c r="L156" s="176">
        <v>0</v>
      </c>
      <c r="M156" s="176">
        <v>0</v>
      </c>
      <c r="N156" s="176">
        <v>84000</v>
      </c>
      <c r="O156" s="176">
        <v>54782.63</v>
      </c>
      <c r="P156" s="176" t="str">
        <v>CHECKED</v>
      </c>
      <c r="Q156" s="176">
        <v>144</v>
      </c>
      <c r="R156" s="176">
        <v>46260.691041666665</v>
      </c>
      <c r="AK156" s="354" t="s">
        <v>660</v>
      </c>
      <c r="AL156" s="354">
        <v>2026</v>
      </c>
      <c r="AM156" s="354" t="str">
        <f t="shared" si="5"/>
        <v>September2026</v>
      </c>
    </row>
    <row r="157" spans="1:39" x14ac:dyDescent="0.3">
      <c r="A157" s="176">
        <v>54</v>
      </c>
      <c r="B157" s="176">
        <v>2288</v>
      </c>
      <c r="C157" s="176" t="str">
        <v>22-08-2026</v>
      </c>
      <c r="D157" s="176">
        <v>0</v>
      </c>
      <c r="E157" s="176" t="str">
        <v>FAN</v>
      </c>
      <c r="F157" s="176" t="str">
        <v>MEP</v>
      </c>
      <c r="G157" s="176">
        <v>3101010090</v>
      </c>
      <c r="H157" s="176" t="str">
        <v>Flaxible Cable 14x0.0076 - Red</v>
      </c>
      <c r="I157" s="176" t="str">
        <v>Mtr</v>
      </c>
      <c r="J157" s="176">
        <v>38400</v>
      </c>
      <c r="K157" s="176">
        <v>392191.59</v>
      </c>
      <c r="L157" s="176">
        <v>0</v>
      </c>
      <c r="M157" s="176">
        <v>0</v>
      </c>
      <c r="N157" s="176">
        <v>38400</v>
      </c>
      <c r="O157" s="176">
        <v>392191.59</v>
      </c>
      <c r="P157" s="176" t="str">
        <v>CHECKED</v>
      </c>
      <c r="Q157" s="176">
        <v>144</v>
      </c>
      <c r="R157" s="176">
        <v>46260.691643518519</v>
      </c>
      <c r="AK157" s="354" t="s">
        <v>660</v>
      </c>
      <c r="AL157" s="354">
        <v>2026</v>
      </c>
      <c r="AM157" s="354" t="str">
        <f t="shared" si="5"/>
        <v>September2026</v>
      </c>
    </row>
    <row r="158" spans="1:39" x14ac:dyDescent="0.3">
      <c r="A158" s="176">
        <v>57</v>
      </c>
      <c r="B158" s="176">
        <v>2286</v>
      </c>
      <c r="C158" s="176" t="str">
        <v>22-08-2026</v>
      </c>
      <c r="D158" s="176">
        <v>0</v>
      </c>
      <c r="E158" s="176" t="str">
        <v>FAN</v>
      </c>
      <c r="F158" s="176" t="str">
        <v>MEP</v>
      </c>
      <c r="G158" s="176">
        <v>3101010107</v>
      </c>
      <c r="H158" s="176" t="str">
        <v>Nice Regulator Small White(FAN)</v>
      </c>
      <c r="I158" s="176" t="str">
        <v>Pcs</v>
      </c>
      <c r="J158" s="176">
        <v>40000</v>
      </c>
      <c r="K158" s="176">
        <v>2136695.65</v>
      </c>
      <c r="L158" s="176">
        <v>0</v>
      </c>
      <c r="M158" s="176">
        <v>0</v>
      </c>
      <c r="N158" s="176">
        <v>40000</v>
      </c>
      <c r="O158" s="176">
        <v>2136695.65</v>
      </c>
      <c r="P158" s="176" t="str">
        <v>CHECKED</v>
      </c>
      <c r="Q158" s="176">
        <v>144</v>
      </c>
      <c r="R158" s="176">
        <v>46260.691111111111</v>
      </c>
      <c r="AK158" s="354" t="s">
        <v>660</v>
      </c>
      <c r="AL158" s="354">
        <v>2026</v>
      </c>
      <c r="AM158" s="354" t="str">
        <f t="shared" si="5"/>
        <v>September2026</v>
      </c>
    </row>
    <row r="159" spans="1:39" x14ac:dyDescent="0.3">
      <c r="A159" s="176">
        <v>58</v>
      </c>
      <c r="B159" s="176">
        <v>2285</v>
      </c>
      <c r="C159" s="176" t="str">
        <v>22-08-2026</v>
      </c>
      <c r="D159" s="176">
        <v>0</v>
      </c>
      <c r="E159" s="176" t="str">
        <v>FAN</v>
      </c>
      <c r="F159" s="176" t="str">
        <v>MEP</v>
      </c>
      <c r="G159" s="176">
        <v>3101010110</v>
      </c>
      <c r="H159" s="176" t="str">
        <v>Rubber Gasket (5602)</v>
      </c>
      <c r="I159" s="176" t="str">
        <v>Pcs</v>
      </c>
      <c r="J159" s="176">
        <v>31500</v>
      </c>
      <c r="K159" s="176">
        <v>7943.1</v>
      </c>
      <c r="L159" s="176">
        <v>0</v>
      </c>
      <c r="M159" s="176">
        <v>0</v>
      </c>
      <c r="N159" s="176">
        <v>31500</v>
      </c>
      <c r="O159" s="176">
        <v>7943.1</v>
      </c>
      <c r="P159" s="176" t="str">
        <v>CHECKED</v>
      </c>
      <c r="Q159" s="176">
        <v>144</v>
      </c>
      <c r="R159" s="176">
        <v>46260.691041666665</v>
      </c>
      <c r="AK159" s="354" t="s">
        <v>660</v>
      </c>
      <c r="AL159" s="354">
        <v>2026</v>
      </c>
      <c r="AM159" s="354" t="str">
        <f t="shared" si="5"/>
        <v>September2026</v>
      </c>
    </row>
    <row r="160" spans="1:39" x14ac:dyDescent="0.3">
      <c r="A160" s="176">
        <v>61</v>
      </c>
      <c r="B160" s="176">
        <v>2288</v>
      </c>
      <c r="C160" s="176" t="str">
        <v>22-08-2026</v>
      </c>
      <c r="D160" s="176">
        <v>0</v>
      </c>
      <c r="E160" s="176" t="str">
        <v>FAN</v>
      </c>
      <c r="F160" s="176" t="str">
        <v>MEP</v>
      </c>
      <c r="G160" s="176">
        <v>3101010111</v>
      </c>
      <c r="H160" s="176" t="str">
        <v>Flaxible Cable 14x0.0076 - Yellow</v>
      </c>
      <c r="I160" s="176" t="str">
        <v>Mtr</v>
      </c>
      <c r="J160" s="176">
        <v>12900</v>
      </c>
      <c r="K160" s="176">
        <v>131562.15</v>
      </c>
      <c r="L160" s="176">
        <v>0</v>
      </c>
      <c r="M160" s="176">
        <v>0</v>
      </c>
      <c r="N160" s="176">
        <v>12900</v>
      </c>
      <c r="O160" s="176">
        <v>131562.15</v>
      </c>
      <c r="P160" s="176" t="str">
        <v>CHECKED</v>
      </c>
      <c r="Q160" s="176">
        <v>144</v>
      </c>
      <c r="R160" s="176">
        <v>46260.691643518519</v>
      </c>
      <c r="AK160" s="354" t="s">
        <v>660</v>
      </c>
      <c r="AL160" s="354">
        <v>2026</v>
      </c>
      <c r="AM160" s="354" t="str">
        <f t="shared" si="5"/>
        <v>September2026</v>
      </c>
    </row>
    <row r="161" spans="1:39" x14ac:dyDescent="0.3">
      <c r="A161" s="176">
        <v>64</v>
      </c>
      <c r="B161" s="176">
        <v>2288</v>
      </c>
      <c r="C161" s="176" t="str">
        <v>22-08-2026</v>
      </c>
      <c r="D161" s="176">
        <v>0</v>
      </c>
      <c r="E161" s="176" t="str">
        <v>FAN</v>
      </c>
      <c r="F161" s="176" t="str">
        <v>MEP</v>
      </c>
      <c r="G161" s="176">
        <v>3101010112</v>
      </c>
      <c r="H161" s="176" t="str">
        <v>Flaxible Cable 14x0.0076 - Black</v>
      </c>
      <c r="I161" s="176" t="str">
        <v>Mtr</v>
      </c>
      <c r="J161" s="176">
        <v>38400</v>
      </c>
      <c r="K161" s="176">
        <v>391787.69</v>
      </c>
      <c r="L161" s="176">
        <v>0</v>
      </c>
      <c r="M161" s="176">
        <v>0</v>
      </c>
      <c r="N161" s="176">
        <v>38400</v>
      </c>
      <c r="O161" s="176">
        <v>391787.69</v>
      </c>
      <c r="P161" s="176" t="str">
        <v>CHECKED</v>
      </c>
      <c r="Q161" s="176">
        <v>144</v>
      </c>
      <c r="R161" s="176">
        <v>46260.691643518519</v>
      </c>
      <c r="AK161" s="354" t="s">
        <v>660</v>
      </c>
      <c r="AL161" s="354">
        <v>2026</v>
      </c>
      <c r="AM161" s="354" t="str">
        <f t="shared" si="5"/>
        <v>September2026</v>
      </c>
    </row>
    <row r="162" spans="1:39" x14ac:dyDescent="0.3">
      <c r="A162" s="176">
        <v>70</v>
      </c>
      <c r="B162" s="176">
        <v>2291</v>
      </c>
      <c r="C162" s="176" t="str">
        <v>22-08-2026</v>
      </c>
      <c r="D162" s="176">
        <v>0</v>
      </c>
      <c r="E162" s="176" t="str">
        <v>FAN</v>
      </c>
      <c r="F162" s="176" t="str">
        <v>MEP</v>
      </c>
      <c r="G162" s="176">
        <v>3102010001</v>
      </c>
      <c r="H162" s="176" t="str">
        <v>Exhaust Fan Base (8``)</v>
      </c>
      <c r="I162" s="176" t="str">
        <v>Pcs</v>
      </c>
      <c r="J162" s="176">
        <v>5775</v>
      </c>
      <c r="K162" s="176">
        <v>285887.61</v>
      </c>
      <c r="L162" s="176">
        <v>0</v>
      </c>
      <c r="M162" s="176">
        <v>0</v>
      </c>
      <c r="N162" s="176">
        <v>5775</v>
      </c>
      <c r="O162" s="176">
        <v>285887.61</v>
      </c>
      <c r="P162" s="176" t="str">
        <v>CHECKED</v>
      </c>
      <c r="Q162" s="176">
        <v>144</v>
      </c>
      <c r="R162" s="176">
        <v>46260.691932870373</v>
      </c>
      <c r="AK162" s="354" t="s">
        <v>660</v>
      </c>
      <c r="AL162" s="354">
        <v>2026</v>
      </c>
      <c r="AM162" s="354" t="str">
        <f t="shared" si="5"/>
        <v>September2026</v>
      </c>
    </row>
    <row r="163" spans="1:39" x14ac:dyDescent="0.3">
      <c r="A163" s="176">
        <v>74</v>
      </c>
      <c r="B163" s="176">
        <v>2291</v>
      </c>
      <c r="C163" s="176" t="str">
        <v>22-08-2026</v>
      </c>
      <c r="D163" s="176">
        <v>0</v>
      </c>
      <c r="E163" s="176" t="str">
        <v>FAN</v>
      </c>
      <c r="F163" s="176" t="str">
        <v>MEP</v>
      </c>
      <c r="G163" s="176">
        <v>3102010002</v>
      </c>
      <c r="H163" s="176" t="str">
        <v>Exhaust Fan Cover (8``)</v>
      </c>
      <c r="I163" s="176" t="str">
        <v>Pcs</v>
      </c>
      <c r="J163" s="176">
        <v>5775</v>
      </c>
      <c r="K163" s="176">
        <v>190548.15</v>
      </c>
      <c r="L163" s="176">
        <v>0</v>
      </c>
      <c r="M163" s="176">
        <v>0</v>
      </c>
      <c r="N163" s="176">
        <v>5775</v>
      </c>
      <c r="O163" s="176">
        <v>190548.15</v>
      </c>
      <c r="P163" s="176" t="str">
        <v>CHECKED</v>
      </c>
      <c r="Q163" s="176">
        <v>144</v>
      </c>
      <c r="R163" s="176">
        <v>46260.691932870373</v>
      </c>
      <c r="AK163" s="354" t="s">
        <v>660</v>
      </c>
      <c r="AL163" s="354">
        <v>2026</v>
      </c>
      <c r="AM163" s="354" t="str">
        <f t="shared" si="5"/>
        <v>September2026</v>
      </c>
    </row>
    <row r="164" spans="1:39" x14ac:dyDescent="0.3">
      <c r="A164" s="176">
        <v>79</v>
      </c>
      <c r="B164" s="176">
        <v>2291</v>
      </c>
      <c r="C164" s="176" t="str">
        <v>22-08-2026</v>
      </c>
      <c r="D164" s="176">
        <v>0</v>
      </c>
      <c r="E164" s="176" t="str">
        <v>FAN</v>
      </c>
      <c r="F164" s="176" t="str">
        <v>MEP</v>
      </c>
      <c r="G164" s="176">
        <v>3102010003</v>
      </c>
      <c r="H164" s="176" t="str">
        <v>Exhaust Fan Shutter (8``)</v>
      </c>
      <c r="I164" s="176" t="str">
        <v>Pcs</v>
      </c>
      <c r="J164" s="176">
        <v>17325</v>
      </c>
      <c r="K164" s="176">
        <v>58000.11</v>
      </c>
      <c r="L164" s="176">
        <v>0</v>
      </c>
      <c r="M164" s="176">
        <v>0</v>
      </c>
      <c r="N164" s="176">
        <v>17325</v>
      </c>
      <c r="O164" s="176">
        <v>58000.11</v>
      </c>
      <c r="P164" s="176" t="str">
        <v>CHECKED</v>
      </c>
      <c r="Q164" s="176">
        <v>144</v>
      </c>
      <c r="R164" s="176">
        <v>46260.691932870373</v>
      </c>
      <c r="AK164" s="354" t="s">
        <v>660</v>
      </c>
      <c r="AL164" s="354">
        <v>2026</v>
      </c>
      <c r="AM164" s="354" t="str">
        <f t="shared" si="5"/>
        <v>September2026</v>
      </c>
    </row>
    <row r="165" spans="1:39" x14ac:dyDescent="0.3">
      <c r="A165" s="176">
        <v>83</v>
      </c>
      <c r="B165" s="176">
        <v>2291</v>
      </c>
      <c r="C165" s="176" t="str">
        <v>22-08-2026</v>
      </c>
      <c r="D165" s="176">
        <v>0</v>
      </c>
      <c r="E165" s="176" t="str">
        <v>FAN</v>
      </c>
      <c r="F165" s="176" t="str">
        <v>MEP</v>
      </c>
      <c r="G165" s="176">
        <v>3102010004</v>
      </c>
      <c r="H165" s="176" t="str">
        <v>Exhaust Fan Blade (8``)</v>
      </c>
      <c r="I165" s="176" t="str">
        <v>Pcs</v>
      </c>
      <c r="J165" s="176">
        <v>5775</v>
      </c>
      <c r="K165" s="176">
        <v>61817.61</v>
      </c>
      <c r="L165" s="176">
        <v>0</v>
      </c>
      <c r="M165" s="176">
        <v>0</v>
      </c>
      <c r="N165" s="176">
        <v>5775</v>
      </c>
      <c r="O165" s="176">
        <v>61817.61</v>
      </c>
      <c r="P165" s="176" t="str">
        <v>CHECKED</v>
      </c>
      <c r="Q165" s="176">
        <v>144</v>
      </c>
      <c r="R165" s="176">
        <v>46260.691932870373</v>
      </c>
      <c r="AK165" s="354" t="s">
        <v>660</v>
      </c>
      <c r="AL165" s="354">
        <v>2026</v>
      </c>
      <c r="AM165" s="354" t="str">
        <f t="shared" si="5"/>
        <v>September2026</v>
      </c>
    </row>
    <row r="166" spans="1:39" x14ac:dyDescent="0.3">
      <c r="A166" s="176">
        <v>87</v>
      </c>
      <c r="B166" s="176">
        <v>2291</v>
      </c>
      <c r="C166" s="176" t="str">
        <v>22-08-2026</v>
      </c>
      <c r="D166" s="176">
        <v>0</v>
      </c>
      <c r="E166" s="176" t="str">
        <v>FAN</v>
      </c>
      <c r="F166" s="176" t="str">
        <v>MEP</v>
      </c>
      <c r="G166" s="176">
        <v>3102010005</v>
      </c>
      <c r="H166" s="176" t="str">
        <v>Exhaust Fan Side Stand (8``)</v>
      </c>
      <c r="I166" s="176" t="str">
        <v>Pcs</v>
      </c>
      <c r="J166" s="176">
        <v>5775</v>
      </c>
      <c r="K166" s="176">
        <v>52534.03</v>
      </c>
      <c r="L166" s="176">
        <v>0</v>
      </c>
      <c r="M166" s="176">
        <v>0</v>
      </c>
      <c r="N166" s="176">
        <v>5775</v>
      </c>
      <c r="O166" s="176">
        <v>52534.03</v>
      </c>
      <c r="P166" s="176" t="str">
        <v>CHECKED</v>
      </c>
      <c r="Q166" s="176">
        <v>144</v>
      </c>
      <c r="R166" s="176">
        <v>46260.691932870373</v>
      </c>
      <c r="AK166" s="354" t="s">
        <v>660</v>
      </c>
      <c r="AL166" s="354">
        <v>2026</v>
      </c>
      <c r="AM166" s="354" t="str">
        <f t="shared" si="5"/>
        <v>September2026</v>
      </c>
    </row>
    <row r="167" spans="1:39" x14ac:dyDescent="0.3">
      <c r="A167" s="176">
        <v>91</v>
      </c>
      <c r="B167" s="176">
        <v>2291</v>
      </c>
      <c r="C167" s="176" t="str">
        <v>22-08-2026</v>
      </c>
      <c r="D167" s="176">
        <v>0</v>
      </c>
      <c r="E167" s="176" t="str">
        <v>FAN</v>
      </c>
      <c r="F167" s="176" t="str">
        <v>MEP</v>
      </c>
      <c r="G167" s="176">
        <v>3102010006</v>
      </c>
      <c r="H167" s="176" t="str">
        <v>Exhaust Fan Show Cap With Pitol Bush</v>
      </c>
      <c r="I167" s="176" t="str">
        <v>Pcs</v>
      </c>
      <c r="J167" s="176">
        <v>12600</v>
      </c>
      <c r="K167" s="176">
        <v>34074.78</v>
      </c>
      <c r="L167" s="176">
        <v>0</v>
      </c>
      <c r="M167" s="176">
        <v>0</v>
      </c>
      <c r="N167" s="176">
        <v>12600</v>
      </c>
      <c r="O167" s="176">
        <v>34074.78</v>
      </c>
      <c r="P167" s="176" t="str">
        <v>CHECKED</v>
      </c>
      <c r="Q167" s="176">
        <v>144</v>
      </c>
      <c r="R167" s="176">
        <v>46260.691932870373</v>
      </c>
      <c r="AK167" s="354" t="s">
        <v>660</v>
      </c>
      <c r="AL167" s="354">
        <v>2026</v>
      </c>
      <c r="AM167" s="354" t="str">
        <f t="shared" si="5"/>
        <v>September2026</v>
      </c>
    </row>
    <row r="168" spans="1:39" x14ac:dyDescent="0.3">
      <c r="A168" s="176">
        <v>95</v>
      </c>
      <c r="B168" s="176">
        <v>2291</v>
      </c>
      <c r="C168" s="176" t="str">
        <v>22-08-2026</v>
      </c>
      <c r="D168" s="176">
        <v>0</v>
      </c>
      <c r="E168" s="176" t="str">
        <v>FAN</v>
      </c>
      <c r="F168" s="176" t="str">
        <v>MEP</v>
      </c>
      <c r="G168" s="176">
        <v>3102010007</v>
      </c>
      <c r="H168" s="176" t="str">
        <v>Exhaust Fan Capacitor Box</v>
      </c>
      <c r="I168" s="176" t="str">
        <v>Pcs</v>
      </c>
      <c r="J168" s="176">
        <v>12600</v>
      </c>
      <c r="K168" s="176">
        <v>34074.81</v>
      </c>
      <c r="L168" s="176">
        <v>0</v>
      </c>
      <c r="M168" s="176">
        <v>0</v>
      </c>
      <c r="N168" s="176">
        <v>12600</v>
      </c>
      <c r="O168" s="176">
        <v>34074.81</v>
      </c>
      <c r="P168" s="176" t="str">
        <v>CHECKED</v>
      </c>
      <c r="Q168" s="176">
        <v>144</v>
      </c>
      <c r="R168" s="176">
        <v>46260.691932870373</v>
      </c>
      <c r="AK168" s="354" t="s">
        <v>660</v>
      </c>
      <c r="AL168" s="354">
        <v>2026</v>
      </c>
      <c r="AM168" s="354" t="str">
        <f t="shared" si="5"/>
        <v>September2026</v>
      </c>
    </row>
    <row r="169" spans="1:39" x14ac:dyDescent="0.3">
      <c r="A169" s="176">
        <v>99</v>
      </c>
      <c r="B169" s="176">
        <v>2291</v>
      </c>
      <c r="C169" s="176" t="str">
        <v>22-08-2026</v>
      </c>
      <c r="D169" s="176">
        <v>0</v>
      </c>
      <c r="E169" s="176" t="str">
        <v>FAN</v>
      </c>
      <c r="F169" s="176" t="str">
        <v>MEP</v>
      </c>
      <c r="G169" s="176">
        <v>3102010008</v>
      </c>
      <c r="H169" s="176" t="str">
        <v>Exhaust Fan Stick (8``)</v>
      </c>
      <c r="I169" s="176" t="str">
        <v>Pcs</v>
      </c>
      <c r="J169" s="176">
        <v>5775</v>
      </c>
      <c r="K169" s="176">
        <v>6024.82</v>
      </c>
      <c r="L169" s="176">
        <v>0</v>
      </c>
      <c r="M169" s="176">
        <v>0</v>
      </c>
      <c r="N169" s="176">
        <v>5775</v>
      </c>
      <c r="O169" s="176">
        <v>6024.82</v>
      </c>
      <c r="P169" s="176" t="str">
        <v>CHECKED</v>
      </c>
      <c r="Q169" s="176">
        <v>144</v>
      </c>
      <c r="R169" s="176">
        <v>46260.691932870373</v>
      </c>
      <c r="AK169" s="354" t="s">
        <v>660</v>
      </c>
      <c r="AL169" s="354">
        <v>2026</v>
      </c>
      <c r="AM169" s="354" t="str">
        <f t="shared" si="5"/>
        <v>September2026</v>
      </c>
    </row>
    <row r="170" spans="1:39" x14ac:dyDescent="0.3">
      <c r="A170" s="176">
        <v>101</v>
      </c>
      <c r="B170" s="176">
        <v>2291</v>
      </c>
      <c r="C170" s="176" t="str">
        <v>22-08-2026</v>
      </c>
      <c r="D170" s="176">
        <v>0</v>
      </c>
      <c r="E170" s="176" t="str">
        <v>FAN</v>
      </c>
      <c r="F170" s="176" t="str">
        <v>MEP</v>
      </c>
      <c r="G170" s="176">
        <v>3102010009</v>
      </c>
      <c r="H170" s="176" t="str">
        <v>Exhaust Fan Clam</v>
      </c>
      <c r="I170" s="176" t="str">
        <v>Pcs</v>
      </c>
      <c r="J170" s="176">
        <v>12600</v>
      </c>
      <c r="K170" s="176">
        <v>876.63</v>
      </c>
      <c r="L170" s="176">
        <v>0</v>
      </c>
      <c r="M170" s="176">
        <v>0</v>
      </c>
      <c r="N170" s="176">
        <v>12600</v>
      </c>
      <c r="O170" s="176">
        <v>876.63</v>
      </c>
      <c r="P170" s="176" t="str">
        <v>CHECKED</v>
      </c>
      <c r="Q170" s="176">
        <v>144</v>
      </c>
      <c r="R170" s="176">
        <v>46260.691932870373</v>
      </c>
      <c r="AK170" s="354" t="s">
        <v>660</v>
      </c>
      <c r="AL170" s="354">
        <v>2026</v>
      </c>
      <c r="AM170" s="354" t="str">
        <f t="shared" si="5"/>
        <v>September2026</v>
      </c>
    </row>
    <row r="171" spans="1:39" x14ac:dyDescent="0.3">
      <c r="A171" s="176">
        <v>105</v>
      </c>
      <c r="B171" s="176">
        <v>2291</v>
      </c>
      <c r="C171" s="176" t="str">
        <v>22-08-2026</v>
      </c>
      <c r="D171" s="176">
        <v>0</v>
      </c>
      <c r="E171" s="176" t="str">
        <v>FAN</v>
      </c>
      <c r="F171" s="176" t="str">
        <v>MEP</v>
      </c>
      <c r="G171" s="176">
        <v>3102010011</v>
      </c>
      <c r="H171" s="176" t="str">
        <v>Exhaust Fan Spring Lock</v>
      </c>
      <c r="I171" s="176" t="str">
        <v>Pcs</v>
      </c>
      <c r="J171" s="176">
        <v>12600</v>
      </c>
      <c r="K171" s="176">
        <v>549.70000000000005</v>
      </c>
      <c r="L171" s="176">
        <v>0</v>
      </c>
      <c r="M171" s="176">
        <v>0</v>
      </c>
      <c r="N171" s="176">
        <v>12600</v>
      </c>
      <c r="O171" s="176">
        <v>549.70000000000005</v>
      </c>
      <c r="P171" s="176" t="str">
        <v>CHECKED</v>
      </c>
      <c r="Q171" s="176">
        <v>144</v>
      </c>
      <c r="R171" s="176">
        <v>46260.691932870373</v>
      </c>
      <c r="AK171" s="354" t="s">
        <v>660</v>
      </c>
      <c r="AL171" s="354">
        <v>2026</v>
      </c>
      <c r="AM171" s="354" t="str">
        <f t="shared" si="5"/>
        <v>September2026</v>
      </c>
    </row>
    <row r="172" spans="1:39" x14ac:dyDescent="0.3">
      <c r="A172" s="176">
        <v>108</v>
      </c>
      <c r="B172" s="176">
        <v>2290</v>
      </c>
      <c r="C172" s="176" t="str">
        <v>22-08-2026</v>
      </c>
      <c r="D172" s="176">
        <v>0</v>
      </c>
      <c r="E172" s="176" t="str">
        <v>FAN</v>
      </c>
      <c r="F172" s="176" t="str">
        <v>MEP</v>
      </c>
      <c r="G172" s="176">
        <v>3102010012</v>
      </c>
      <c r="H172" s="176" t="str">
        <v>Cable 2x23/0.0076</v>
      </c>
      <c r="I172" s="176" t="str">
        <v>Mtr</v>
      </c>
      <c r="J172" s="176">
        <v>7800</v>
      </c>
      <c r="K172" s="176">
        <v>396575</v>
      </c>
      <c r="L172" s="176">
        <v>0</v>
      </c>
      <c r="M172" s="176">
        <v>0</v>
      </c>
      <c r="N172" s="176">
        <v>7800</v>
      </c>
      <c r="O172" s="176">
        <v>396575</v>
      </c>
      <c r="P172" s="176" t="str">
        <v>CHECKED</v>
      </c>
      <c r="Q172" s="176">
        <v>144</v>
      </c>
      <c r="R172" s="176">
        <v>46260.691828703704</v>
      </c>
      <c r="AK172" s="354" t="s">
        <v>660</v>
      </c>
      <c r="AL172" s="354">
        <v>2026</v>
      </c>
      <c r="AM172" s="354" t="str">
        <f t="shared" si="5"/>
        <v>September2026</v>
      </c>
    </row>
    <row r="173" spans="1:39" x14ac:dyDescent="0.3">
      <c r="A173" s="176">
        <v>112</v>
      </c>
      <c r="B173" s="176">
        <v>2289</v>
      </c>
      <c r="C173" s="176" t="str">
        <v>22-08-2026</v>
      </c>
      <c r="D173" s="176">
        <v>0</v>
      </c>
      <c r="E173" s="176" t="str">
        <v>FAN</v>
      </c>
      <c r="F173" s="176" t="str">
        <v>MEP</v>
      </c>
      <c r="G173" s="176">
        <v>3102010013</v>
      </c>
      <c r="H173" s="176" t="str">
        <v>5/32 Inch, 9mm Screw</v>
      </c>
      <c r="I173" s="176" t="str">
        <v>KG</v>
      </c>
      <c r="J173" s="176">
        <v>115</v>
      </c>
      <c r="K173" s="176">
        <v>20125</v>
      </c>
      <c r="L173" s="176">
        <v>0</v>
      </c>
      <c r="M173" s="176">
        <v>0</v>
      </c>
      <c r="N173" s="176">
        <v>115</v>
      </c>
      <c r="O173" s="176">
        <v>20125</v>
      </c>
      <c r="P173" s="176" t="str">
        <v>CHECKED</v>
      </c>
      <c r="Q173" s="176">
        <v>144</v>
      </c>
      <c r="R173" s="176">
        <v>46260.691712962966</v>
      </c>
      <c r="AK173" s="354" t="s">
        <v>660</v>
      </c>
      <c r="AL173" s="354">
        <v>2026</v>
      </c>
      <c r="AM173" s="354" t="str">
        <f t="shared" si="5"/>
        <v>September2026</v>
      </c>
    </row>
    <row r="174" spans="1:39" x14ac:dyDescent="0.3">
      <c r="A174" s="176">
        <v>116</v>
      </c>
      <c r="B174" s="176">
        <v>2291</v>
      </c>
      <c r="C174" s="176" t="str">
        <v>22-08-2026</v>
      </c>
      <c r="D174" s="176">
        <v>0</v>
      </c>
      <c r="E174" s="176" t="str">
        <v>FAN</v>
      </c>
      <c r="F174" s="176" t="str">
        <v>MEP</v>
      </c>
      <c r="G174" s="176">
        <v>3202010010</v>
      </c>
      <c r="H174" s="176" t="str">
        <v>Exhaust Fan Base (10``)</v>
      </c>
      <c r="I174" s="176" t="str">
        <v>Pcs</v>
      </c>
      <c r="J174" s="176">
        <v>6825</v>
      </c>
      <c r="K174" s="176">
        <v>505050</v>
      </c>
      <c r="L174" s="176">
        <v>0</v>
      </c>
      <c r="M174" s="176">
        <v>0</v>
      </c>
      <c r="N174" s="176">
        <v>6825</v>
      </c>
      <c r="O174" s="176">
        <v>505050</v>
      </c>
      <c r="P174" s="176" t="str">
        <v>CHECKED</v>
      </c>
      <c r="Q174" s="176">
        <v>144</v>
      </c>
      <c r="R174" s="176">
        <v>46260.691932870373</v>
      </c>
      <c r="AK174" s="354" t="s">
        <v>660</v>
      </c>
      <c r="AL174" s="354">
        <v>2026</v>
      </c>
      <c r="AM174" s="354" t="str">
        <f t="shared" si="5"/>
        <v>September2026</v>
      </c>
    </row>
    <row r="175" spans="1:39" x14ac:dyDescent="0.3">
      <c r="A175" s="176">
        <v>120</v>
      </c>
      <c r="B175" s="176">
        <v>2291</v>
      </c>
      <c r="C175" s="176" t="str">
        <v>22-08-2026</v>
      </c>
      <c r="D175" s="176">
        <v>0</v>
      </c>
      <c r="E175" s="176" t="str">
        <v>FAN</v>
      </c>
      <c r="F175" s="176" t="str">
        <v>MEP</v>
      </c>
      <c r="G175" s="176">
        <v>3202010011</v>
      </c>
      <c r="H175" s="176" t="str">
        <v>Exhaust Fan Cover (10``)</v>
      </c>
      <c r="I175" s="176" t="str">
        <v>Pcs</v>
      </c>
      <c r="J175" s="176">
        <v>6825</v>
      </c>
      <c r="K175" s="176">
        <v>341250</v>
      </c>
      <c r="L175" s="176">
        <v>0</v>
      </c>
      <c r="M175" s="176">
        <v>0</v>
      </c>
      <c r="N175" s="176">
        <v>6825</v>
      </c>
      <c r="O175" s="176">
        <v>341250</v>
      </c>
      <c r="P175" s="176" t="str">
        <v>CHECKED</v>
      </c>
      <c r="Q175" s="176">
        <v>144</v>
      </c>
      <c r="R175" s="176">
        <v>46260.691932870373</v>
      </c>
      <c r="AK175" s="354" t="s">
        <v>660</v>
      </c>
      <c r="AL175" s="354">
        <v>2026</v>
      </c>
      <c r="AM175" s="354" t="str">
        <f t="shared" si="5"/>
        <v>September2026</v>
      </c>
    </row>
    <row r="176" spans="1:39" x14ac:dyDescent="0.3">
      <c r="A176" s="176">
        <v>124</v>
      </c>
      <c r="B176" s="176">
        <v>2291</v>
      </c>
      <c r="C176" s="176" t="str">
        <v>22-08-2026</v>
      </c>
      <c r="D176" s="176">
        <v>0</v>
      </c>
      <c r="E176" s="176" t="str">
        <v>FAN</v>
      </c>
      <c r="F176" s="176" t="str">
        <v>MEP</v>
      </c>
      <c r="G176" s="176">
        <v>3202010012</v>
      </c>
      <c r="H176" s="176" t="str">
        <v>Exhaust Fan Side Stand (10``)</v>
      </c>
      <c r="I176" s="176" t="str">
        <v>Pcs</v>
      </c>
      <c r="J176" s="176">
        <v>6825</v>
      </c>
      <c r="K176" s="176">
        <v>74286.210000000006</v>
      </c>
      <c r="L176" s="176">
        <v>0</v>
      </c>
      <c r="M176" s="176">
        <v>0</v>
      </c>
      <c r="N176" s="176">
        <v>6825</v>
      </c>
      <c r="O176" s="176">
        <v>74286.210000000006</v>
      </c>
      <c r="P176" s="176" t="str">
        <v>CHECKED</v>
      </c>
      <c r="Q176" s="176">
        <v>144</v>
      </c>
      <c r="R176" s="176">
        <v>46260.691932870373</v>
      </c>
      <c r="AK176" s="354" t="s">
        <v>660</v>
      </c>
      <c r="AL176" s="354">
        <v>2026</v>
      </c>
      <c r="AM176" s="354" t="str">
        <f t="shared" si="5"/>
        <v>September2026</v>
      </c>
    </row>
    <row r="177" spans="1:39" x14ac:dyDescent="0.3">
      <c r="A177" s="176">
        <v>128</v>
      </c>
      <c r="B177" s="176">
        <v>2291</v>
      </c>
      <c r="C177" s="176" t="str">
        <v>22-08-2026</v>
      </c>
      <c r="D177" s="176">
        <v>0</v>
      </c>
      <c r="E177" s="176" t="str">
        <v>FAN</v>
      </c>
      <c r="F177" s="176" t="str">
        <v>MEP</v>
      </c>
      <c r="G177" s="176">
        <v>3202010013</v>
      </c>
      <c r="H177" s="176" t="str">
        <v>Exhaust Fan Shutter (10``)</v>
      </c>
      <c r="I177" s="176" t="str">
        <v>Pcs</v>
      </c>
      <c r="J177" s="176">
        <v>20475</v>
      </c>
      <c r="K177" s="176">
        <v>137271.51999999999</v>
      </c>
      <c r="L177" s="176">
        <v>0</v>
      </c>
      <c r="M177" s="176">
        <v>0</v>
      </c>
      <c r="N177" s="176">
        <v>20475</v>
      </c>
      <c r="O177" s="176">
        <v>137271.51999999999</v>
      </c>
      <c r="P177" s="176" t="str">
        <v>CHECKED</v>
      </c>
      <c r="Q177" s="176">
        <v>144</v>
      </c>
      <c r="R177" s="176">
        <v>46260.691932870373</v>
      </c>
      <c r="AK177" s="354" t="s">
        <v>660</v>
      </c>
      <c r="AL177" s="354">
        <v>2026</v>
      </c>
      <c r="AM177" s="354" t="str">
        <f t="shared" si="5"/>
        <v>September2026</v>
      </c>
    </row>
    <row r="178" spans="1:39" x14ac:dyDescent="0.3">
      <c r="A178" s="176">
        <v>132</v>
      </c>
      <c r="B178" s="176">
        <v>2291</v>
      </c>
      <c r="C178" s="176" t="str">
        <v>22-08-2026</v>
      </c>
      <c r="D178" s="176">
        <v>0</v>
      </c>
      <c r="E178" s="176" t="str">
        <v>FAN</v>
      </c>
      <c r="F178" s="176" t="str">
        <v>MEP</v>
      </c>
      <c r="G178" s="176">
        <v>3202010014</v>
      </c>
      <c r="H178" s="176" t="str">
        <v>Exhaust Fan Stick (10``)</v>
      </c>
      <c r="I178" s="176" t="str">
        <v>Pcs</v>
      </c>
      <c r="J178" s="176">
        <v>6825</v>
      </c>
      <c r="K178" s="176">
        <v>9198.86</v>
      </c>
      <c r="L178" s="176">
        <v>0</v>
      </c>
      <c r="M178" s="176">
        <v>0</v>
      </c>
      <c r="N178" s="176">
        <v>6825</v>
      </c>
      <c r="O178" s="176">
        <v>9198.86</v>
      </c>
      <c r="P178" s="176" t="str">
        <v>CHECKED</v>
      </c>
      <c r="Q178" s="176">
        <v>144</v>
      </c>
      <c r="R178" s="176">
        <v>46260.691932870373</v>
      </c>
      <c r="AK178" s="354" t="s">
        <v>660</v>
      </c>
      <c r="AL178" s="354">
        <v>2026</v>
      </c>
      <c r="AM178" s="354" t="str">
        <f t="shared" si="5"/>
        <v>September2026</v>
      </c>
    </row>
    <row r="179" spans="1:39" x14ac:dyDescent="0.3">
      <c r="A179" s="176">
        <v>136</v>
      </c>
      <c r="B179" s="176">
        <v>2291</v>
      </c>
      <c r="C179" s="176" t="str">
        <v>22-08-2026</v>
      </c>
      <c r="D179" s="176">
        <v>0</v>
      </c>
      <c r="E179" s="176" t="str">
        <v>FAN</v>
      </c>
      <c r="F179" s="176" t="str">
        <v>MEP</v>
      </c>
      <c r="G179" s="176">
        <v>3202010017</v>
      </c>
      <c r="H179" s="176" t="str">
        <v>Exhaust Fan Blade (10``)</v>
      </c>
      <c r="I179" s="176" t="str">
        <v>Pcs</v>
      </c>
      <c r="J179" s="176">
        <v>6825</v>
      </c>
      <c r="K179" s="176">
        <v>109200</v>
      </c>
      <c r="L179" s="176">
        <v>0</v>
      </c>
      <c r="M179" s="176">
        <v>0</v>
      </c>
      <c r="N179" s="176">
        <v>6825</v>
      </c>
      <c r="O179" s="176">
        <v>109200</v>
      </c>
      <c r="P179" s="176" t="str">
        <v>CHECKED</v>
      </c>
      <c r="Q179" s="176">
        <v>144</v>
      </c>
      <c r="R179" s="176">
        <v>46260.691932870373</v>
      </c>
      <c r="AK179" s="354" t="s">
        <v>660</v>
      </c>
      <c r="AL179" s="354">
        <v>2026</v>
      </c>
      <c r="AM179" s="354" t="str">
        <f t="shared" si="5"/>
        <v>September2026</v>
      </c>
    </row>
    <row r="180" spans="1:39" x14ac:dyDescent="0.3">
      <c r="A180" s="176">
        <v>143</v>
      </c>
      <c r="B180" s="176">
        <v>2291</v>
      </c>
      <c r="C180" s="176" t="str">
        <v>22-08-2026</v>
      </c>
      <c r="D180" s="176">
        <v>0</v>
      </c>
      <c r="E180" s="176" t="str">
        <v>FAN</v>
      </c>
      <c r="F180" s="176" t="str">
        <v>MEP</v>
      </c>
      <c r="G180" s="176">
        <v>3102010019</v>
      </c>
      <c r="H180" s="176" t="str">
        <v>MEP Cable Tie -3.5x150mm</v>
      </c>
      <c r="I180" s="176" t="str">
        <v>Pcs</v>
      </c>
      <c r="J180" s="176">
        <v>15000</v>
      </c>
      <c r="K180" s="176">
        <v>3782.61</v>
      </c>
      <c r="L180" s="176">
        <v>0</v>
      </c>
      <c r="M180" s="176">
        <v>0</v>
      </c>
      <c r="N180" s="176">
        <v>15000</v>
      </c>
      <c r="O180" s="176">
        <v>3782.61</v>
      </c>
      <c r="P180" s="176" t="str">
        <v>CHECKED</v>
      </c>
      <c r="Q180" s="176">
        <v>144</v>
      </c>
      <c r="R180" s="176">
        <v>46260.691932870373</v>
      </c>
      <c r="AK180" s="354" t="s">
        <v>660</v>
      </c>
      <c r="AL180" s="354">
        <v>2026</v>
      </c>
      <c r="AM180" s="354" t="str">
        <f t="shared" si="5"/>
        <v>September2026</v>
      </c>
    </row>
    <row r="181" spans="1:39" x14ac:dyDescent="0.3">
      <c r="AK181" s="354" t="s">
        <v>660</v>
      </c>
      <c r="AL181" s="354">
        <v>2026</v>
      </c>
      <c r="AM181" s="354" t="str">
        <f t="shared" si="5"/>
        <v>September2026</v>
      </c>
    </row>
    <row r="182" spans="1:39" x14ac:dyDescent="0.3">
      <c r="AK182" s="354" t="s">
        <v>660</v>
      </c>
      <c r="AL182" s="354">
        <v>2026</v>
      </c>
      <c r="AM182" s="354" t="str">
        <f t="shared" si="5"/>
        <v>September2026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K418"/>
  <sheetViews>
    <sheetView workbookViewId="0">
      <pane ySplit="1" topLeftCell="A2" activePane="bottomLeft" state="frozen"/>
      <selection pane="bottomLeft" activeCell="A39" sqref="A39:A55"/>
    </sheetView>
  </sheetViews>
  <sheetFormatPr defaultColWidth="9.109375" defaultRowHeight="13.8" x14ac:dyDescent="0.25"/>
  <cols>
    <col min="1" max="1" width="3.44140625" style="1" bestFit="1" customWidth="1"/>
    <col min="2" max="2" width="23.5546875" style="1" bestFit="1" customWidth="1"/>
    <col min="3" max="3" width="13.33203125" style="1" customWidth="1"/>
    <col min="4" max="4" width="61.5546875" style="1" bestFit="1" customWidth="1"/>
    <col min="5" max="5" width="4.6640625" style="1" bestFit="1" customWidth="1"/>
    <col min="6" max="6" width="8.109375" style="1" bestFit="1" customWidth="1"/>
    <col min="7" max="7" width="15.6640625" style="1" bestFit="1" customWidth="1"/>
    <col min="8" max="9" width="9.109375" style="1" customWidth="1"/>
    <col min="10" max="10" width="12.33203125" style="1" bestFit="1" customWidth="1"/>
    <col min="11" max="11" width="15.6640625" style="1" bestFit="1" customWidth="1"/>
    <col min="12" max="14" width="9.109375" style="1" customWidth="1"/>
    <col min="15" max="16384" width="9.109375" style="1"/>
  </cols>
  <sheetData>
    <row r="1" spans="1:7" x14ac:dyDescent="0.25">
      <c r="A1" s="7" t="s">
        <v>528</v>
      </c>
      <c r="B1" s="7" t="s">
        <v>3</v>
      </c>
      <c r="C1" s="7" t="s">
        <v>5</v>
      </c>
      <c r="D1" s="7" t="s">
        <v>530</v>
      </c>
      <c r="E1" s="7" t="s">
        <v>8</v>
      </c>
      <c r="F1" s="7" t="s">
        <v>685</v>
      </c>
      <c r="G1" s="8" t="s">
        <v>686</v>
      </c>
    </row>
    <row r="2" spans="1:7" x14ac:dyDescent="0.25">
      <c r="A2" s="6">
        <v>1</v>
      </c>
      <c r="B2" s="6" t="s">
        <v>16</v>
      </c>
      <c r="C2" s="6">
        <v>3101010023</v>
      </c>
      <c r="D2" s="6" t="s">
        <v>38</v>
      </c>
      <c r="E2" s="6" t="s">
        <v>37</v>
      </c>
      <c r="F2" s="6">
        <v>0.129</v>
      </c>
      <c r="G2" s="3" t="s">
        <v>538</v>
      </c>
    </row>
    <row r="3" spans="1:7" x14ac:dyDescent="0.25">
      <c r="A3" s="6">
        <v>2</v>
      </c>
      <c r="B3" s="6" t="s">
        <v>16</v>
      </c>
      <c r="C3" s="6">
        <v>3101010094</v>
      </c>
      <c r="D3" s="6" t="s">
        <v>103</v>
      </c>
      <c r="E3" s="6" t="s">
        <v>14</v>
      </c>
      <c r="F3" s="6">
        <v>1E-3</v>
      </c>
      <c r="G3" s="3" t="s">
        <v>538</v>
      </c>
    </row>
    <row r="4" spans="1:7" x14ac:dyDescent="0.25">
      <c r="A4" s="6">
        <v>3</v>
      </c>
      <c r="B4" s="6" t="s">
        <v>139</v>
      </c>
      <c r="C4" s="6">
        <v>3102010013</v>
      </c>
      <c r="D4" s="6" t="s">
        <v>152</v>
      </c>
      <c r="E4" s="6" t="s">
        <v>14</v>
      </c>
      <c r="F4" s="6">
        <v>8.9999999999999993E-3</v>
      </c>
      <c r="G4" s="3" t="s">
        <v>538</v>
      </c>
    </row>
    <row r="5" spans="1:7" x14ac:dyDescent="0.25">
      <c r="A5" s="6">
        <v>4</v>
      </c>
      <c r="B5" s="6" t="s">
        <v>139</v>
      </c>
      <c r="C5" s="6">
        <v>3202010002</v>
      </c>
      <c r="D5" s="6" t="s">
        <v>315</v>
      </c>
      <c r="E5" s="6" t="s">
        <v>41</v>
      </c>
      <c r="F5" s="6">
        <v>1</v>
      </c>
      <c r="G5" s="3" t="s">
        <v>538</v>
      </c>
    </row>
    <row r="6" spans="1:7" x14ac:dyDescent="0.25">
      <c r="A6" s="6">
        <v>5</v>
      </c>
      <c r="B6" s="6" t="s">
        <v>139</v>
      </c>
      <c r="C6" s="6">
        <v>3202010016</v>
      </c>
      <c r="D6" s="6" t="s">
        <v>325</v>
      </c>
      <c r="E6" s="6" t="s">
        <v>41</v>
      </c>
      <c r="F6" s="6">
        <v>1</v>
      </c>
      <c r="G6" s="3" t="s">
        <v>538</v>
      </c>
    </row>
    <row r="7" spans="1:7" x14ac:dyDescent="0.25">
      <c r="A7" s="6">
        <v>6</v>
      </c>
      <c r="B7" s="6" t="s">
        <v>139</v>
      </c>
      <c r="C7" s="6">
        <v>3102010012</v>
      </c>
      <c r="D7" s="6" t="s">
        <v>151</v>
      </c>
      <c r="E7" s="6" t="s">
        <v>37</v>
      </c>
      <c r="F7" s="6">
        <v>0.62</v>
      </c>
      <c r="G7" s="3" t="s">
        <v>538</v>
      </c>
    </row>
    <row r="8" spans="1:7" x14ac:dyDescent="0.25">
      <c r="A8" s="6">
        <v>7</v>
      </c>
      <c r="B8" s="6" t="s">
        <v>139</v>
      </c>
      <c r="C8" s="6">
        <v>3102010001</v>
      </c>
      <c r="D8" s="6" t="s">
        <v>140</v>
      </c>
      <c r="E8" s="6" t="s">
        <v>41</v>
      </c>
      <c r="F8" s="6">
        <v>1</v>
      </c>
      <c r="G8" s="3" t="s">
        <v>538</v>
      </c>
    </row>
    <row r="9" spans="1:7" x14ac:dyDescent="0.25">
      <c r="A9" s="6">
        <v>8</v>
      </c>
      <c r="B9" s="6" t="s">
        <v>139</v>
      </c>
      <c r="C9" s="6">
        <v>3102010004</v>
      </c>
      <c r="D9" s="6" t="s">
        <v>143</v>
      </c>
      <c r="E9" s="6" t="s">
        <v>41</v>
      </c>
      <c r="F9" s="6">
        <v>1</v>
      </c>
      <c r="G9" s="3" t="s">
        <v>538</v>
      </c>
    </row>
    <row r="10" spans="1:7" x14ac:dyDescent="0.25">
      <c r="A10" s="29">
        <v>9</v>
      </c>
      <c r="B10" s="29" t="s">
        <v>139</v>
      </c>
      <c r="C10" s="29">
        <v>3102010016</v>
      </c>
      <c r="D10" s="29" t="s">
        <v>154</v>
      </c>
      <c r="E10" s="29" t="s">
        <v>41</v>
      </c>
      <c r="F10" s="29">
        <v>1</v>
      </c>
      <c r="G10" s="13" t="s">
        <v>538</v>
      </c>
    </row>
    <row r="11" spans="1:7" x14ac:dyDescent="0.25">
      <c r="A11" s="6">
        <v>10</v>
      </c>
      <c r="B11" s="6" t="s">
        <v>139</v>
      </c>
      <c r="C11" s="6">
        <v>3102010007</v>
      </c>
      <c r="D11" s="6" t="s">
        <v>146</v>
      </c>
      <c r="E11" s="6" t="s">
        <v>41</v>
      </c>
      <c r="F11" s="6">
        <v>1</v>
      </c>
      <c r="G11" s="3" t="s">
        <v>538</v>
      </c>
    </row>
    <row r="12" spans="1:7" x14ac:dyDescent="0.25">
      <c r="A12" s="6">
        <v>11</v>
      </c>
      <c r="B12" s="6" t="s">
        <v>139</v>
      </c>
      <c r="C12" s="6">
        <v>3102010009</v>
      </c>
      <c r="D12" s="6" t="s">
        <v>148</v>
      </c>
      <c r="E12" s="6" t="s">
        <v>41</v>
      </c>
      <c r="F12" s="6">
        <v>1</v>
      </c>
      <c r="G12" s="3" t="s">
        <v>538</v>
      </c>
    </row>
    <row r="13" spans="1:7" x14ac:dyDescent="0.25">
      <c r="A13" s="6">
        <v>12</v>
      </c>
      <c r="B13" s="6" t="s">
        <v>139</v>
      </c>
      <c r="C13" s="6">
        <v>3102010002</v>
      </c>
      <c r="D13" s="6" t="s">
        <v>141</v>
      </c>
      <c r="E13" s="6" t="s">
        <v>41</v>
      </c>
      <c r="F13" s="6">
        <v>1</v>
      </c>
      <c r="G13" s="3" t="s">
        <v>538</v>
      </c>
    </row>
    <row r="14" spans="1:7" x14ac:dyDescent="0.25">
      <c r="A14" s="6">
        <v>13</v>
      </c>
      <c r="B14" s="6" t="s">
        <v>139</v>
      </c>
      <c r="C14" s="6">
        <v>3102010017</v>
      </c>
      <c r="D14" s="6" t="s">
        <v>155</v>
      </c>
      <c r="E14" s="6" t="s">
        <v>41</v>
      </c>
      <c r="F14" s="6">
        <v>1</v>
      </c>
      <c r="G14" s="3" t="s">
        <v>538</v>
      </c>
    </row>
    <row r="15" spans="1:7" x14ac:dyDescent="0.25">
      <c r="A15" s="6">
        <v>14</v>
      </c>
      <c r="B15" s="6" t="s">
        <v>139</v>
      </c>
      <c r="C15" s="6">
        <v>3102010006</v>
      </c>
      <c r="D15" s="6" t="s">
        <v>145</v>
      </c>
      <c r="E15" s="6" t="s">
        <v>41</v>
      </c>
      <c r="F15" s="6">
        <v>1</v>
      </c>
      <c r="G15" s="3" t="s">
        <v>538</v>
      </c>
    </row>
    <row r="16" spans="1:7" x14ac:dyDescent="0.25">
      <c r="A16" s="6">
        <v>15</v>
      </c>
      <c r="B16" s="6" t="s">
        <v>139</v>
      </c>
      <c r="C16" s="6">
        <v>3102010003</v>
      </c>
      <c r="D16" s="6" t="s">
        <v>142</v>
      </c>
      <c r="E16" s="6" t="s">
        <v>41</v>
      </c>
      <c r="F16" s="6">
        <v>3</v>
      </c>
      <c r="G16" s="3" t="s">
        <v>538</v>
      </c>
    </row>
    <row r="17" spans="1:11" x14ac:dyDescent="0.25">
      <c r="A17" s="6">
        <v>16</v>
      </c>
      <c r="B17" s="6" t="s">
        <v>139</v>
      </c>
      <c r="C17" s="6">
        <v>3102010010</v>
      </c>
      <c r="D17" s="6" t="s">
        <v>149</v>
      </c>
      <c r="E17" s="6" t="s">
        <v>41</v>
      </c>
      <c r="F17" s="6">
        <v>1</v>
      </c>
      <c r="G17" s="3" t="s">
        <v>538</v>
      </c>
    </row>
    <row r="18" spans="1:11" x14ac:dyDescent="0.25">
      <c r="A18" s="6">
        <v>17</v>
      </c>
      <c r="B18" s="6" t="s">
        <v>139</v>
      </c>
      <c r="C18" s="6">
        <v>3102010005</v>
      </c>
      <c r="D18" s="6" t="s">
        <v>144</v>
      </c>
      <c r="E18" s="6" t="s">
        <v>41</v>
      </c>
      <c r="F18" s="6">
        <v>1</v>
      </c>
      <c r="G18" s="3" t="s">
        <v>538</v>
      </c>
    </row>
    <row r="19" spans="1:11" x14ac:dyDescent="0.25">
      <c r="A19" s="6">
        <v>18</v>
      </c>
      <c r="B19" s="6" t="s">
        <v>139</v>
      </c>
      <c r="C19" s="6">
        <v>3102010010</v>
      </c>
      <c r="D19" s="6" t="s">
        <v>149</v>
      </c>
      <c r="E19" s="6" t="s">
        <v>14</v>
      </c>
      <c r="F19" s="6">
        <v>2.8E-3</v>
      </c>
      <c r="G19" s="3" t="s">
        <v>538</v>
      </c>
    </row>
    <row r="20" spans="1:11" x14ac:dyDescent="0.25">
      <c r="A20" s="6">
        <v>19</v>
      </c>
      <c r="B20" s="6" t="s">
        <v>139</v>
      </c>
      <c r="C20" s="6">
        <v>3102010011</v>
      </c>
      <c r="D20" s="6" t="s">
        <v>150</v>
      </c>
      <c r="E20" s="6" t="s">
        <v>41</v>
      </c>
      <c r="F20" s="6">
        <v>1</v>
      </c>
      <c r="G20" s="3" t="s">
        <v>538</v>
      </c>
    </row>
    <row r="21" spans="1:11" x14ac:dyDescent="0.25">
      <c r="A21" s="6">
        <v>20</v>
      </c>
      <c r="B21" s="6" t="s">
        <v>139</v>
      </c>
      <c r="C21" s="6">
        <v>3102010008</v>
      </c>
      <c r="D21" s="6" t="s">
        <v>147</v>
      </c>
      <c r="E21" s="6" t="s">
        <v>41</v>
      </c>
      <c r="F21" s="6">
        <v>1</v>
      </c>
      <c r="G21" s="3" t="s">
        <v>538</v>
      </c>
    </row>
    <row r="22" spans="1:11" x14ac:dyDescent="0.25">
      <c r="A22" s="6">
        <v>21</v>
      </c>
      <c r="B22" s="6" t="s">
        <v>139</v>
      </c>
      <c r="C22" s="6">
        <v>3202010015</v>
      </c>
      <c r="D22" s="6" t="s">
        <v>324</v>
      </c>
      <c r="E22" s="6" t="s">
        <v>41</v>
      </c>
      <c r="F22" s="6">
        <v>1</v>
      </c>
      <c r="G22" s="3" t="s">
        <v>538</v>
      </c>
    </row>
    <row r="23" spans="1:11" x14ac:dyDescent="0.25">
      <c r="A23" s="6">
        <v>22</v>
      </c>
      <c r="B23" s="6" t="s">
        <v>139</v>
      </c>
      <c r="C23" s="6">
        <v>3202010001</v>
      </c>
      <c r="D23" s="6" t="s">
        <v>678</v>
      </c>
      <c r="E23" s="6" t="s">
        <v>14</v>
      </c>
      <c r="F23" s="6">
        <v>1.4999999999999999E-2</v>
      </c>
      <c r="G23" s="3" t="s">
        <v>538</v>
      </c>
    </row>
    <row r="24" spans="1:11" x14ac:dyDescent="0.25">
      <c r="A24" s="6">
        <v>23</v>
      </c>
      <c r="B24" s="6" t="s">
        <v>139</v>
      </c>
      <c r="C24" s="6">
        <v>3102010019</v>
      </c>
      <c r="D24" s="6" t="s">
        <v>156</v>
      </c>
      <c r="E24" s="6" t="s">
        <v>41</v>
      </c>
      <c r="F24" s="6">
        <v>1</v>
      </c>
      <c r="G24" s="3" t="s">
        <v>538</v>
      </c>
      <c r="K24" s="3" t="s">
        <v>538</v>
      </c>
    </row>
    <row r="25" spans="1:11" x14ac:dyDescent="0.25">
      <c r="A25" s="6">
        <v>24</v>
      </c>
      <c r="B25" s="6" t="s">
        <v>139</v>
      </c>
      <c r="C25" s="6">
        <v>3202010007</v>
      </c>
      <c r="D25" s="6" t="s">
        <v>316</v>
      </c>
      <c r="E25" s="6" t="s">
        <v>14</v>
      </c>
      <c r="F25" s="6">
        <v>6.0000000000000001E-3</v>
      </c>
      <c r="G25" s="3" t="s">
        <v>538</v>
      </c>
      <c r="K25" s="4" t="s">
        <v>539</v>
      </c>
    </row>
    <row r="26" spans="1:11" x14ac:dyDescent="0.25">
      <c r="A26" s="6">
        <v>25</v>
      </c>
      <c r="B26" s="6" t="s">
        <v>243</v>
      </c>
      <c r="C26" s="6">
        <v>3201010046</v>
      </c>
      <c r="D26" s="6" t="s">
        <v>283</v>
      </c>
      <c r="E26" s="6" t="s">
        <v>37</v>
      </c>
      <c r="F26" s="6">
        <v>1.099</v>
      </c>
      <c r="G26" s="3" t="s">
        <v>538</v>
      </c>
      <c r="K26" s="9" t="s">
        <v>541</v>
      </c>
    </row>
    <row r="27" spans="1:11" x14ac:dyDescent="0.25">
      <c r="A27" s="6">
        <v>26</v>
      </c>
      <c r="B27" s="6" t="s">
        <v>243</v>
      </c>
      <c r="C27" s="6">
        <v>3201010014</v>
      </c>
      <c r="D27" s="6" t="s">
        <v>255</v>
      </c>
      <c r="E27" s="6" t="s">
        <v>41</v>
      </c>
      <c r="F27" s="6">
        <v>1</v>
      </c>
      <c r="G27" s="3" t="s">
        <v>538</v>
      </c>
      <c r="K27" s="11" t="s">
        <v>544</v>
      </c>
    </row>
    <row r="28" spans="1:11" x14ac:dyDescent="0.25">
      <c r="A28" s="6">
        <v>27</v>
      </c>
      <c r="B28" s="6" t="s">
        <v>243</v>
      </c>
      <c r="C28" s="6">
        <v>3201010062</v>
      </c>
      <c r="D28" s="6" t="s">
        <v>294</v>
      </c>
      <c r="E28" s="6" t="s">
        <v>41</v>
      </c>
      <c r="F28" s="6">
        <v>1</v>
      </c>
      <c r="G28" s="3" t="s">
        <v>538</v>
      </c>
    </row>
    <row r="29" spans="1:11" x14ac:dyDescent="0.25">
      <c r="A29" s="5">
        <v>1</v>
      </c>
      <c r="B29" s="5" t="s">
        <v>16</v>
      </c>
      <c r="C29" s="5">
        <v>3101010023</v>
      </c>
      <c r="D29" s="5" t="s">
        <v>38</v>
      </c>
      <c r="E29" s="5" t="s">
        <v>37</v>
      </c>
      <c r="F29" s="5">
        <v>0.129</v>
      </c>
      <c r="G29" s="4" t="s">
        <v>539</v>
      </c>
    </row>
    <row r="30" spans="1:11" x14ac:dyDescent="0.25">
      <c r="A30" s="5">
        <v>2</v>
      </c>
      <c r="B30" s="5" t="s">
        <v>16</v>
      </c>
      <c r="C30" s="5">
        <v>3101010094</v>
      </c>
      <c r="D30" s="5" t="s">
        <v>103</v>
      </c>
      <c r="E30" s="5" t="s">
        <v>14</v>
      </c>
      <c r="F30" s="5">
        <v>1E-3</v>
      </c>
      <c r="G30" s="4" t="s">
        <v>539</v>
      </c>
    </row>
    <row r="31" spans="1:11" x14ac:dyDescent="0.25">
      <c r="A31" s="5">
        <v>3</v>
      </c>
      <c r="B31" s="5" t="s">
        <v>139</v>
      </c>
      <c r="C31" s="5">
        <v>3202010009</v>
      </c>
      <c r="D31" s="5" t="s">
        <v>318</v>
      </c>
      <c r="E31" s="5" t="s">
        <v>41</v>
      </c>
      <c r="F31" s="5">
        <v>1</v>
      </c>
      <c r="G31" s="4" t="s">
        <v>539</v>
      </c>
    </row>
    <row r="32" spans="1:11" x14ac:dyDescent="0.25">
      <c r="A32" s="5">
        <v>4</v>
      </c>
      <c r="B32" s="5" t="s">
        <v>139</v>
      </c>
      <c r="C32" s="5">
        <v>3102010013</v>
      </c>
      <c r="D32" s="5" t="s">
        <v>152</v>
      </c>
      <c r="E32" s="5" t="s">
        <v>14</v>
      </c>
      <c r="F32" s="5">
        <v>8.9999999999999993E-3</v>
      </c>
      <c r="G32" s="4" t="s">
        <v>539</v>
      </c>
    </row>
    <row r="33" spans="1:7" x14ac:dyDescent="0.25">
      <c r="A33" s="5">
        <v>5</v>
      </c>
      <c r="B33" s="5" t="s">
        <v>139</v>
      </c>
      <c r="C33" s="5">
        <v>3202010016</v>
      </c>
      <c r="D33" s="5" t="s">
        <v>325</v>
      </c>
      <c r="E33" s="5" t="s">
        <v>41</v>
      </c>
      <c r="F33" s="5">
        <v>1</v>
      </c>
      <c r="G33" s="4" t="s">
        <v>539</v>
      </c>
    </row>
    <row r="34" spans="1:7" x14ac:dyDescent="0.25">
      <c r="A34" s="5">
        <v>6</v>
      </c>
      <c r="B34" s="5" t="s">
        <v>139</v>
      </c>
      <c r="C34" s="5">
        <v>3102010012</v>
      </c>
      <c r="D34" s="5" t="s">
        <v>151</v>
      </c>
      <c r="E34" s="5" t="s">
        <v>37</v>
      </c>
      <c r="F34" s="5">
        <v>0.62</v>
      </c>
      <c r="G34" s="4" t="s">
        <v>539</v>
      </c>
    </row>
    <row r="35" spans="1:7" x14ac:dyDescent="0.25">
      <c r="A35" s="5">
        <v>7</v>
      </c>
      <c r="B35" s="5" t="s">
        <v>139</v>
      </c>
      <c r="C35" s="5">
        <v>3202010010</v>
      </c>
      <c r="D35" s="5" t="s">
        <v>319</v>
      </c>
      <c r="E35" s="5" t="s">
        <v>41</v>
      </c>
      <c r="F35" s="5">
        <v>1</v>
      </c>
      <c r="G35" s="4" t="s">
        <v>539</v>
      </c>
    </row>
    <row r="36" spans="1:7" x14ac:dyDescent="0.25">
      <c r="A36" s="5">
        <v>8</v>
      </c>
      <c r="B36" s="5" t="s">
        <v>139</v>
      </c>
      <c r="C36" s="5">
        <v>3202010017</v>
      </c>
      <c r="D36" s="5" t="s">
        <v>326</v>
      </c>
      <c r="E36" s="5" t="s">
        <v>41</v>
      </c>
      <c r="F36" s="5">
        <v>1</v>
      </c>
      <c r="G36" s="4" t="s">
        <v>539</v>
      </c>
    </row>
    <row r="37" spans="1:7" x14ac:dyDescent="0.25">
      <c r="A37" s="5">
        <v>9</v>
      </c>
      <c r="B37" s="5" t="s">
        <v>139</v>
      </c>
      <c r="C37" s="5">
        <v>3102010025</v>
      </c>
      <c r="D37" s="5" t="s">
        <v>160</v>
      </c>
      <c r="E37" s="5" t="s">
        <v>41</v>
      </c>
      <c r="F37" s="5">
        <v>1</v>
      </c>
      <c r="G37" s="4" t="s">
        <v>539</v>
      </c>
    </row>
    <row r="38" spans="1:7" x14ac:dyDescent="0.25">
      <c r="A38" s="5">
        <v>10</v>
      </c>
      <c r="B38" s="5" t="s">
        <v>139</v>
      </c>
      <c r="C38" s="5">
        <v>3102010007</v>
      </c>
      <c r="D38" s="5" t="s">
        <v>146</v>
      </c>
      <c r="E38" s="5" t="s">
        <v>41</v>
      </c>
      <c r="F38" s="5">
        <v>1</v>
      </c>
      <c r="G38" s="4" t="s">
        <v>539</v>
      </c>
    </row>
    <row r="39" spans="1:7" x14ac:dyDescent="0.25">
      <c r="A39" s="5">
        <v>11</v>
      </c>
      <c r="B39" s="5" t="s">
        <v>139</v>
      </c>
      <c r="C39" s="5">
        <v>3102010009</v>
      </c>
      <c r="D39" s="5" t="s">
        <v>148</v>
      </c>
      <c r="E39" s="5" t="s">
        <v>41</v>
      </c>
      <c r="F39" s="5">
        <v>1</v>
      </c>
      <c r="G39" s="4" t="s">
        <v>539</v>
      </c>
    </row>
    <row r="40" spans="1:7" x14ac:dyDescent="0.25">
      <c r="A40" s="5">
        <v>12</v>
      </c>
      <c r="B40" s="5" t="s">
        <v>139</v>
      </c>
      <c r="C40" s="5">
        <v>3202010011</v>
      </c>
      <c r="D40" s="5" t="s">
        <v>320</v>
      </c>
      <c r="E40" s="5" t="s">
        <v>41</v>
      </c>
      <c r="F40" s="5">
        <v>1</v>
      </c>
      <c r="G40" s="4" t="s">
        <v>539</v>
      </c>
    </row>
    <row r="41" spans="1:7" x14ac:dyDescent="0.25">
      <c r="A41" s="5">
        <v>13</v>
      </c>
      <c r="B41" s="5" t="s">
        <v>139</v>
      </c>
      <c r="C41" s="5">
        <v>3102010026</v>
      </c>
      <c r="D41" s="5" t="s">
        <v>161</v>
      </c>
      <c r="E41" s="5" t="s">
        <v>41</v>
      </c>
      <c r="F41" s="5">
        <v>1</v>
      </c>
      <c r="G41" s="4" t="s">
        <v>539</v>
      </c>
    </row>
    <row r="42" spans="1:7" x14ac:dyDescent="0.25">
      <c r="A42" s="5">
        <v>14</v>
      </c>
      <c r="B42" s="5" t="s">
        <v>139</v>
      </c>
      <c r="C42" s="5">
        <v>3102010006</v>
      </c>
      <c r="D42" s="5" t="s">
        <v>145</v>
      </c>
      <c r="E42" s="5" t="s">
        <v>41</v>
      </c>
      <c r="F42" s="5">
        <v>1</v>
      </c>
      <c r="G42" s="4" t="s">
        <v>539</v>
      </c>
    </row>
    <row r="43" spans="1:7" x14ac:dyDescent="0.25">
      <c r="A43" s="5">
        <v>15</v>
      </c>
      <c r="B43" s="5" t="s">
        <v>139</v>
      </c>
      <c r="C43" s="5">
        <v>3202010013</v>
      </c>
      <c r="D43" s="5" t="s">
        <v>322</v>
      </c>
      <c r="E43" s="5" t="s">
        <v>41</v>
      </c>
      <c r="F43" s="5">
        <v>3</v>
      </c>
      <c r="G43" s="4" t="s">
        <v>539</v>
      </c>
    </row>
    <row r="44" spans="1:7" x14ac:dyDescent="0.25">
      <c r="A44" s="5">
        <v>16</v>
      </c>
      <c r="B44" s="5" t="s">
        <v>139</v>
      </c>
      <c r="C44" s="5">
        <v>3202010012</v>
      </c>
      <c r="D44" s="5" t="s">
        <v>321</v>
      </c>
      <c r="E44" s="5" t="s">
        <v>41</v>
      </c>
      <c r="F44" s="5">
        <v>1</v>
      </c>
      <c r="G44" s="4" t="s">
        <v>539</v>
      </c>
    </row>
    <row r="45" spans="1:7" x14ac:dyDescent="0.25">
      <c r="A45" s="5">
        <v>17</v>
      </c>
      <c r="B45" s="6" t="s">
        <v>139</v>
      </c>
      <c r="C45" s="6">
        <v>3102010010</v>
      </c>
      <c r="D45" s="6" t="s">
        <v>149</v>
      </c>
      <c r="E45" s="6" t="s">
        <v>41</v>
      </c>
      <c r="F45" s="6">
        <v>1</v>
      </c>
      <c r="G45" s="4" t="s">
        <v>539</v>
      </c>
    </row>
    <row r="46" spans="1:7" x14ac:dyDescent="0.25">
      <c r="A46" s="5">
        <v>18</v>
      </c>
      <c r="B46" s="5" t="s">
        <v>139</v>
      </c>
      <c r="C46" s="5">
        <v>3102010010</v>
      </c>
      <c r="D46" s="5" t="s">
        <v>149</v>
      </c>
      <c r="E46" s="5" t="s">
        <v>14</v>
      </c>
      <c r="F46" s="5">
        <v>2.8E-3</v>
      </c>
      <c r="G46" s="4" t="s">
        <v>539</v>
      </c>
    </row>
    <row r="47" spans="1:7" x14ac:dyDescent="0.25">
      <c r="A47" s="5">
        <v>19</v>
      </c>
      <c r="B47" s="5" t="s">
        <v>139</v>
      </c>
      <c r="C47" s="5">
        <v>3102010011</v>
      </c>
      <c r="D47" s="5" t="s">
        <v>150</v>
      </c>
      <c r="E47" s="5" t="s">
        <v>41</v>
      </c>
      <c r="F47" s="5">
        <v>1</v>
      </c>
      <c r="G47" s="4" t="s">
        <v>539</v>
      </c>
    </row>
    <row r="48" spans="1:7" x14ac:dyDescent="0.25">
      <c r="A48" s="5">
        <v>20</v>
      </c>
      <c r="B48" s="5" t="s">
        <v>139</v>
      </c>
      <c r="C48" s="5">
        <v>3202010014</v>
      </c>
      <c r="D48" s="5" t="s">
        <v>323</v>
      </c>
      <c r="E48" s="5" t="s">
        <v>41</v>
      </c>
      <c r="F48" s="5">
        <v>1</v>
      </c>
      <c r="G48" s="4" t="s">
        <v>539</v>
      </c>
    </row>
    <row r="49" spans="1:7" x14ac:dyDescent="0.25">
      <c r="A49" s="5">
        <v>21</v>
      </c>
      <c r="B49" s="5" t="s">
        <v>139</v>
      </c>
      <c r="C49" s="5">
        <v>3202010015</v>
      </c>
      <c r="D49" s="5" t="s">
        <v>324</v>
      </c>
      <c r="E49" s="5" t="s">
        <v>41</v>
      </c>
      <c r="F49" s="5">
        <v>1</v>
      </c>
      <c r="G49" s="4" t="s">
        <v>539</v>
      </c>
    </row>
    <row r="50" spans="1:7" x14ac:dyDescent="0.25">
      <c r="A50" s="5">
        <v>22</v>
      </c>
      <c r="B50" s="5" t="s">
        <v>139</v>
      </c>
      <c r="C50" s="5">
        <v>3202010008</v>
      </c>
      <c r="D50" s="5" t="s">
        <v>679</v>
      </c>
      <c r="E50" s="5" t="s">
        <v>14</v>
      </c>
      <c r="F50" s="5">
        <v>1.7000000000000001E-2</v>
      </c>
      <c r="G50" s="4" t="s">
        <v>539</v>
      </c>
    </row>
    <row r="51" spans="1:7" x14ac:dyDescent="0.25">
      <c r="A51" s="5">
        <v>23</v>
      </c>
      <c r="B51" s="5" t="s">
        <v>139</v>
      </c>
      <c r="C51" s="5">
        <v>3102010019</v>
      </c>
      <c r="D51" s="5" t="s">
        <v>156</v>
      </c>
      <c r="E51" s="5" t="s">
        <v>41</v>
      </c>
      <c r="F51" s="5">
        <v>1</v>
      </c>
      <c r="G51" s="4" t="s">
        <v>539</v>
      </c>
    </row>
    <row r="52" spans="1:7" x14ac:dyDescent="0.25">
      <c r="A52" s="5">
        <v>24</v>
      </c>
      <c r="B52" s="5" t="s">
        <v>139</v>
      </c>
      <c r="C52" s="5">
        <v>3202010007</v>
      </c>
      <c r="D52" s="5" t="s">
        <v>316</v>
      </c>
      <c r="E52" s="5" t="s">
        <v>14</v>
      </c>
      <c r="F52" s="5">
        <v>7.0000000000000001E-3</v>
      </c>
      <c r="G52" s="4" t="s">
        <v>539</v>
      </c>
    </row>
    <row r="53" spans="1:7" x14ac:dyDescent="0.25">
      <c r="A53" s="5">
        <v>25</v>
      </c>
      <c r="B53" s="5" t="s">
        <v>243</v>
      </c>
      <c r="C53" s="5">
        <v>3201010046</v>
      </c>
      <c r="D53" s="5" t="s">
        <v>283</v>
      </c>
      <c r="E53" s="5" t="s">
        <v>37</v>
      </c>
      <c r="F53" s="5">
        <v>1.1399999999999999</v>
      </c>
      <c r="G53" s="4" t="s">
        <v>539</v>
      </c>
    </row>
    <row r="54" spans="1:7" x14ac:dyDescent="0.25">
      <c r="A54" s="5">
        <v>26</v>
      </c>
      <c r="B54" s="5" t="s">
        <v>243</v>
      </c>
      <c r="C54" s="5">
        <v>3201010014</v>
      </c>
      <c r="D54" s="5" t="s">
        <v>255</v>
      </c>
      <c r="E54" s="5" t="s">
        <v>41</v>
      </c>
      <c r="F54" s="5">
        <v>1</v>
      </c>
      <c r="G54" s="4" t="s">
        <v>539</v>
      </c>
    </row>
    <row r="55" spans="1:7" x14ac:dyDescent="0.25">
      <c r="A55" s="5">
        <v>27</v>
      </c>
      <c r="B55" s="5" t="s">
        <v>243</v>
      </c>
      <c r="C55" s="5">
        <v>3201010062</v>
      </c>
      <c r="D55" s="5" t="s">
        <v>294</v>
      </c>
      <c r="E55" s="5" t="s">
        <v>41</v>
      </c>
      <c r="F55" s="5">
        <v>1</v>
      </c>
      <c r="G55" s="4" t="s">
        <v>539</v>
      </c>
    </row>
    <row r="56" spans="1:7" x14ac:dyDescent="0.25">
      <c r="A56" s="10">
        <v>1</v>
      </c>
      <c r="B56" s="10" t="s">
        <v>16</v>
      </c>
      <c r="C56" s="10">
        <v>3101010023</v>
      </c>
      <c r="D56" s="10" t="s">
        <v>38</v>
      </c>
      <c r="E56" s="10" t="s">
        <v>37</v>
      </c>
      <c r="F56" s="10">
        <v>0.129</v>
      </c>
      <c r="G56" s="9" t="s">
        <v>541</v>
      </c>
    </row>
    <row r="57" spans="1:7" x14ac:dyDescent="0.25">
      <c r="A57" s="10">
        <v>2</v>
      </c>
      <c r="B57" s="10" t="s">
        <v>16</v>
      </c>
      <c r="C57" s="10">
        <v>3101010094</v>
      </c>
      <c r="D57" s="10" t="s">
        <v>103</v>
      </c>
      <c r="E57" s="10" t="s">
        <v>14</v>
      </c>
      <c r="F57" s="10">
        <v>1E-3</v>
      </c>
      <c r="G57" s="9" t="s">
        <v>541</v>
      </c>
    </row>
    <row r="58" spans="1:7" x14ac:dyDescent="0.25">
      <c r="A58" s="10">
        <v>3</v>
      </c>
      <c r="B58" s="10" t="s">
        <v>139</v>
      </c>
      <c r="C58" s="10">
        <v>3102010013</v>
      </c>
      <c r="D58" s="10" t="s">
        <v>152</v>
      </c>
      <c r="E58" s="10" t="s">
        <v>14</v>
      </c>
      <c r="F58" s="10">
        <v>8.9999999999999993E-3</v>
      </c>
      <c r="G58" s="9" t="s">
        <v>541</v>
      </c>
    </row>
    <row r="59" spans="1:7" x14ac:dyDescent="0.25">
      <c r="A59" s="10">
        <v>4</v>
      </c>
      <c r="B59" s="10" t="s">
        <v>139</v>
      </c>
      <c r="C59" s="10">
        <v>3102010012</v>
      </c>
      <c r="D59" s="10" t="s">
        <v>151</v>
      </c>
      <c r="E59" s="10" t="s">
        <v>37</v>
      </c>
      <c r="F59" s="10">
        <v>0.62</v>
      </c>
      <c r="G59" s="9" t="s">
        <v>541</v>
      </c>
    </row>
    <row r="60" spans="1:7" x14ac:dyDescent="0.25">
      <c r="A60" s="10">
        <v>5</v>
      </c>
      <c r="B60" s="10" t="s">
        <v>139</v>
      </c>
      <c r="C60" s="10">
        <v>3202010010</v>
      </c>
      <c r="D60" s="10" t="s">
        <v>319</v>
      </c>
      <c r="E60" s="10" t="s">
        <v>41</v>
      </c>
      <c r="F60" s="10">
        <v>1</v>
      </c>
      <c r="G60" s="9" t="s">
        <v>541</v>
      </c>
    </row>
    <row r="61" spans="1:7" x14ac:dyDescent="0.25">
      <c r="A61" s="10">
        <v>6</v>
      </c>
      <c r="B61" s="10" t="s">
        <v>139</v>
      </c>
      <c r="C61" s="10">
        <v>3202010017</v>
      </c>
      <c r="D61" s="10" t="s">
        <v>326</v>
      </c>
      <c r="E61" s="10" t="s">
        <v>41</v>
      </c>
      <c r="F61" s="10">
        <v>1</v>
      </c>
      <c r="G61" s="9" t="s">
        <v>541</v>
      </c>
    </row>
    <row r="62" spans="1:7" x14ac:dyDescent="0.25">
      <c r="A62" s="10">
        <v>7</v>
      </c>
      <c r="B62" s="10" t="s">
        <v>139</v>
      </c>
      <c r="C62" s="10">
        <v>3102010022</v>
      </c>
      <c r="D62" s="10" t="s">
        <v>687</v>
      </c>
      <c r="E62" s="10" t="s">
        <v>41</v>
      </c>
      <c r="F62" s="10">
        <v>1</v>
      </c>
      <c r="G62" s="9" t="s">
        <v>541</v>
      </c>
    </row>
    <row r="63" spans="1:7" x14ac:dyDescent="0.25">
      <c r="A63" s="10">
        <v>8</v>
      </c>
      <c r="B63" s="10" t="s">
        <v>139</v>
      </c>
      <c r="C63" s="10">
        <v>3102010007</v>
      </c>
      <c r="D63" s="10" t="s">
        <v>146</v>
      </c>
      <c r="E63" s="10" t="s">
        <v>41</v>
      </c>
      <c r="F63" s="10">
        <v>1</v>
      </c>
      <c r="G63" s="9" t="s">
        <v>541</v>
      </c>
    </row>
    <row r="64" spans="1:7" x14ac:dyDescent="0.25">
      <c r="A64" s="10">
        <v>9</v>
      </c>
      <c r="B64" s="10" t="s">
        <v>139</v>
      </c>
      <c r="C64" s="10">
        <v>3102010009</v>
      </c>
      <c r="D64" s="10" t="s">
        <v>148</v>
      </c>
      <c r="E64" s="10" t="s">
        <v>41</v>
      </c>
      <c r="F64" s="10">
        <v>1</v>
      </c>
      <c r="G64" s="9" t="s">
        <v>541</v>
      </c>
    </row>
    <row r="65" spans="1:7" x14ac:dyDescent="0.25">
      <c r="A65" s="10">
        <v>10</v>
      </c>
      <c r="B65" s="10" t="s">
        <v>139</v>
      </c>
      <c r="C65" s="10">
        <v>3202010011</v>
      </c>
      <c r="D65" s="10" t="s">
        <v>320</v>
      </c>
      <c r="E65" s="10" t="s">
        <v>41</v>
      </c>
      <c r="F65" s="10">
        <v>1</v>
      </c>
      <c r="G65" s="9" t="s">
        <v>541</v>
      </c>
    </row>
    <row r="66" spans="1:7" x14ac:dyDescent="0.25">
      <c r="A66" s="10">
        <v>11</v>
      </c>
      <c r="B66" s="10" t="s">
        <v>139</v>
      </c>
      <c r="C66" s="10">
        <v>3102010021</v>
      </c>
      <c r="D66" s="10" t="s">
        <v>158</v>
      </c>
      <c r="E66" s="10" t="s">
        <v>41</v>
      </c>
      <c r="F66" s="10">
        <v>1</v>
      </c>
      <c r="G66" s="9" t="s">
        <v>541</v>
      </c>
    </row>
    <row r="67" spans="1:7" x14ac:dyDescent="0.25">
      <c r="A67" s="10">
        <v>12</v>
      </c>
      <c r="B67" s="10" t="s">
        <v>139</v>
      </c>
      <c r="C67" s="10">
        <v>3102010006</v>
      </c>
      <c r="D67" s="10" t="s">
        <v>145</v>
      </c>
      <c r="E67" s="10" t="s">
        <v>41</v>
      </c>
      <c r="F67" s="10">
        <v>1</v>
      </c>
      <c r="G67" s="9" t="s">
        <v>541</v>
      </c>
    </row>
    <row r="68" spans="1:7" x14ac:dyDescent="0.25">
      <c r="A68" s="10">
        <v>13</v>
      </c>
      <c r="B68" s="10" t="s">
        <v>139</v>
      </c>
      <c r="C68" s="10">
        <v>3202010013</v>
      </c>
      <c r="D68" s="10" t="s">
        <v>322</v>
      </c>
      <c r="E68" s="10" t="s">
        <v>41</v>
      </c>
      <c r="F68" s="10">
        <v>3</v>
      </c>
      <c r="G68" s="9" t="s">
        <v>541</v>
      </c>
    </row>
    <row r="69" spans="1:7" x14ac:dyDescent="0.25">
      <c r="A69" s="10">
        <v>14</v>
      </c>
      <c r="B69" s="10" t="s">
        <v>139</v>
      </c>
      <c r="C69" s="10">
        <v>3202010012</v>
      </c>
      <c r="D69" s="10" t="s">
        <v>321</v>
      </c>
      <c r="E69" s="10" t="s">
        <v>41</v>
      </c>
      <c r="F69" s="10">
        <v>1</v>
      </c>
      <c r="G69" s="9" t="s">
        <v>541</v>
      </c>
    </row>
    <row r="70" spans="1:7" x14ac:dyDescent="0.25">
      <c r="A70" s="10">
        <v>15</v>
      </c>
      <c r="B70" s="10" t="s">
        <v>139</v>
      </c>
      <c r="C70" s="10">
        <v>3102010010</v>
      </c>
      <c r="D70" s="10" t="s">
        <v>149</v>
      </c>
      <c r="E70" s="10" t="s">
        <v>14</v>
      </c>
      <c r="F70" s="10">
        <v>2.8E-3</v>
      </c>
      <c r="G70" s="9" t="s">
        <v>541</v>
      </c>
    </row>
    <row r="71" spans="1:7" x14ac:dyDescent="0.25">
      <c r="A71" s="10">
        <v>16</v>
      </c>
      <c r="B71" s="10" t="s">
        <v>139</v>
      </c>
      <c r="C71" s="10">
        <v>3102010011</v>
      </c>
      <c r="D71" s="10" t="s">
        <v>150</v>
      </c>
      <c r="E71" s="10" t="s">
        <v>41</v>
      </c>
      <c r="F71" s="10">
        <v>1</v>
      </c>
      <c r="G71" s="9" t="s">
        <v>541</v>
      </c>
    </row>
    <row r="72" spans="1:7" x14ac:dyDescent="0.25">
      <c r="A72" s="10">
        <v>17</v>
      </c>
      <c r="B72" s="10" t="s">
        <v>139</v>
      </c>
      <c r="C72" s="10">
        <v>3202010014</v>
      </c>
      <c r="D72" s="10" t="s">
        <v>323</v>
      </c>
      <c r="E72" s="10" t="s">
        <v>41</v>
      </c>
      <c r="F72" s="10">
        <v>1</v>
      </c>
      <c r="G72" s="9" t="s">
        <v>541</v>
      </c>
    </row>
    <row r="73" spans="1:7" x14ac:dyDescent="0.25">
      <c r="A73" s="10">
        <v>18</v>
      </c>
      <c r="B73" s="6" t="s">
        <v>139</v>
      </c>
      <c r="C73" s="6">
        <v>3102010010</v>
      </c>
      <c r="D73" s="6" t="s">
        <v>149</v>
      </c>
      <c r="E73" s="6" t="s">
        <v>41</v>
      </c>
      <c r="F73" s="6">
        <v>1</v>
      </c>
      <c r="G73" s="9" t="s">
        <v>541</v>
      </c>
    </row>
    <row r="74" spans="1:7" x14ac:dyDescent="0.25">
      <c r="A74" s="10">
        <v>19</v>
      </c>
      <c r="B74" s="10" t="s">
        <v>243</v>
      </c>
      <c r="C74" s="10">
        <v>3201010081</v>
      </c>
      <c r="D74" s="10" t="s">
        <v>312</v>
      </c>
      <c r="E74" s="10" t="s">
        <v>41</v>
      </c>
      <c r="F74" s="10">
        <v>1</v>
      </c>
      <c r="G74" s="9" t="s">
        <v>541</v>
      </c>
    </row>
    <row r="75" spans="1:7" x14ac:dyDescent="0.25">
      <c r="A75" s="10">
        <v>20</v>
      </c>
      <c r="B75" s="10" t="s">
        <v>139</v>
      </c>
      <c r="C75" s="10">
        <v>3202010008</v>
      </c>
      <c r="D75" s="10" t="s">
        <v>679</v>
      </c>
      <c r="E75" s="10" t="s">
        <v>14</v>
      </c>
      <c r="F75" s="10">
        <v>1.7000000000000001E-2</v>
      </c>
      <c r="G75" s="9" t="s">
        <v>541</v>
      </c>
    </row>
    <row r="76" spans="1:7" x14ac:dyDescent="0.25">
      <c r="A76" s="10">
        <v>21</v>
      </c>
      <c r="B76" s="10" t="s">
        <v>139</v>
      </c>
      <c r="C76" s="10">
        <v>3102010019</v>
      </c>
      <c r="D76" s="10" t="s">
        <v>156</v>
      </c>
      <c r="E76" s="10" t="s">
        <v>41</v>
      </c>
      <c r="F76" s="10">
        <v>1</v>
      </c>
      <c r="G76" s="9" t="s">
        <v>541</v>
      </c>
    </row>
    <row r="77" spans="1:7" x14ac:dyDescent="0.25">
      <c r="A77" s="10">
        <v>22</v>
      </c>
      <c r="B77" s="10" t="s">
        <v>139</v>
      </c>
      <c r="C77" s="10">
        <v>3202010007</v>
      </c>
      <c r="D77" s="10" t="s">
        <v>316</v>
      </c>
      <c r="E77" s="10" t="s">
        <v>14</v>
      </c>
      <c r="F77" s="10">
        <v>7.0000000000000001E-3</v>
      </c>
      <c r="G77" s="9" t="s">
        <v>541</v>
      </c>
    </row>
    <row r="78" spans="1:7" x14ac:dyDescent="0.25">
      <c r="A78" s="10">
        <v>23</v>
      </c>
      <c r="B78" s="10" t="s">
        <v>243</v>
      </c>
      <c r="C78" s="10">
        <v>3201010080</v>
      </c>
      <c r="D78" s="10" t="s">
        <v>311</v>
      </c>
      <c r="E78" s="10" t="s">
        <v>41</v>
      </c>
      <c r="F78" s="10">
        <v>1</v>
      </c>
      <c r="G78" s="9" t="s">
        <v>541</v>
      </c>
    </row>
    <row r="79" spans="1:7" x14ac:dyDescent="0.25">
      <c r="A79" s="10">
        <v>24</v>
      </c>
      <c r="B79" s="10" t="s">
        <v>243</v>
      </c>
      <c r="C79" s="10">
        <v>3201010081</v>
      </c>
      <c r="D79" s="10" t="s">
        <v>312</v>
      </c>
      <c r="E79" s="10" t="s">
        <v>41</v>
      </c>
      <c r="F79" s="10">
        <v>1</v>
      </c>
      <c r="G79" s="9" t="s">
        <v>541</v>
      </c>
    </row>
    <row r="80" spans="1:7" x14ac:dyDescent="0.25">
      <c r="A80" s="10">
        <v>25</v>
      </c>
      <c r="B80" s="10" t="s">
        <v>243</v>
      </c>
      <c r="C80" s="10">
        <v>3201010046</v>
      </c>
      <c r="D80" s="10" t="s">
        <v>283</v>
      </c>
      <c r="E80" s="10" t="s">
        <v>37</v>
      </c>
      <c r="F80" s="10">
        <v>1.1399999999999999</v>
      </c>
      <c r="G80" s="9" t="s">
        <v>541</v>
      </c>
    </row>
    <row r="81" spans="1:7" x14ac:dyDescent="0.25">
      <c r="A81" s="10">
        <v>26</v>
      </c>
      <c r="B81" s="10" t="s">
        <v>243</v>
      </c>
      <c r="C81" s="10">
        <v>3201010014</v>
      </c>
      <c r="D81" s="10" t="s">
        <v>255</v>
      </c>
      <c r="E81" s="10" t="s">
        <v>41</v>
      </c>
      <c r="F81" s="10">
        <v>1</v>
      </c>
      <c r="G81" s="9" t="s">
        <v>541</v>
      </c>
    </row>
    <row r="82" spans="1:7" x14ac:dyDescent="0.25">
      <c r="A82" s="10">
        <v>27</v>
      </c>
      <c r="B82" s="10" t="s">
        <v>243</v>
      </c>
      <c r="C82" s="10">
        <v>3201010062</v>
      </c>
      <c r="D82" s="10" t="s">
        <v>294</v>
      </c>
      <c r="E82" s="10" t="s">
        <v>41</v>
      </c>
      <c r="F82" s="10">
        <v>1</v>
      </c>
      <c r="G82" s="9" t="s">
        <v>541</v>
      </c>
    </row>
    <row r="83" spans="1:7" x14ac:dyDescent="0.25">
      <c r="A83" s="12">
        <v>1</v>
      </c>
      <c r="B83" s="12" t="s">
        <v>16</v>
      </c>
      <c r="C83" s="12">
        <v>3101010023</v>
      </c>
      <c r="D83" s="12" t="s">
        <v>38</v>
      </c>
      <c r="E83" s="12" t="s">
        <v>37</v>
      </c>
      <c r="F83" s="12">
        <v>0.129</v>
      </c>
      <c r="G83" s="11" t="s">
        <v>544</v>
      </c>
    </row>
    <row r="84" spans="1:7" x14ac:dyDescent="0.25">
      <c r="A84" s="12">
        <v>2</v>
      </c>
      <c r="B84" s="12" t="s">
        <v>16</v>
      </c>
      <c r="C84" s="12">
        <v>3101010094</v>
      </c>
      <c r="D84" s="12" t="s">
        <v>103</v>
      </c>
      <c r="E84" s="12" t="s">
        <v>14</v>
      </c>
      <c r="F84" s="12">
        <v>1E-3</v>
      </c>
      <c r="G84" s="11" t="s">
        <v>544</v>
      </c>
    </row>
    <row r="85" spans="1:7" x14ac:dyDescent="0.25">
      <c r="A85" s="12">
        <v>3</v>
      </c>
      <c r="B85" s="12" t="s">
        <v>139</v>
      </c>
      <c r="C85" s="12">
        <v>3102010013</v>
      </c>
      <c r="D85" s="12" t="s">
        <v>152</v>
      </c>
      <c r="E85" s="12" t="s">
        <v>14</v>
      </c>
      <c r="F85" s="12">
        <v>8.9999999999999993E-3</v>
      </c>
      <c r="G85" s="11" t="s">
        <v>544</v>
      </c>
    </row>
    <row r="86" spans="1:7" x14ac:dyDescent="0.25">
      <c r="A86" s="12">
        <v>4</v>
      </c>
      <c r="B86" s="12" t="s">
        <v>139</v>
      </c>
      <c r="C86" s="12">
        <v>3102010012</v>
      </c>
      <c r="D86" s="12" t="s">
        <v>151</v>
      </c>
      <c r="E86" s="12" t="s">
        <v>37</v>
      </c>
      <c r="F86" s="12">
        <v>0.62</v>
      </c>
      <c r="G86" s="11" t="s">
        <v>544</v>
      </c>
    </row>
    <row r="87" spans="1:7" x14ac:dyDescent="0.25">
      <c r="A87" s="12">
        <v>5</v>
      </c>
      <c r="B87" s="12" t="s">
        <v>139</v>
      </c>
      <c r="C87" s="12">
        <v>3102010001</v>
      </c>
      <c r="D87" s="12" t="s">
        <v>140</v>
      </c>
      <c r="E87" s="12" t="s">
        <v>41</v>
      </c>
      <c r="F87" s="12">
        <v>1</v>
      </c>
      <c r="G87" s="11" t="s">
        <v>544</v>
      </c>
    </row>
    <row r="88" spans="1:7" x14ac:dyDescent="0.25">
      <c r="A88" s="12">
        <v>6</v>
      </c>
      <c r="B88" s="12" t="s">
        <v>139</v>
      </c>
      <c r="C88" s="12">
        <v>3102010004</v>
      </c>
      <c r="D88" s="12" t="s">
        <v>143</v>
      </c>
      <c r="E88" s="12" t="s">
        <v>41</v>
      </c>
      <c r="F88" s="12">
        <v>1</v>
      </c>
      <c r="G88" s="11" t="s">
        <v>544</v>
      </c>
    </row>
    <row r="89" spans="1:7" x14ac:dyDescent="0.25">
      <c r="A89" s="12">
        <v>7</v>
      </c>
      <c r="B89" s="12" t="s">
        <v>139</v>
      </c>
      <c r="C89" s="12">
        <v>3102010022</v>
      </c>
      <c r="D89" s="12" t="s">
        <v>687</v>
      </c>
      <c r="E89" s="12" t="s">
        <v>41</v>
      </c>
      <c r="F89" s="12">
        <v>1</v>
      </c>
      <c r="G89" s="11" t="s">
        <v>544</v>
      </c>
    </row>
    <row r="90" spans="1:7" x14ac:dyDescent="0.25">
      <c r="A90" s="12">
        <v>8</v>
      </c>
      <c r="B90" s="6" t="s">
        <v>139</v>
      </c>
      <c r="C90" s="6">
        <v>3102010010</v>
      </c>
      <c r="D90" s="6" t="s">
        <v>149</v>
      </c>
      <c r="E90" s="6" t="s">
        <v>41</v>
      </c>
      <c r="F90" s="6">
        <v>1</v>
      </c>
      <c r="G90" s="11" t="s">
        <v>544</v>
      </c>
    </row>
    <row r="91" spans="1:7" x14ac:dyDescent="0.25">
      <c r="A91" s="12">
        <v>9</v>
      </c>
      <c r="B91" s="12" t="s">
        <v>139</v>
      </c>
      <c r="C91" s="12">
        <v>3102010007</v>
      </c>
      <c r="D91" s="12" t="s">
        <v>146</v>
      </c>
      <c r="E91" s="12" t="s">
        <v>41</v>
      </c>
      <c r="F91" s="12">
        <v>1</v>
      </c>
      <c r="G91" s="11" t="s">
        <v>544</v>
      </c>
    </row>
    <row r="92" spans="1:7" x14ac:dyDescent="0.25">
      <c r="A92" s="12">
        <v>10</v>
      </c>
      <c r="B92" s="12" t="s">
        <v>139</v>
      </c>
      <c r="C92" s="12">
        <v>3102010009</v>
      </c>
      <c r="D92" s="12" t="s">
        <v>148</v>
      </c>
      <c r="E92" s="12" t="s">
        <v>41</v>
      </c>
      <c r="F92" s="12">
        <v>1</v>
      </c>
      <c r="G92" s="11" t="s">
        <v>544</v>
      </c>
    </row>
    <row r="93" spans="1:7" x14ac:dyDescent="0.25">
      <c r="A93" s="12">
        <v>11</v>
      </c>
      <c r="B93" s="12" t="s">
        <v>139</v>
      </c>
      <c r="C93" s="12">
        <v>3102010002</v>
      </c>
      <c r="D93" s="12" t="s">
        <v>141</v>
      </c>
      <c r="E93" s="12" t="s">
        <v>41</v>
      </c>
      <c r="F93" s="12">
        <v>1</v>
      </c>
      <c r="G93" s="11" t="s">
        <v>544</v>
      </c>
    </row>
    <row r="94" spans="1:7" x14ac:dyDescent="0.25">
      <c r="A94" s="12">
        <v>12</v>
      </c>
      <c r="B94" s="12" t="s">
        <v>139</v>
      </c>
      <c r="C94" s="12">
        <v>3102010020</v>
      </c>
      <c r="D94" s="12" t="s">
        <v>157</v>
      </c>
      <c r="E94" s="12" t="s">
        <v>41</v>
      </c>
      <c r="F94" s="12">
        <v>1</v>
      </c>
      <c r="G94" s="11" t="s">
        <v>544</v>
      </c>
    </row>
    <row r="95" spans="1:7" x14ac:dyDescent="0.25">
      <c r="A95" s="12">
        <v>13</v>
      </c>
      <c r="B95" s="12" t="s">
        <v>139</v>
      </c>
      <c r="C95" s="12">
        <v>3102010006</v>
      </c>
      <c r="D95" s="12" t="s">
        <v>145</v>
      </c>
      <c r="E95" s="12" t="s">
        <v>41</v>
      </c>
      <c r="F95" s="12">
        <v>1</v>
      </c>
      <c r="G95" s="11" t="s">
        <v>544</v>
      </c>
    </row>
    <row r="96" spans="1:7" x14ac:dyDescent="0.25">
      <c r="A96" s="12">
        <v>14</v>
      </c>
      <c r="B96" s="12" t="s">
        <v>139</v>
      </c>
      <c r="C96" s="12">
        <v>3102010003</v>
      </c>
      <c r="D96" s="12" t="s">
        <v>142</v>
      </c>
      <c r="E96" s="12" t="s">
        <v>41</v>
      </c>
      <c r="F96" s="12">
        <v>3</v>
      </c>
      <c r="G96" s="11" t="s">
        <v>544</v>
      </c>
    </row>
    <row r="97" spans="1:10" x14ac:dyDescent="0.25">
      <c r="A97" s="12">
        <v>15</v>
      </c>
      <c r="B97" s="12" t="s">
        <v>139</v>
      </c>
      <c r="C97" s="12">
        <v>3102010005</v>
      </c>
      <c r="D97" s="12" t="s">
        <v>144</v>
      </c>
      <c r="E97" s="12" t="s">
        <v>41</v>
      </c>
      <c r="F97" s="12">
        <v>1</v>
      </c>
      <c r="G97" s="11" t="s">
        <v>544</v>
      </c>
    </row>
    <row r="98" spans="1:10" x14ac:dyDescent="0.25">
      <c r="A98" s="12">
        <v>16</v>
      </c>
      <c r="B98" s="12" t="s">
        <v>139</v>
      </c>
      <c r="C98" s="12">
        <v>3102010010</v>
      </c>
      <c r="D98" s="12" t="s">
        <v>149</v>
      </c>
      <c r="E98" s="12" t="s">
        <v>14</v>
      </c>
      <c r="F98" s="12">
        <v>2.8E-3</v>
      </c>
      <c r="G98" s="11" t="s">
        <v>544</v>
      </c>
    </row>
    <row r="99" spans="1:10" x14ac:dyDescent="0.25">
      <c r="A99" s="12">
        <v>17</v>
      </c>
      <c r="B99" s="12" t="s">
        <v>139</v>
      </c>
      <c r="C99" s="12">
        <v>3102010011</v>
      </c>
      <c r="D99" s="12" t="s">
        <v>150</v>
      </c>
      <c r="E99" s="12" t="s">
        <v>41</v>
      </c>
      <c r="F99" s="12">
        <v>1</v>
      </c>
      <c r="G99" s="11" t="s">
        <v>544</v>
      </c>
    </row>
    <row r="100" spans="1:10" x14ac:dyDescent="0.25">
      <c r="A100" s="12">
        <v>18</v>
      </c>
      <c r="B100" s="12" t="s">
        <v>139</v>
      </c>
      <c r="C100" s="12">
        <v>3102010008</v>
      </c>
      <c r="D100" s="12" t="s">
        <v>147</v>
      </c>
      <c r="E100" s="12" t="s">
        <v>41</v>
      </c>
      <c r="F100" s="12">
        <v>1</v>
      </c>
      <c r="G100" s="11" t="s">
        <v>544</v>
      </c>
    </row>
    <row r="101" spans="1:10" x14ac:dyDescent="0.25">
      <c r="A101" s="12">
        <v>19</v>
      </c>
      <c r="B101" s="12" t="s">
        <v>243</v>
      </c>
      <c r="C101" s="12">
        <v>3201010081</v>
      </c>
      <c r="D101" s="12" t="s">
        <v>312</v>
      </c>
      <c r="E101" s="12" t="s">
        <v>41</v>
      </c>
      <c r="F101" s="12">
        <v>1</v>
      </c>
      <c r="G101" s="11" t="s">
        <v>544</v>
      </c>
    </row>
    <row r="102" spans="1:10" x14ac:dyDescent="0.25">
      <c r="A102" s="12">
        <v>20</v>
      </c>
      <c r="B102" s="12" t="s">
        <v>139</v>
      </c>
      <c r="C102" s="12">
        <v>3202010001</v>
      </c>
      <c r="D102" s="12" t="s">
        <v>678</v>
      </c>
      <c r="E102" s="12" t="s">
        <v>14</v>
      </c>
      <c r="F102" s="12">
        <v>1.4999999999999999E-2</v>
      </c>
      <c r="G102" s="11" t="s">
        <v>544</v>
      </c>
    </row>
    <row r="103" spans="1:10" x14ac:dyDescent="0.25">
      <c r="A103" s="12">
        <v>21</v>
      </c>
      <c r="B103" s="12" t="s">
        <v>139</v>
      </c>
      <c r="C103" s="12">
        <v>3102010019</v>
      </c>
      <c r="D103" s="12" t="s">
        <v>156</v>
      </c>
      <c r="E103" s="12" t="s">
        <v>41</v>
      </c>
      <c r="F103" s="12">
        <v>1</v>
      </c>
      <c r="G103" s="11" t="s">
        <v>544</v>
      </c>
    </row>
    <row r="104" spans="1:10" x14ac:dyDescent="0.25">
      <c r="A104" s="12">
        <v>22</v>
      </c>
      <c r="B104" s="12" t="s">
        <v>139</v>
      </c>
      <c r="C104" s="12">
        <v>3202010007</v>
      </c>
      <c r="D104" s="12" t="s">
        <v>316</v>
      </c>
      <c r="E104" s="12" t="s">
        <v>14</v>
      </c>
      <c r="F104" s="12">
        <v>6.0000000000000001E-3</v>
      </c>
      <c r="G104" s="11" t="s">
        <v>544</v>
      </c>
    </row>
    <row r="105" spans="1:10" x14ac:dyDescent="0.25">
      <c r="A105" s="12">
        <v>23</v>
      </c>
      <c r="B105" s="12" t="s">
        <v>243</v>
      </c>
      <c r="C105" s="12">
        <v>3201010079</v>
      </c>
      <c r="D105" s="12" t="s">
        <v>310</v>
      </c>
      <c r="E105" s="12" t="s">
        <v>41</v>
      </c>
      <c r="F105" s="12">
        <v>1</v>
      </c>
      <c r="G105" s="11" t="s">
        <v>544</v>
      </c>
    </row>
    <row r="106" spans="1:10" x14ac:dyDescent="0.25">
      <c r="A106" s="12">
        <v>24</v>
      </c>
      <c r="B106" s="12" t="s">
        <v>243</v>
      </c>
      <c r="C106" s="12">
        <v>3201010081</v>
      </c>
      <c r="D106" s="12" t="s">
        <v>312</v>
      </c>
      <c r="E106" s="12" t="s">
        <v>41</v>
      </c>
      <c r="F106" s="12">
        <v>1</v>
      </c>
      <c r="G106" s="11" t="s">
        <v>544</v>
      </c>
    </row>
    <row r="107" spans="1:10" x14ac:dyDescent="0.25">
      <c r="A107" s="12">
        <v>25</v>
      </c>
      <c r="B107" s="12" t="s">
        <v>243</v>
      </c>
      <c r="C107" s="12">
        <v>3201010046</v>
      </c>
      <c r="D107" s="12" t="s">
        <v>283</v>
      </c>
      <c r="E107" s="12" t="s">
        <v>37</v>
      </c>
      <c r="F107" s="12">
        <v>1.099</v>
      </c>
      <c r="G107" s="11" t="s">
        <v>544</v>
      </c>
    </row>
    <row r="108" spans="1:10" x14ac:dyDescent="0.25">
      <c r="A108" s="12">
        <v>26</v>
      </c>
      <c r="B108" s="12" t="s">
        <v>243</v>
      </c>
      <c r="C108" s="12">
        <v>3201010014</v>
      </c>
      <c r="D108" s="12" t="s">
        <v>255</v>
      </c>
      <c r="E108" s="12" t="s">
        <v>41</v>
      </c>
      <c r="F108" s="12">
        <v>1</v>
      </c>
      <c r="G108" s="11" t="s">
        <v>544</v>
      </c>
    </row>
    <row r="109" spans="1:10" x14ac:dyDescent="0.25">
      <c r="A109" s="12">
        <v>27</v>
      </c>
      <c r="B109" s="12" t="s">
        <v>243</v>
      </c>
      <c r="C109" s="12">
        <v>3201010062</v>
      </c>
      <c r="D109" s="12" t="s">
        <v>294</v>
      </c>
      <c r="E109" s="12" t="s">
        <v>41</v>
      </c>
      <c r="F109" s="12">
        <v>1</v>
      </c>
      <c r="G109" s="11" t="s">
        <v>544</v>
      </c>
      <c r="J109" s="15" t="s">
        <v>548</v>
      </c>
    </row>
    <row r="110" spans="1:10" x14ac:dyDescent="0.25">
      <c r="A110" s="14">
        <v>1</v>
      </c>
      <c r="B110" s="14" t="s">
        <v>16</v>
      </c>
      <c r="C110" s="14">
        <v>3101010138</v>
      </c>
      <c r="D110" s="14" t="s">
        <v>135</v>
      </c>
      <c r="E110" s="14" t="s">
        <v>41</v>
      </c>
      <c r="F110" s="14">
        <v>1</v>
      </c>
      <c r="G110" s="15" t="s">
        <v>548</v>
      </c>
      <c r="J110" s="16" t="s">
        <v>551</v>
      </c>
    </row>
    <row r="111" spans="1:10" x14ac:dyDescent="0.25">
      <c r="A111" s="14">
        <v>2</v>
      </c>
      <c r="B111" s="14" t="s">
        <v>243</v>
      </c>
      <c r="C111" s="14">
        <v>3201010074</v>
      </c>
      <c r="D111" s="14" t="s">
        <v>305</v>
      </c>
      <c r="E111" s="14" t="s">
        <v>41</v>
      </c>
      <c r="F111" s="14">
        <v>8.3400000000000002E-2</v>
      </c>
      <c r="G111" s="15" t="s">
        <v>548</v>
      </c>
    </row>
    <row r="112" spans="1:10" x14ac:dyDescent="0.25">
      <c r="A112" s="14">
        <v>3</v>
      </c>
      <c r="B112" s="14" t="s">
        <v>243</v>
      </c>
      <c r="C112" s="14">
        <v>3201010073</v>
      </c>
      <c r="D112" s="14" t="s">
        <v>304</v>
      </c>
      <c r="E112" s="14" t="s">
        <v>41</v>
      </c>
      <c r="F112" s="14">
        <v>2.0899999999999998E-2</v>
      </c>
      <c r="G112" s="15" t="s">
        <v>548</v>
      </c>
    </row>
    <row r="113" spans="1:7" x14ac:dyDescent="0.25">
      <c r="A113" s="14">
        <v>4</v>
      </c>
      <c r="B113" s="14" t="s">
        <v>243</v>
      </c>
      <c r="C113" s="14">
        <v>3201010076</v>
      </c>
      <c r="D113" s="14" t="s">
        <v>307</v>
      </c>
      <c r="E113" s="14" t="s">
        <v>41</v>
      </c>
      <c r="F113" s="14">
        <v>1</v>
      </c>
      <c r="G113" s="15" t="s">
        <v>548</v>
      </c>
    </row>
    <row r="114" spans="1:7" x14ac:dyDescent="0.25">
      <c r="A114" s="14">
        <v>5</v>
      </c>
      <c r="B114" s="14" t="s">
        <v>243</v>
      </c>
      <c r="C114" s="14">
        <v>3201010046</v>
      </c>
      <c r="D114" s="14" t="s">
        <v>283</v>
      </c>
      <c r="E114" s="14" t="s">
        <v>37</v>
      </c>
      <c r="F114" s="14">
        <v>2.86E-2</v>
      </c>
      <c r="G114" s="15" t="s">
        <v>548</v>
      </c>
    </row>
    <row r="115" spans="1:7" x14ac:dyDescent="0.25">
      <c r="A115" s="14">
        <v>6</v>
      </c>
      <c r="B115" s="14" t="s">
        <v>243</v>
      </c>
      <c r="C115" s="14">
        <v>3201010078</v>
      </c>
      <c r="D115" s="14" t="s">
        <v>677</v>
      </c>
      <c r="E115" s="14" t="s">
        <v>14</v>
      </c>
      <c r="F115" s="14">
        <v>8.5999999999999998E-4</v>
      </c>
      <c r="G115" s="15" t="s">
        <v>548</v>
      </c>
    </row>
    <row r="116" spans="1:7" x14ac:dyDescent="0.25">
      <c r="A116" s="10">
        <v>1</v>
      </c>
      <c r="B116" s="10" t="s">
        <v>16</v>
      </c>
      <c r="C116" s="10">
        <v>3101010139</v>
      </c>
      <c r="D116" s="10" t="s">
        <v>136</v>
      </c>
      <c r="E116" s="10" t="s">
        <v>41</v>
      </c>
      <c r="F116" s="10">
        <v>1</v>
      </c>
      <c r="G116" s="16" t="s">
        <v>551</v>
      </c>
    </row>
    <row r="117" spans="1:7" x14ac:dyDescent="0.25">
      <c r="A117" s="10">
        <v>2</v>
      </c>
      <c r="B117" s="10" t="s">
        <v>243</v>
      </c>
      <c r="C117" s="10">
        <v>3201010075</v>
      </c>
      <c r="D117" s="10" t="s">
        <v>306</v>
      </c>
      <c r="E117" s="10" t="s">
        <v>41</v>
      </c>
      <c r="F117" s="10">
        <v>8.3400000000000002E-2</v>
      </c>
      <c r="G117" s="16" t="s">
        <v>551</v>
      </c>
    </row>
    <row r="118" spans="1:7" x14ac:dyDescent="0.25">
      <c r="A118" s="10">
        <v>3</v>
      </c>
      <c r="B118" s="10" t="s">
        <v>243</v>
      </c>
      <c r="C118" s="10">
        <v>3201010073</v>
      </c>
      <c r="D118" s="10" t="s">
        <v>304</v>
      </c>
      <c r="E118" s="10" t="s">
        <v>41</v>
      </c>
      <c r="F118" s="10">
        <v>2.0899999999999998E-2</v>
      </c>
      <c r="G118" s="16" t="s">
        <v>551</v>
      </c>
    </row>
    <row r="119" spans="1:7" x14ac:dyDescent="0.25">
      <c r="A119" s="10">
        <v>4</v>
      </c>
      <c r="B119" s="10" t="s">
        <v>243</v>
      </c>
      <c r="C119" s="10">
        <v>3201010077</v>
      </c>
      <c r="D119" s="10" t="s">
        <v>308</v>
      </c>
      <c r="E119" s="10" t="s">
        <v>41</v>
      </c>
      <c r="F119" s="10">
        <v>1</v>
      </c>
      <c r="G119" s="16" t="s">
        <v>551</v>
      </c>
    </row>
    <row r="120" spans="1:7" x14ac:dyDescent="0.25">
      <c r="A120" s="10">
        <v>5</v>
      </c>
      <c r="B120" s="10" t="s">
        <v>243</v>
      </c>
      <c r="C120" s="10">
        <v>3201010046</v>
      </c>
      <c r="D120" s="10" t="s">
        <v>283</v>
      </c>
      <c r="E120" s="10" t="s">
        <v>37</v>
      </c>
      <c r="F120" s="10">
        <v>2.86E-2</v>
      </c>
      <c r="G120" s="16" t="s">
        <v>551</v>
      </c>
    </row>
    <row r="121" spans="1:7" x14ac:dyDescent="0.25">
      <c r="A121" s="10">
        <v>6</v>
      </c>
      <c r="B121" s="10" t="s">
        <v>243</v>
      </c>
      <c r="C121" s="10">
        <v>3201010078</v>
      </c>
      <c r="D121" s="10" t="s">
        <v>677</v>
      </c>
      <c r="E121" s="10" t="s">
        <v>14</v>
      </c>
      <c r="F121" s="10">
        <v>8.5999999999999998E-4</v>
      </c>
      <c r="G121" s="16" t="s">
        <v>551</v>
      </c>
    </row>
    <row r="122" spans="1:7" x14ac:dyDescent="0.25">
      <c r="A122" s="14">
        <v>1</v>
      </c>
      <c r="B122" s="14" t="s">
        <v>16</v>
      </c>
      <c r="C122" s="14">
        <v>3101010135</v>
      </c>
      <c r="D122" s="14" t="s">
        <v>132</v>
      </c>
      <c r="E122" s="14" t="s">
        <v>41</v>
      </c>
      <c r="F122" s="14">
        <v>1</v>
      </c>
      <c r="G122" s="35" t="s">
        <v>563</v>
      </c>
    </row>
    <row r="123" spans="1:7" x14ac:dyDescent="0.25">
      <c r="A123" s="14">
        <v>2</v>
      </c>
      <c r="B123" s="14" t="s">
        <v>16</v>
      </c>
      <c r="C123" s="14">
        <v>3101010136</v>
      </c>
      <c r="D123" s="14" t="s">
        <v>133</v>
      </c>
      <c r="E123" s="14" t="s">
        <v>41</v>
      </c>
      <c r="F123" s="14">
        <v>1</v>
      </c>
      <c r="G123" s="35" t="s">
        <v>563</v>
      </c>
    </row>
    <row r="124" spans="1:7" x14ac:dyDescent="0.25">
      <c r="A124" s="14">
        <v>3</v>
      </c>
      <c r="B124" s="14" t="s">
        <v>16</v>
      </c>
      <c r="C124" s="14">
        <v>3101010077</v>
      </c>
      <c r="D124" s="14" t="s">
        <v>90</v>
      </c>
      <c r="E124" s="14" t="s">
        <v>14</v>
      </c>
      <c r="F124" s="14">
        <v>3.6299999999999999E-2</v>
      </c>
      <c r="G124" s="35" t="s">
        <v>563</v>
      </c>
    </row>
    <row r="125" spans="1:7" x14ac:dyDescent="0.25">
      <c r="A125" s="14">
        <v>4</v>
      </c>
      <c r="B125" s="14" t="s">
        <v>16</v>
      </c>
      <c r="C125" s="14">
        <v>3101010035</v>
      </c>
      <c r="D125" s="14" t="s">
        <v>52</v>
      </c>
      <c r="E125" s="14" t="s">
        <v>41</v>
      </c>
      <c r="F125" s="14">
        <v>1</v>
      </c>
      <c r="G125" s="35" t="s">
        <v>563</v>
      </c>
    </row>
    <row r="126" spans="1:7" x14ac:dyDescent="0.25">
      <c r="A126" s="14">
        <v>5</v>
      </c>
      <c r="B126" s="14" t="s">
        <v>16</v>
      </c>
      <c r="C126" s="14">
        <v>3101010080</v>
      </c>
      <c r="D126" s="14" t="s">
        <v>93</v>
      </c>
      <c r="E126" s="14" t="s">
        <v>41</v>
      </c>
      <c r="F126" s="14">
        <v>1</v>
      </c>
      <c r="G126" s="35" t="s">
        <v>563</v>
      </c>
    </row>
    <row r="127" spans="1:7" x14ac:dyDescent="0.25">
      <c r="A127" s="14">
        <v>6</v>
      </c>
      <c r="B127" s="14" t="s">
        <v>16</v>
      </c>
      <c r="C127" s="14">
        <v>3101010023</v>
      </c>
      <c r="D127" s="14" t="s">
        <v>38</v>
      </c>
      <c r="E127" s="14" t="s">
        <v>37</v>
      </c>
      <c r="F127" s="14">
        <v>0.16</v>
      </c>
      <c r="G127" s="35" t="s">
        <v>563</v>
      </c>
    </row>
    <row r="128" spans="1:7" x14ac:dyDescent="0.25">
      <c r="A128" s="14">
        <v>7</v>
      </c>
      <c r="B128" s="14" t="s">
        <v>16</v>
      </c>
      <c r="C128" s="14">
        <v>3101010112</v>
      </c>
      <c r="D128" s="14" t="s">
        <v>109</v>
      </c>
      <c r="E128" s="14" t="s">
        <v>37</v>
      </c>
      <c r="F128" s="14">
        <v>0.61</v>
      </c>
      <c r="G128" s="35" t="s">
        <v>563</v>
      </c>
    </row>
    <row r="129" spans="1:7" x14ac:dyDescent="0.25">
      <c r="A129" s="14">
        <v>8</v>
      </c>
      <c r="B129" s="14" t="s">
        <v>16</v>
      </c>
      <c r="C129" s="14">
        <v>3101010090</v>
      </c>
      <c r="D129" s="14" t="s">
        <v>100</v>
      </c>
      <c r="E129" s="14" t="s">
        <v>37</v>
      </c>
      <c r="F129" s="14">
        <v>0.61</v>
      </c>
      <c r="G129" s="35" t="s">
        <v>563</v>
      </c>
    </row>
    <row r="130" spans="1:7" x14ac:dyDescent="0.25">
      <c r="A130" s="14">
        <v>9</v>
      </c>
      <c r="B130" s="14" t="s">
        <v>16</v>
      </c>
      <c r="C130" s="14">
        <v>3101010038</v>
      </c>
      <c r="D130" s="14" t="s">
        <v>55</v>
      </c>
      <c r="E130" s="14" t="s">
        <v>14</v>
      </c>
      <c r="F130" s="14">
        <v>1E-4</v>
      </c>
      <c r="G130" s="35" t="s">
        <v>563</v>
      </c>
    </row>
    <row r="131" spans="1:7" x14ac:dyDescent="0.25">
      <c r="A131" s="14">
        <v>10</v>
      </c>
      <c r="B131" s="14" t="s">
        <v>16</v>
      </c>
      <c r="C131" s="14">
        <v>3101010108</v>
      </c>
      <c r="D131" s="14" t="s">
        <v>105</v>
      </c>
      <c r="E131" s="14" t="s">
        <v>43</v>
      </c>
      <c r="F131" s="14">
        <v>1E-3</v>
      </c>
      <c r="G131" s="35" t="s">
        <v>563</v>
      </c>
    </row>
    <row r="132" spans="1:7" x14ac:dyDescent="0.25">
      <c r="A132" s="14">
        <v>11</v>
      </c>
      <c r="B132" s="14" t="s">
        <v>16</v>
      </c>
      <c r="C132" s="14">
        <v>3101010054</v>
      </c>
      <c r="D132" s="14" t="s">
        <v>69</v>
      </c>
      <c r="E132" s="14" t="s">
        <v>66</v>
      </c>
      <c r="F132" s="14">
        <v>5.0000000000000001E-4</v>
      </c>
      <c r="G132" s="35" t="s">
        <v>563</v>
      </c>
    </row>
    <row r="133" spans="1:7" x14ac:dyDescent="0.25">
      <c r="A133" s="14">
        <v>12</v>
      </c>
      <c r="B133" s="14" t="s">
        <v>16</v>
      </c>
      <c r="C133" s="14">
        <v>3101010084</v>
      </c>
      <c r="D133" s="14" t="s">
        <v>96</v>
      </c>
      <c r="E133" s="14" t="s">
        <v>41</v>
      </c>
      <c r="F133" s="14">
        <v>1</v>
      </c>
      <c r="G133" s="35" t="s">
        <v>563</v>
      </c>
    </row>
    <row r="134" spans="1:7" x14ac:dyDescent="0.25">
      <c r="A134" s="14">
        <v>13</v>
      </c>
      <c r="B134" s="14" t="s">
        <v>16</v>
      </c>
      <c r="C134" s="14">
        <v>3101010065</v>
      </c>
      <c r="D134" s="14" t="s">
        <v>78</v>
      </c>
      <c r="E134" s="14" t="s">
        <v>14</v>
      </c>
      <c r="F134" s="14">
        <v>2.0000000000000001E-4</v>
      </c>
      <c r="G134" s="35" t="s">
        <v>563</v>
      </c>
    </row>
    <row r="135" spans="1:7" x14ac:dyDescent="0.25">
      <c r="A135" s="14">
        <v>14</v>
      </c>
      <c r="B135" s="14" t="s">
        <v>16</v>
      </c>
      <c r="C135" s="14">
        <v>3101010083</v>
      </c>
      <c r="D135" s="14" t="s">
        <v>95</v>
      </c>
      <c r="E135" s="14" t="s">
        <v>41</v>
      </c>
      <c r="F135" s="14">
        <v>3</v>
      </c>
      <c r="G135" s="35" t="s">
        <v>563</v>
      </c>
    </row>
    <row r="136" spans="1:7" x14ac:dyDescent="0.25">
      <c r="A136" s="14">
        <v>15</v>
      </c>
      <c r="B136" s="14" t="s">
        <v>16</v>
      </c>
      <c r="C136" s="14">
        <v>3101010074</v>
      </c>
      <c r="D136" s="14" t="s">
        <v>87</v>
      </c>
      <c r="E136" s="14" t="s">
        <v>14</v>
      </c>
      <c r="F136" s="14">
        <v>2E-3</v>
      </c>
      <c r="G136" s="35" t="s">
        <v>563</v>
      </c>
    </row>
    <row r="137" spans="1:7" x14ac:dyDescent="0.25">
      <c r="A137" s="14">
        <v>16</v>
      </c>
      <c r="B137" s="14" t="s">
        <v>16</v>
      </c>
      <c r="C137" s="14">
        <v>3101010058</v>
      </c>
      <c r="D137" s="14" t="s">
        <v>72</v>
      </c>
      <c r="E137" s="14" t="s">
        <v>41</v>
      </c>
      <c r="F137" s="14">
        <v>1</v>
      </c>
      <c r="G137" s="35" t="s">
        <v>563</v>
      </c>
    </row>
    <row r="138" spans="1:7" x14ac:dyDescent="0.25">
      <c r="A138" s="14">
        <v>17</v>
      </c>
      <c r="B138" s="14" t="s">
        <v>16</v>
      </c>
      <c r="C138" s="14">
        <v>3101010061</v>
      </c>
      <c r="D138" s="14" t="s">
        <v>75</v>
      </c>
      <c r="E138" s="14" t="s">
        <v>41</v>
      </c>
      <c r="F138" s="14">
        <v>1</v>
      </c>
      <c r="G138" s="35" t="s">
        <v>563</v>
      </c>
    </row>
    <row r="139" spans="1:7" x14ac:dyDescent="0.25">
      <c r="A139" s="14">
        <v>18</v>
      </c>
      <c r="B139" s="14" t="s">
        <v>16</v>
      </c>
      <c r="C139" s="14">
        <v>3101010094</v>
      </c>
      <c r="D139" s="14" t="s">
        <v>103</v>
      </c>
      <c r="E139" s="14" t="s">
        <v>14</v>
      </c>
      <c r="F139" s="14">
        <v>5.0000000000000001E-4</v>
      </c>
      <c r="G139" s="35" t="s">
        <v>563</v>
      </c>
    </row>
    <row r="140" spans="1:7" x14ac:dyDescent="0.25">
      <c r="A140" s="14">
        <v>19</v>
      </c>
      <c r="B140" s="14" t="s">
        <v>16</v>
      </c>
      <c r="C140" s="14">
        <v>3101010068</v>
      </c>
      <c r="D140" s="14" t="s">
        <v>81</v>
      </c>
      <c r="E140" s="14" t="s">
        <v>14</v>
      </c>
      <c r="F140" s="14">
        <v>4.0000000000000001E-3</v>
      </c>
      <c r="G140" s="35" t="s">
        <v>563</v>
      </c>
    </row>
    <row r="141" spans="1:7" x14ac:dyDescent="0.25">
      <c r="A141" s="14">
        <v>20</v>
      </c>
      <c r="B141" s="14" t="s">
        <v>243</v>
      </c>
      <c r="C141" s="14">
        <v>3201010028</v>
      </c>
      <c r="D141" s="14" t="s">
        <v>268</v>
      </c>
      <c r="E141" s="14" t="s">
        <v>41</v>
      </c>
      <c r="F141" s="14">
        <v>1</v>
      </c>
      <c r="G141" s="35" t="s">
        <v>563</v>
      </c>
    </row>
    <row r="142" spans="1:7" x14ac:dyDescent="0.25">
      <c r="A142" s="14">
        <v>21</v>
      </c>
      <c r="B142" s="14" t="s">
        <v>243</v>
      </c>
      <c r="C142" s="14">
        <v>3201010038</v>
      </c>
      <c r="D142" s="14" t="s">
        <v>670</v>
      </c>
      <c r="E142" s="14" t="s">
        <v>14</v>
      </c>
      <c r="F142" s="14">
        <v>0.01</v>
      </c>
      <c r="G142" s="35" t="s">
        <v>563</v>
      </c>
    </row>
    <row r="143" spans="1:7" x14ac:dyDescent="0.25">
      <c r="A143" s="14">
        <v>22</v>
      </c>
      <c r="B143" s="14" t="s">
        <v>243</v>
      </c>
      <c r="C143" s="14">
        <v>3201010008</v>
      </c>
      <c r="D143" s="14" t="s">
        <v>250</v>
      </c>
      <c r="E143" s="14" t="s">
        <v>41</v>
      </c>
      <c r="F143" s="14">
        <v>1</v>
      </c>
      <c r="G143" s="35" t="s">
        <v>563</v>
      </c>
    </row>
    <row r="144" spans="1:7" x14ac:dyDescent="0.25">
      <c r="A144" s="14">
        <v>23</v>
      </c>
      <c r="B144" s="14" t="s">
        <v>243</v>
      </c>
      <c r="C144" s="14">
        <v>3201010046</v>
      </c>
      <c r="D144" s="14" t="s">
        <v>283</v>
      </c>
      <c r="E144" s="14" t="s">
        <v>37</v>
      </c>
      <c r="F144" s="14">
        <v>0.7</v>
      </c>
      <c r="G144" s="35" t="s">
        <v>563</v>
      </c>
    </row>
    <row r="145" spans="1:7" x14ac:dyDescent="0.25">
      <c r="A145" s="14">
        <v>24</v>
      </c>
      <c r="B145" s="14" t="s">
        <v>243</v>
      </c>
      <c r="C145" s="14">
        <v>3201010021</v>
      </c>
      <c r="D145" s="14" t="s">
        <v>262</v>
      </c>
      <c r="E145" s="14" t="s">
        <v>41</v>
      </c>
      <c r="F145" s="14">
        <v>1</v>
      </c>
      <c r="G145" s="35" t="s">
        <v>563</v>
      </c>
    </row>
    <row r="146" spans="1:7" x14ac:dyDescent="0.25">
      <c r="A146" s="14">
        <v>25</v>
      </c>
      <c r="B146" s="14" t="s">
        <v>243</v>
      </c>
      <c r="C146" s="14">
        <v>3201010014</v>
      </c>
      <c r="D146" s="14" t="s">
        <v>255</v>
      </c>
      <c r="E146" s="14" t="s">
        <v>41</v>
      </c>
      <c r="F146" s="14">
        <v>1</v>
      </c>
      <c r="G146" s="35" t="s">
        <v>563</v>
      </c>
    </row>
    <row r="147" spans="1:7" x14ac:dyDescent="0.25">
      <c r="A147" s="14">
        <v>26</v>
      </c>
      <c r="B147" s="14" t="s">
        <v>243</v>
      </c>
      <c r="C147" s="14">
        <v>3201010018</v>
      </c>
      <c r="D147" s="14" t="s">
        <v>259</v>
      </c>
      <c r="E147" s="14" t="s">
        <v>41</v>
      </c>
      <c r="F147" s="14">
        <v>1</v>
      </c>
      <c r="G147" s="35" t="s">
        <v>563</v>
      </c>
    </row>
    <row r="148" spans="1:7" x14ac:dyDescent="0.25">
      <c r="A148" s="14">
        <v>27</v>
      </c>
      <c r="B148" s="14" t="s">
        <v>243</v>
      </c>
      <c r="C148" s="14">
        <v>3201010062</v>
      </c>
      <c r="D148" s="14" t="s">
        <v>294</v>
      </c>
      <c r="E148" s="14" t="s">
        <v>41</v>
      </c>
      <c r="F148" s="14">
        <v>1</v>
      </c>
      <c r="G148" s="35" t="s">
        <v>563</v>
      </c>
    </row>
    <row r="149" spans="1:7" x14ac:dyDescent="0.25">
      <c r="A149" s="14">
        <v>28</v>
      </c>
      <c r="B149" s="14" t="s">
        <v>243</v>
      </c>
      <c r="C149" s="14">
        <v>3201010003</v>
      </c>
      <c r="D149" s="14" t="s">
        <v>245</v>
      </c>
      <c r="E149" s="14" t="s">
        <v>41</v>
      </c>
      <c r="F149" s="14">
        <v>0.52</v>
      </c>
      <c r="G149" s="35" t="s">
        <v>563</v>
      </c>
    </row>
    <row r="150" spans="1:7" x14ac:dyDescent="0.25">
      <c r="A150" s="14">
        <v>29</v>
      </c>
      <c r="B150" s="14" t="s">
        <v>370</v>
      </c>
      <c r="C150" s="14" t="s">
        <v>395</v>
      </c>
      <c r="D150" s="14" t="s">
        <v>396</v>
      </c>
      <c r="E150" s="14" t="s">
        <v>41</v>
      </c>
      <c r="F150" s="14">
        <v>1</v>
      </c>
      <c r="G150" s="35" t="s">
        <v>563</v>
      </c>
    </row>
    <row r="151" spans="1:7" x14ac:dyDescent="0.25">
      <c r="A151" s="14">
        <v>30</v>
      </c>
      <c r="B151" s="14" t="s">
        <v>370</v>
      </c>
      <c r="C151" s="14" t="s">
        <v>425</v>
      </c>
      <c r="D151" s="14" t="s">
        <v>426</v>
      </c>
      <c r="E151" s="14" t="s">
        <v>126</v>
      </c>
      <c r="F151" s="14">
        <v>1</v>
      </c>
      <c r="G151" s="35" t="s">
        <v>563</v>
      </c>
    </row>
    <row r="152" spans="1:7" x14ac:dyDescent="0.25">
      <c r="A152" s="14">
        <v>31</v>
      </c>
      <c r="B152" s="14" t="s">
        <v>370</v>
      </c>
      <c r="C152" s="14" t="s">
        <v>419</v>
      </c>
      <c r="D152" s="14" t="s">
        <v>420</v>
      </c>
      <c r="E152" s="14" t="s">
        <v>41</v>
      </c>
      <c r="F152" s="14">
        <v>1</v>
      </c>
      <c r="G152" s="35" t="s">
        <v>563</v>
      </c>
    </row>
    <row r="153" spans="1:7" x14ac:dyDescent="0.25">
      <c r="A153" s="14">
        <v>32</v>
      </c>
      <c r="B153" s="14" t="s">
        <v>370</v>
      </c>
      <c r="C153" s="14" t="s">
        <v>403</v>
      </c>
      <c r="D153" s="14" t="s">
        <v>404</v>
      </c>
      <c r="E153" s="14" t="s">
        <v>41</v>
      </c>
      <c r="F153" s="14">
        <v>1</v>
      </c>
      <c r="G153" s="35" t="s">
        <v>563</v>
      </c>
    </row>
    <row r="154" spans="1:7" x14ac:dyDescent="0.25">
      <c r="A154" s="14">
        <v>33</v>
      </c>
      <c r="B154" s="14" t="s">
        <v>370</v>
      </c>
      <c r="C154" s="14" t="s">
        <v>447</v>
      </c>
      <c r="D154" s="14" t="s">
        <v>448</v>
      </c>
      <c r="E154" s="14" t="s">
        <v>41</v>
      </c>
      <c r="F154" s="14">
        <v>1</v>
      </c>
      <c r="G154" s="35" t="s">
        <v>563</v>
      </c>
    </row>
    <row r="155" spans="1:7" x14ac:dyDescent="0.25">
      <c r="A155" s="14">
        <v>34</v>
      </c>
      <c r="B155" s="14" t="s">
        <v>370</v>
      </c>
      <c r="C155" s="14" t="s">
        <v>383</v>
      </c>
      <c r="D155" s="14" t="s">
        <v>384</v>
      </c>
      <c r="E155" s="14" t="s">
        <v>41</v>
      </c>
      <c r="F155" s="14">
        <v>1</v>
      </c>
      <c r="G155" s="35" t="s">
        <v>563</v>
      </c>
    </row>
    <row r="156" spans="1:7" x14ac:dyDescent="0.25">
      <c r="A156" s="14">
        <v>35</v>
      </c>
      <c r="B156" s="14" t="s">
        <v>370</v>
      </c>
      <c r="C156" s="14" t="s">
        <v>373</v>
      </c>
      <c r="D156" s="14" t="s">
        <v>374</v>
      </c>
      <c r="E156" s="14" t="s">
        <v>41</v>
      </c>
      <c r="F156" s="14">
        <v>1</v>
      </c>
      <c r="G156" s="35" t="s">
        <v>563</v>
      </c>
    </row>
    <row r="157" spans="1:7" x14ac:dyDescent="0.25">
      <c r="A157" s="14">
        <v>36</v>
      </c>
      <c r="B157" s="14" t="s">
        <v>370</v>
      </c>
      <c r="C157" s="14" t="s">
        <v>429</v>
      </c>
      <c r="D157" s="14" t="s">
        <v>430</v>
      </c>
      <c r="E157" s="14" t="s">
        <v>126</v>
      </c>
      <c r="F157" s="14">
        <v>1</v>
      </c>
      <c r="G157" s="35" t="s">
        <v>563</v>
      </c>
    </row>
    <row r="158" spans="1:7" x14ac:dyDescent="0.25">
      <c r="A158" s="10">
        <v>1</v>
      </c>
      <c r="B158" s="10" t="s">
        <v>16</v>
      </c>
      <c r="C158" s="10">
        <v>3101010135</v>
      </c>
      <c r="D158" s="10" t="s">
        <v>132</v>
      </c>
      <c r="E158" s="10" t="s">
        <v>41</v>
      </c>
      <c r="F158" s="10">
        <v>1</v>
      </c>
      <c r="G158" s="36" t="s">
        <v>564</v>
      </c>
    </row>
    <row r="159" spans="1:7" x14ac:dyDescent="0.25">
      <c r="A159" s="10">
        <v>2</v>
      </c>
      <c r="B159" s="10" t="s">
        <v>16</v>
      </c>
      <c r="C159" s="10">
        <v>3101010136</v>
      </c>
      <c r="D159" s="10" t="s">
        <v>133</v>
      </c>
      <c r="E159" s="10" t="s">
        <v>41</v>
      </c>
      <c r="F159" s="10">
        <v>1</v>
      </c>
      <c r="G159" s="36" t="s">
        <v>564</v>
      </c>
    </row>
    <row r="160" spans="1:7" x14ac:dyDescent="0.25">
      <c r="A160" s="10">
        <v>3</v>
      </c>
      <c r="B160" s="10" t="s">
        <v>16</v>
      </c>
      <c r="C160" s="10">
        <v>3101010077</v>
      </c>
      <c r="D160" s="10" t="s">
        <v>90</v>
      </c>
      <c r="E160" s="10" t="s">
        <v>14</v>
      </c>
      <c r="F160" s="10">
        <v>4.8000000000000001E-2</v>
      </c>
      <c r="G160" s="36" t="s">
        <v>564</v>
      </c>
    </row>
    <row r="161" spans="1:7" x14ac:dyDescent="0.25">
      <c r="A161" s="10">
        <v>4</v>
      </c>
      <c r="B161" s="10" t="s">
        <v>16</v>
      </c>
      <c r="C161" s="10">
        <v>3101010035</v>
      </c>
      <c r="D161" s="10" t="s">
        <v>52</v>
      </c>
      <c r="E161" s="10" t="s">
        <v>41</v>
      </c>
      <c r="F161" s="10">
        <v>1</v>
      </c>
      <c r="G161" s="36" t="s">
        <v>564</v>
      </c>
    </row>
    <row r="162" spans="1:7" x14ac:dyDescent="0.25">
      <c r="A162" s="10">
        <v>5</v>
      </c>
      <c r="B162" s="10" t="s">
        <v>16</v>
      </c>
      <c r="C162" s="10">
        <v>3101010080</v>
      </c>
      <c r="D162" s="10" t="s">
        <v>93</v>
      </c>
      <c r="E162" s="10" t="s">
        <v>41</v>
      </c>
      <c r="F162" s="10">
        <v>1</v>
      </c>
      <c r="G162" s="36" t="s">
        <v>564</v>
      </c>
    </row>
    <row r="163" spans="1:7" x14ac:dyDescent="0.25">
      <c r="A163" s="10">
        <v>6</v>
      </c>
      <c r="B163" s="10" t="s">
        <v>16</v>
      </c>
      <c r="C163" s="10">
        <v>3101010023</v>
      </c>
      <c r="D163" s="10" t="s">
        <v>38</v>
      </c>
      <c r="E163" s="10" t="s">
        <v>37</v>
      </c>
      <c r="F163" s="10">
        <v>0.16</v>
      </c>
      <c r="G163" s="36" t="s">
        <v>564</v>
      </c>
    </row>
    <row r="164" spans="1:7" x14ac:dyDescent="0.25">
      <c r="A164" s="10">
        <v>7</v>
      </c>
      <c r="B164" s="10" t="s">
        <v>16</v>
      </c>
      <c r="C164" s="10">
        <v>3101010112</v>
      </c>
      <c r="D164" s="10" t="s">
        <v>109</v>
      </c>
      <c r="E164" s="10" t="s">
        <v>37</v>
      </c>
      <c r="F164" s="10">
        <v>0.61</v>
      </c>
      <c r="G164" s="36" t="s">
        <v>564</v>
      </c>
    </row>
    <row r="165" spans="1:7" x14ac:dyDescent="0.25">
      <c r="A165" s="10">
        <v>8</v>
      </c>
      <c r="B165" s="10" t="s">
        <v>16</v>
      </c>
      <c r="C165" s="10">
        <v>3101010090</v>
      </c>
      <c r="D165" s="10" t="s">
        <v>100</v>
      </c>
      <c r="E165" s="10" t="s">
        <v>37</v>
      </c>
      <c r="F165" s="10">
        <v>0.61</v>
      </c>
      <c r="G165" s="36" t="s">
        <v>564</v>
      </c>
    </row>
    <row r="166" spans="1:7" x14ac:dyDescent="0.25">
      <c r="A166" s="10">
        <v>9</v>
      </c>
      <c r="B166" s="10" t="s">
        <v>16</v>
      </c>
      <c r="C166" s="10">
        <v>3101010038</v>
      </c>
      <c r="D166" s="10" t="s">
        <v>55</v>
      </c>
      <c r="E166" s="10" t="s">
        <v>14</v>
      </c>
      <c r="F166" s="10">
        <v>1E-4</v>
      </c>
      <c r="G166" s="36" t="s">
        <v>564</v>
      </c>
    </row>
    <row r="167" spans="1:7" x14ac:dyDescent="0.25">
      <c r="A167" s="10">
        <v>10</v>
      </c>
      <c r="B167" s="10" t="s">
        <v>16</v>
      </c>
      <c r="C167" s="10">
        <v>3101010108</v>
      </c>
      <c r="D167" s="10" t="s">
        <v>105</v>
      </c>
      <c r="E167" s="10" t="s">
        <v>43</v>
      </c>
      <c r="F167" s="10">
        <v>1E-3</v>
      </c>
      <c r="G167" s="36" t="s">
        <v>564</v>
      </c>
    </row>
    <row r="168" spans="1:7" x14ac:dyDescent="0.25">
      <c r="A168" s="10">
        <v>11</v>
      </c>
      <c r="B168" s="10" t="s">
        <v>16</v>
      </c>
      <c r="C168" s="10">
        <v>3101010054</v>
      </c>
      <c r="D168" s="10" t="s">
        <v>69</v>
      </c>
      <c r="E168" s="10" t="s">
        <v>66</v>
      </c>
      <c r="F168" s="10">
        <v>5.0000000000000001E-4</v>
      </c>
      <c r="G168" s="36" t="s">
        <v>564</v>
      </c>
    </row>
    <row r="169" spans="1:7" x14ac:dyDescent="0.25">
      <c r="A169" s="10">
        <v>12</v>
      </c>
      <c r="B169" s="10" t="s">
        <v>16</v>
      </c>
      <c r="C169" s="10">
        <v>3101010084</v>
      </c>
      <c r="D169" s="10" t="s">
        <v>96</v>
      </c>
      <c r="E169" s="10" t="s">
        <v>41</v>
      </c>
      <c r="F169" s="10">
        <v>1</v>
      </c>
      <c r="G169" s="36" t="s">
        <v>564</v>
      </c>
    </row>
    <row r="170" spans="1:7" x14ac:dyDescent="0.25">
      <c r="A170" s="10">
        <v>13</v>
      </c>
      <c r="B170" s="10" t="s">
        <v>16</v>
      </c>
      <c r="C170" s="10">
        <v>3101010065</v>
      </c>
      <c r="D170" s="10" t="s">
        <v>78</v>
      </c>
      <c r="E170" s="10" t="s">
        <v>14</v>
      </c>
      <c r="F170" s="10">
        <v>2.0000000000000001E-4</v>
      </c>
      <c r="G170" s="36" t="s">
        <v>564</v>
      </c>
    </row>
    <row r="171" spans="1:7" x14ac:dyDescent="0.25">
      <c r="A171" s="10">
        <v>14</v>
      </c>
      <c r="B171" s="10" t="s">
        <v>16</v>
      </c>
      <c r="C171" s="10">
        <v>3101010083</v>
      </c>
      <c r="D171" s="10" t="s">
        <v>95</v>
      </c>
      <c r="E171" s="10" t="s">
        <v>41</v>
      </c>
      <c r="F171" s="10">
        <v>4</v>
      </c>
      <c r="G171" s="36" t="s">
        <v>564</v>
      </c>
    </row>
    <row r="172" spans="1:7" x14ac:dyDescent="0.25">
      <c r="A172" s="10">
        <v>15</v>
      </c>
      <c r="B172" s="10" t="s">
        <v>16</v>
      </c>
      <c r="C172" s="10">
        <v>3101010074</v>
      </c>
      <c r="D172" s="10" t="s">
        <v>87</v>
      </c>
      <c r="E172" s="10" t="s">
        <v>14</v>
      </c>
      <c r="F172" s="10">
        <v>2E-3</v>
      </c>
      <c r="G172" s="36" t="s">
        <v>564</v>
      </c>
    </row>
    <row r="173" spans="1:7" x14ac:dyDescent="0.25">
      <c r="A173" s="10">
        <v>16</v>
      </c>
      <c r="B173" s="10" t="s">
        <v>16</v>
      </c>
      <c r="C173" s="10">
        <v>3101010058</v>
      </c>
      <c r="D173" s="10" t="s">
        <v>72</v>
      </c>
      <c r="E173" s="10" t="s">
        <v>41</v>
      </c>
      <c r="F173" s="10">
        <v>1</v>
      </c>
      <c r="G173" s="36" t="s">
        <v>564</v>
      </c>
    </row>
    <row r="174" spans="1:7" x14ac:dyDescent="0.25">
      <c r="A174" s="10">
        <v>17</v>
      </c>
      <c r="B174" s="10" t="s">
        <v>16</v>
      </c>
      <c r="C174" s="10">
        <v>3101010061</v>
      </c>
      <c r="D174" s="10" t="s">
        <v>75</v>
      </c>
      <c r="E174" s="10" t="s">
        <v>41</v>
      </c>
      <c r="F174" s="10">
        <v>1</v>
      </c>
      <c r="G174" s="36" t="s">
        <v>564</v>
      </c>
    </row>
    <row r="175" spans="1:7" x14ac:dyDescent="0.25">
      <c r="A175" s="10">
        <v>18</v>
      </c>
      <c r="B175" s="10" t="s">
        <v>16</v>
      </c>
      <c r="C175" s="10">
        <v>3101010094</v>
      </c>
      <c r="D175" s="10" t="s">
        <v>103</v>
      </c>
      <c r="E175" s="10" t="s">
        <v>14</v>
      </c>
      <c r="F175" s="10">
        <v>5.0000000000000001E-4</v>
      </c>
      <c r="G175" s="36" t="s">
        <v>564</v>
      </c>
    </row>
    <row r="176" spans="1:7" x14ac:dyDescent="0.25">
      <c r="A176" s="10">
        <v>19</v>
      </c>
      <c r="B176" s="10" t="s">
        <v>16</v>
      </c>
      <c r="C176" s="10">
        <v>3101010068</v>
      </c>
      <c r="D176" s="10" t="s">
        <v>81</v>
      </c>
      <c r="E176" s="10" t="s">
        <v>14</v>
      </c>
      <c r="F176" s="10">
        <v>6.0000000000000001E-3</v>
      </c>
      <c r="G176" s="36" t="s">
        <v>564</v>
      </c>
    </row>
    <row r="177" spans="1:7" x14ac:dyDescent="0.25">
      <c r="A177" s="10">
        <v>20</v>
      </c>
      <c r="B177" s="10" t="s">
        <v>243</v>
      </c>
      <c r="C177" s="10">
        <v>3201010029</v>
      </c>
      <c r="D177" s="10" t="s">
        <v>269</v>
      </c>
      <c r="E177" s="10" t="s">
        <v>41</v>
      </c>
      <c r="F177" s="10">
        <v>1</v>
      </c>
      <c r="G177" s="36" t="s">
        <v>564</v>
      </c>
    </row>
    <row r="178" spans="1:7" x14ac:dyDescent="0.25">
      <c r="A178" s="10">
        <v>21</v>
      </c>
      <c r="B178" s="10" t="s">
        <v>243</v>
      </c>
      <c r="C178" s="10">
        <v>3201010038</v>
      </c>
      <c r="D178" s="10" t="s">
        <v>670</v>
      </c>
      <c r="E178" s="10" t="s">
        <v>14</v>
      </c>
      <c r="F178" s="10">
        <v>0.01</v>
      </c>
      <c r="G178" s="36" t="s">
        <v>564</v>
      </c>
    </row>
    <row r="179" spans="1:7" x14ac:dyDescent="0.25">
      <c r="A179" s="10">
        <v>22</v>
      </c>
      <c r="B179" s="10" t="s">
        <v>243</v>
      </c>
      <c r="C179" s="10">
        <v>3201010009</v>
      </c>
      <c r="D179" s="10" t="s">
        <v>251</v>
      </c>
      <c r="E179" s="10" t="s">
        <v>41</v>
      </c>
      <c r="F179" s="10">
        <v>1</v>
      </c>
      <c r="G179" s="36" t="s">
        <v>564</v>
      </c>
    </row>
    <row r="180" spans="1:7" x14ac:dyDescent="0.25">
      <c r="A180" s="10">
        <v>23</v>
      </c>
      <c r="B180" s="10" t="s">
        <v>243</v>
      </c>
      <c r="C180" s="10">
        <v>3201010046</v>
      </c>
      <c r="D180" s="10" t="s">
        <v>283</v>
      </c>
      <c r="E180" s="10" t="s">
        <v>37</v>
      </c>
      <c r="F180" s="10">
        <v>0.7</v>
      </c>
      <c r="G180" s="36" t="s">
        <v>564</v>
      </c>
    </row>
    <row r="181" spans="1:7" x14ac:dyDescent="0.25">
      <c r="A181" s="10">
        <v>24</v>
      </c>
      <c r="B181" s="10" t="s">
        <v>243</v>
      </c>
      <c r="C181" s="10">
        <v>3201010021</v>
      </c>
      <c r="D181" s="10" t="s">
        <v>262</v>
      </c>
      <c r="E181" s="10" t="s">
        <v>41</v>
      </c>
      <c r="F181" s="10">
        <v>1</v>
      </c>
      <c r="G181" s="36" t="s">
        <v>564</v>
      </c>
    </row>
    <row r="182" spans="1:7" x14ac:dyDescent="0.25">
      <c r="A182" s="10">
        <v>25</v>
      </c>
      <c r="B182" s="10" t="s">
        <v>243</v>
      </c>
      <c r="C182" s="10">
        <v>3201010014</v>
      </c>
      <c r="D182" s="10" t="s">
        <v>255</v>
      </c>
      <c r="E182" s="10" t="s">
        <v>41</v>
      </c>
      <c r="F182" s="10">
        <v>1</v>
      </c>
      <c r="G182" s="36" t="s">
        <v>564</v>
      </c>
    </row>
    <row r="183" spans="1:7" x14ac:dyDescent="0.25">
      <c r="A183" s="10">
        <v>26</v>
      </c>
      <c r="B183" s="10" t="s">
        <v>243</v>
      </c>
      <c r="C183" s="10">
        <v>3201010018</v>
      </c>
      <c r="D183" s="10" t="s">
        <v>259</v>
      </c>
      <c r="E183" s="10" t="s">
        <v>41</v>
      </c>
      <c r="F183" s="10">
        <v>1</v>
      </c>
      <c r="G183" s="36" t="s">
        <v>564</v>
      </c>
    </row>
    <row r="184" spans="1:7" x14ac:dyDescent="0.25">
      <c r="A184" s="10">
        <v>27</v>
      </c>
      <c r="B184" s="10" t="s">
        <v>243</v>
      </c>
      <c r="C184" s="10">
        <v>3201010062</v>
      </c>
      <c r="D184" s="10" t="s">
        <v>294</v>
      </c>
      <c r="E184" s="10" t="s">
        <v>41</v>
      </c>
      <c r="F184" s="10">
        <v>1</v>
      </c>
      <c r="G184" s="36" t="s">
        <v>564</v>
      </c>
    </row>
    <row r="185" spans="1:7" x14ac:dyDescent="0.25">
      <c r="A185" s="10">
        <v>28</v>
      </c>
      <c r="B185" s="10" t="s">
        <v>243</v>
      </c>
      <c r="C185" s="10">
        <v>3201010003</v>
      </c>
      <c r="D185" s="10" t="s">
        <v>245</v>
      </c>
      <c r="E185" s="10" t="s">
        <v>41</v>
      </c>
      <c r="F185" s="10">
        <v>0.52</v>
      </c>
      <c r="G185" s="36" t="s">
        <v>564</v>
      </c>
    </row>
    <row r="186" spans="1:7" x14ac:dyDescent="0.25">
      <c r="A186" s="10">
        <v>29</v>
      </c>
      <c r="B186" s="10" t="s">
        <v>370</v>
      </c>
      <c r="C186" s="10" t="s">
        <v>427</v>
      </c>
      <c r="D186" s="10" t="s">
        <v>428</v>
      </c>
      <c r="E186" s="10" t="s">
        <v>126</v>
      </c>
      <c r="F186" s="10">
        <v>1</v>
      </c>
      <c r="G186" s="36" t="s">
        <v>564</v>
      </c>
    </row>
    <row r="187" spans="1:7" x14ac:dyDescent="0.25">
      <c r="A187" s="10">
        <v>30</v>
      </c>
      <c r="B187" s="10" t="s">
        <v>370</v>
      </c>
      <c r="C187" s="10" t="s">
        <v>395</v>
      </c>
      <c r="D187" s="10" t="s">
        <v>396</v>
      </c>
      <c r="E187" s="10" t="s">
        <v>41</v>
      </c>
      <c r="F187" s="10">
        <v>1</v>
      </c>
      <c r="G187" s="36" t="s">
        <v>564</v>
      </c>
    </row>
    <row r="188" spans="1:7" x14ac:dyDescent="0.25">
      <c r="A188" s="10">
        <v>31</v>
      </c>
      <c r="B188" s="10" t="s">
        <v>370</v>
      </c>
      <c r="C188" s="10" t="s">
        <v>425</v>
      </c>
      <c r="D188" s="10" t="s">
        <v>426</v>
      </c>
      <c r="E188" s="10" t="s">
        <v>126</v>
      </c>
      <c r="F188" s="10">
        <v>1</v>
      </c>
      <c r="G188" s="36" t="s">
        <v>564</v>
      </c>
    </row>
    <row r="189" spans="1:7" x14ac:dyDescent="0.25">
      <c r="A189" s="10">
        <v>32</v>
      </c>
      <c r="B189" s="10" t="s">
        <v>370</v>
      </c>
      <c r="C189" s="10" t="s">
        <v>419</v>
      </c>
      <c r="D189" s="10" t="s">
        <v>420</v>
      </c>
      <c r="E189" s="10" t="s">
        <v>41</v>
      </c>
      <c r="F189" s="10">
        <v>1</v>
      </c>
      <c r="G189" s="36" t="s">
        <v>564</v>
      </c>
    </row>
    <row r="190" spans="1:7" x14ac:dyDescent="0.25">
      <c r="A190" s="10">
        <v>33</v>
      </c>
      <c r="B190" s="10" t="s">
        <v>370</v>
      </c>
      <c r="C190" s="10" t="s">
        <v>403</v>
      </c>
      <c r="D190" s="10" t="s">
        <v>404</v>
      </c>
      <c r="E190" s="10" t="s">
        <v>41</v>
      </c>
      <c r="F190" s="10">
        <v>1</v>
      </c>
      <c r="G190" s="36" t="s">
        <v>564</v>
      </c>
    </row>
    <row r="191" spans="1:7" x14ac:dyDescent="0.25">
      <c r="A191" s="10">
        <v>34</v>
      </c>
      <c r="B191" s="10" t="s">
        <v>370</v>
      </c>
      <c r="C191" s="10" t="s">
        <v>381</v>
      </c>
      <c r="D191" s="10" t="s">
        <v>382</v>
      </c>
      <c r="E191" s="10" t="s">
        <v>41</v>
      </c>
      <c r="F191" s="10">
        <v>1</v>
      </c>
      <c r="G191" s="36" t="s">
        <v>564</v>
      </c>
    </row>
    <row r="192" spans="1:7" x14ac:dyDescent="0.25">
      <c r="A192" s="10">
        <v>35</v>
      </c>
      <c r="B192" s="10" t="s">
        <v>370</v>
      </c>
      <c r="C192" s="10" t="s">
        <v>371</v>
      </c>
      <c r="D192" s="10" t="s">
        <v>372</v>
      </c>
      <c r="E192" s="10" t="s">
        <v>41</v>
      </c>
      <c r="F192" s="10">
        <v>1</v>
      </c>
      <c r="G192" s="36" t="s">
        <v>564</v>
      </c>
    </row>
    <row r="193" spans="1:7" x14ac:dyDescent="0.25">
      <c r="A193" s="10">
        <v>36</v>
      </c>
      <c r="B193" s="10" t="s">
        <v>370</v>
      </c>
      <c r="C193" s="10" t="s">
        <v>427</v>
      </c>
      <c r="D193" s="10" t="s">
        <v>428</v>
      </c>
      <c r="E193" s="10" t="s">
        <v>126</v>
      </c>
      <c r="F193" s="10">
        <v>1</v>
      </c>
      <c r="G193" s="36" t="s">
        <v>564</v>
      </c>
    </row>
    <row r="194" spans="1:7" x14ac:dyDescent="0.25">
      <c r="A194" s="2">
        <v>1</v>
      </c>
      <c r="B194" s="2" t="s">
        <v>16</v>
      </c>
      <c r="C194" s="2">
        <v>3101010135</v>
      </c>
      <c r="D194" s="2" t="s">
        <v>132</v>
      </c>
      <c r="E194" s="2" t="s">
        <v>41</v>
      </c>
      <c r="F194" s="2">
        <v>1</v>
      </c>
      <c r="G194" s="4" t="s">
        <v>561</v>
      </c>
    </row>
    <row r="195" spans="1:7" x14ac:dyDescent="0.25">
      <c r="A195" s="2">
        <v>2</v>
      </c>
      <c r="B195" s="2" t="s">
        <v>16</v>
      </c>
      <c r="C195" s="2">
        <v>3101010136</v>
      </c>
      <c r="D195" s="2" t="s">
        <v>133</v>
      </c>
      <c r="E195" s="2" t="s">
        <v>41</v>
      </c>
      <c r="F195" s="2">
        <v>1</v>
      </c>
      <c r="G195" s="4" t="s">
        <v>561</v>
      </c>
    </row>
    <row r="196" spans="1:7" x14ac:dyDescent="0.25">
      <c r="A196" s="2">
        <v>3</v>
      </c>
      <c r="B196" s="2" t="s">
        <v>16</v>
      </c>
      <c r="C196" s="2">
        <v>3101010077</v>
      </c>
      <c r="D196" s="2" t="s">
        <v>90</v>
      </c>
      <c r="E196" s="2" t="s">
        <v>14</v>
      </c>
      <c r="F196" s="2">
        <v>2.4E-2</v>
      </c>
      <c r="G196" s="4" t="s">
        <v>561</v>
      </c>
    </row>
    <row r="197" spans="1:7" x14ac:dyDescent="0.25">
      <c r="A197" s="2">
        <v>4</v>
      </c>
      <c r="B197" s="2" t="s">
        <v>16</v>
      </c>
      <c r="C197" s="2">
        <v>3101010075</v>
      </c>
      <c r="D197" s="2" t="s">
        <v>88</v>
      </c>
      <c r="E197" s="2" t="s">
        <v>14</v>
      </c>
      <c r="F197" s="2">
        <v>1.6E-2</v>
      </c>
      <c r="G197" s="4" t="s">
        <v>561</v>
      </c>
    </row>
    <row r="198" spans="1:7" x14ac:dyDescent="0.25">
      <c r="A198" s="2">
        <v>5</v>
      </c>
      <c r="B198" s="2" t="s">
        <v>16</v>
      </c>
      <c r="C198" s="2">
        <v>3101010034</v>
      </c>
      <c r="D198" s="2" t="s">
        <v>51</v>
      </c>
      <c r="E198" s="2" t="s">
        <v>41</v>
      </c>
      <c r="F198" s="2">
        <v>1</v>
      </c>
      <c r="G198" s="4" t="s">
        <v>561</v>
      </c>
    </row>
    <row r="199" spans="1:7" x14ac:dyDescent="0.25">
      <c r="A199" s="2">
        <v>6</v>
      </c>
      <c r="B199" s="2" t="s">
        <v>16</v>
      </c>
      <c r="C199" s="2">
        <v>3101010080</v>
      </c>
      <c r="D199" s="2" t="s">
        <v>93</v>
      </c>
      <c r="E199" s="2" t="s">
        <v>41</v>
      </c>
      <c r="F199" s="2">
        <v>1</v>
      </c>
      <c r="G199" s="4" t="s">
        <v>561</v>
      </c>
    </row>
    <row r="200" spans="1:7" x14ac:dyDescent="0.25">
      <c r="A200" s="2">
        <v>7</v>
      </c>
      <c r="B200" s="2" t="s">
        <v>16</v>
      </c>
      <c r="C200" s="2">
        <v>3101010023</v>
      </c>
      <c r="D200" s="2" t="s">
        <v>38</v>
      </c>
      <c r="E200" s="2" t="s">
        <v>37</v>
      </c>
      <c r="F200" s="2">
        <v>0.16</v>
      </c>
      <c r="G200" s="4" t="s">
        <v>561</v>
      </c>
    </row>
    <row r="201" spans="1:7" x14ac:dyDescent="0.25">
      <c r="A201" s="2">
        <v>8</v>
      </c>
      <c r="B201" s="2" t="s">
        <v>16</v>
      </c>
      <c r="C201" s="2">
        <v>3101010112</v>
      </c>
      <c r="D201" s="2" t="s">
        <v>109</v>
      </c>
      <c r="E201" s="2" t="s">
        <v>37</v>
      </c>
      <c r="F201" s="2">
        <v>0.61</v>
      </c>
      <c r="G201" s="4" t="s">
        <v>561</v>
      </c>
    </row>
    <row r="202" spans="1:7" x14ac:dyDescent="0.25">
      <c r="A202" s="2">
        <v>9</v>
      </c>
      <c r="B202" s="2" t="s">
        <v>16</v>
      </c>
      <c r="C202" s="2">
        <v>3101010090</v>
      </c>
      <c r="D202" s="2" t="s">
        <v>100</v>
      </c>
      <c r="E202" s="2" t="s">
        <v>37</v>
      </c>
      <c r="F202" s="2">
        <v>0.61</v>
      </c>
      <c r="G202" s="4" t="s">
        <v>561</v>
      </c>
    </row>
    <row r="203" spans="1:7" x14ac:dyDescent="0.25">
      <c r="A203" s="2">
        <v>10</v>
      </c>
      <c r="B203" s="2" t="s">
        <v>16</v>
      </c>
      <c r="C203" s="2">
        <v>3101010038</v>
      </c>
      <c r="D203" s="2" t="s">
        <v>55</v>
      </c>
      <c r="E203" s="2" t="s">
        <v>14</v>
      </c>
      <c r="F203" s="2">
        <v>1E-4</v>
      </c>
      <c r="G203" s="4" t="s">
        <v>561</v>
      </c>
    </row>
    <row r="204" spans="1:7" x14ac:dyDescent="0.25">
      <c r="A204" s="2">
        <v>11</v>
      </c>
      <c r="B204" s="2" t="s">
        <v>16</v>
      </c>
      <c r="C204" s="2">
        <v>3101010108</v>
      </c>
      <c r="D204" s="2" t="s">
        <v>105</v>
      </c>
      <c r="E204" s="2" t="s">
        <v>43</v>
      </c>
      <c r="F204" s="2">
        <v>1E-3</v>
      </c>
      <c r="G204" s="4" t="s">
        <v>561</v>
      </c>
    </row>
    <row r="205" spans="1:7" x14ac:dyDescent="0.25">
      <c r="A205" s="2">
        <v>12</v>
      </c>
      <c r="B205" s="2" t="s">
        <v>16</v>
      </c>
      <c r="C205" s="2">
        <v>3101010054</v>
      </c>
      <c r="D205" s="2" t="s">
        <v>69</v>
      </c>
      <c r="E205" s="2" t="s">
        <v>66</v>
      </c>
      <c r="F205" s="2">
        <v>5.0000000000000001E-4</v>
      </c>
      <c r="G205" s="4" t="s">
        <v>561</v>
      </c>
    </row>
    <row r="206" spans="1:7" x14ac:dyDescent="0.25">
      <c r="A206" s="2">
        <v>13</v>
      </c>
      <c r="B206" s="2" t="s">
        <v>16</v>
      </c>
      <c r="C206" s="2">
        <v>3101010084</v>
      </c>
      <c r="D206" s="2" t="s">
        <v>96</v>
      </c>
      <c r="E206" s="2" t="s">
        <v>41</v>
      </c>
      <c r="F206" s="2">
        <v>1</v>
      </c>
      <c r="G206" s="4" t="s">
        <v>561</v>
      </c>
    </row>
    <row r="207" spans="1:7" x14ac:dyDescent="0.25">
      <c r="A207" s="2">
        <v>14</v>
      </c>
      <c r="B207" s="2" t="s">
        <v>16</v>
      </c>
      <c r="C207" s="2">
        <v>3101010065</v>
      </c>
      <c r="D207" s="2" t="s">
        <v>78</v>
      </c>
      <c r="E207" s="2" t="s">
        <v>14</v>
      </c>
      <c r="F207" s="2">
        <v>2.0000000000000001E-4</v>
      </c>
      <c r="G207" s="4" t="s">
        <v>561</v>
      </c>
    </row>
    <row r="208" spans="1:7" x14ac:dyDescent="0.25">
      <c r="A208" s="2">
        <v>15</v>
      </c>
      <c r="B208" s="2" t="s">
        <v>16</v>
      </c>
      <c r="C208" s="2">
        <v>3101010081</v>
      </c>
      <c r="D208" s="2" t="s">
        <v>94</v>
      </c>
      <c r="E208" s="2" t="s">
        <v>41</v>
      </c>
      <c r="F208" s="2">
        <v>3</v>
      </c>
      <c r="G208" s="4" t="s">
        <v>561</v>
      </c>
    </row>
    <row r="209" spans="1:7" x14ac:dyDescent="0.25">
      <c r="A209" s="2">
        <v>16</v>
      </c>
      <c r="B209" s="2" t="s">
        <v>16</v>
      </c>
      <c r="C209" s="2">
        <v>3101010074</v>
      </c>
      <c r="D209" s="2" t="s">
        <v>87</v>
      </c>
      <c r="E209" s="2" t="s">
        <v>14</v>
      </c>
      <c r="F209" s="2">
        <v>2E-3</v>
      </c>
      <c r="G209" s="4" t="s">
        <v>561</v>
      </c>
    </row>
    <row r="210" spans="1:7" x14ac:dyDescent="0.25">
      <c r="A210" s="2">
        <v>17</v>
      </c>
      <c r="B210" s="2" t="s">
        <v>16</v>
      </c>
      <c r="C210" s="2">
        <v>3101010056</v>
      </c>
      <c r="D210" s="2" t="s">
        <v>70</v>
      </c>
      <c r="E210" s="2" t="s">
        <v>41</v>
      </c>
      <c r="F210" s="2">
        <v>1</v>
      </c>
      <c r="G210" s="4" t="s">
        <v>561</v>
      </c>
    </row>
    <row r="211" spans="1:7" x14ac:dyDescent="0.25">
      <c r="A211" s="2">
        <v>18</v>
      </c>
      <c r="B211" s="2" t="s">
        <v>16</v>
      </c>
      <c r="C211" s="2">
        <v>3101010061</v>
      </c>
      <c r="D211" s="2" t="s">
        <v>75</v>
      </c>
      <c r="E211" s="2" t="s">
        <v>41</v>
      </c>
      <c r="F211" s="2">
        <v>1</v>
      </c>
      <c r="G211" s="4" t="s">
        <v>561</v>
      </c>
    </row>
    <row r="212" spans="1:7" x14ac:dyDescent="0.25">
      <c r="A212" s="2">
        <v>19</v>
      </c>
      <c r="B212" s="2" t="s">
        <v>16</v>
      </c>
      <c r="C212" s="2">
        <v>3101010094</v>
      </c>
      <c r="D212" s="2" t="s">
        <v>103</v>
      </c>
      <c r="E212" s="2" t="s">
        <v>14</v>
      </c>
      <c r="F212" s="2">
        <v>5.0000000000000001E-4</v>
      </c>
      <c r="G212" s="4" t="s">
        <v>561</v>
      </c>
    </row>
    <row r="213" spans="1:7" x14ac:dyDescent="0.25">
      <c r="A213" s="2">
        <v>20</v>
      </c>
      <c r="B213" s="2" t="s">
        <v>16</v>
      </c>
      <c r="C213" s="2">
        <v>3101010068</v>
      </c>
      <c r="D213" s="2" t="s">
        <v>81</v>
      </c>
      <c r="E213" s="2" t="s">
        <v>14</v>
      </c>
      <c r="F213" s="2">
        <v>4.0000000000000001E-3</v>
      </c>
      <c r="G213" s="4" t="s">
        <v>561</v>
      </c>
    </row>
    <row r="214" spans="1:7" x14ac:dyDescent="0.25">
      <c r="A214" s="2">
        <v>21</v>
      </c>
      <c r="B214" s="2" t="s">
        <v>243</v>
      </c>
      <c r="C214" s="2">
        <v>3201010027</v>
      </c>
      <c r="D214" s="2" t="s">
        <v>267</v>
      </c>
      <c r="E214" s="2" t="s">
        <v>41</v>
      </c>
      <c r="F214" s="2">
        <v>1</v>
      </c>
      <c r="G214" s="4" t="s">
        <v>561</v>
      </c>
    </row>
    <row r="215" spans="1:7" x14ac:dyDescent="0.25">
      <c r="A215" s="2">
        <v>22</v>
      </c>
      <c r="B215" s="2" t="s">
        <v>243</v>
      </c>
      <c r="C215" s="2">
        <v>3201010037</v>
      </c>
      <c r="D215" s="2" t="s">
        <v>669</v>
      </c>
      <c r="E215" s="2" t="s">
        <v>14</v>
      </c>
      <c r="F215" s="2">
        <v>0.01</v>
      </c>
      <c r="G215" s="4" t="s">
        <v>561</v>
      </c>
    </row>
    <row r="216" spans="1:7" x14ac:dyDescent="0.25">
      <c r="A216" s="2">
        <v>23</v>
      </c>
      <c r="B216" s="2" t="s">
        <v>243</v>
      </c>
      <c r="C216" s="2">
        <v>3201010007</v>
      </c>
      <c r="D216" s="2" t="s">
        <v>249</v>
      </c>
      <c r="E216" s="2" t="s">
        <v>41</v>
      </c>
      <c r="F216" s="2">
        <v>1</v>
      </c>
      <c r="G216" s="4" t="s">
        <v>561</v>
      </c>
    </row>
    <row r="217" spans="1:7" x14ac:dyDescent="0.25">
      <c r="A217" s="2">
        <v>24</v>
      </c>
      <c r="B217" s="2" t="s">
        <v>243</v>
      </c>
      <c r="C217" s="2">
        <v>3201010046</v>
      </c>
      <c r="D217" s="2" t="s">
        <v>283</v>
      </c>
      <c r="E217" s="2" t="s">
        <v>37</v>
      </c>
      <c r="F217" s="2">
        <v>0.8</v>
      </c>
      <c r="G217" s="4" t="s">
        <v>561</v>
      </c>
    </row>
    <row r="218" spans="1:7" x14ac:dyDescent="0.25">
      <c r="A218" s="2">
        <v>25</v>
      </c>
      <c r="B218" s="2" t="s">
        <v>243</v>
      </c>
      <c r="C218" s="2">
        <v>3201010019</v>
      </c>
      <c r="D218" s="2" t="s">
        <v>260</v>
      </c>
      <c r="E218" s="2" t="s">
        <v>41</v>
      </c>
      <c r="F218" s="2">
        <v>1</v>
      </c>
      <c r="G218" s="4" t="s">
        <v>561</v>
      </c>
    </row>
    <row r="219" spans="1:7" x14ac:dyDescent="0.25">
      <c r="A219" s="2">
        <v>26</v>
      </c>
      <c r="B219" s="2" t="s">
        <v>243</v>
      </c>
      <c r="C219" s="2">
        <v>3201010014</v>
      </c>
      <c r="D219" s="2" t="s">
        <v>255</v>
      </c>
      <c r="E219" s="2" t="s">
        <v>41</v>
      </c>
      <c r="F219" s="2">
        <v>1</v>
      </c>
      <c r="G219" s="4" t="s">
        <v>561</v>
      </c>
    </row>
    <row r="220" spans="1:7" x14ac:dyDescent="0.25">
      <c r="A220" s="2">
        <v>27</v>
      </c>
      <c r="B220" s="2" t="s">
        <v>243</v>
      </c>
      <c r="C220" s="2">
        <v>3201010016</v>
      </c>
      <c r="D220" s="2" t="s">
        <v>257</v>
      </c>
      <c r="E220" s="2" t="s">
        <v>41</v>
      </c>
      <c r="F220" s="2">
        <v>1</v>
      </c>
      <c r="G220" s="4" t="s">
        <v>561</v>
      </c>
    </row>
    <row r="221" spans="1:7" x14ac:dyDescent="0.25">
      <c r="A221" s="2">
        <v>28</v>
      </c>
      <c r="B221" s="2" t="s">
        <v>243</v>
      </c>
      <c r="C221" s="2">
        <v>3201010062</v>
      </c>
      <c r="D221" s="2" t="s">
        <v>294</v>
      </c>
      <c r="E221" s="2" t="s">
        <v>41</v>
      </c>
      <c r="F221" s="2">
        <v>1</v>
      </c>
      <c r="G221" s="4" t="s">
        <v>561</v>
      </c>
    </row>
    <row r="222" spans="1:7" x14ac:dyDescent="0.25">
      <c r="A222" s="2">
        <v>29</v>
      </c>
      <c r="B222" s="2" t="s">
        <v>243</v>
      </c>
      <c r="C222" s="2">
        <v>3201010003</v>
      </c>
      <c r="D222" s="2" t="s">
        <v>245</v>
      </c>
      <c r="E222" s="2" t="s">
        <v>41</v>
      </c>
      <c r="F222" s="2">
        <v>0.52</v>
      </c>
      <c r="G222" s="4" t="s">
        <v>561</v>
      </c>
    </row>
    <row r="223" spans="1:7" x14ac:dyDescent="0.25">
      <c r="A223" s="2">
        <v>30</v>
      </c>
      <c r="B223" s="2" t="s">
        <v>370</v>
      </c>
      <c r="C223" s="2" t="s">
        <v>397</v>
      </c>
      <c r="D223" s="2" t="s">
        <v>398</v>
      </c>
      <c r="E223" s="2" t="s">
        <v>41</v>
      </c>
      <c r="F223" s="2">
        <v>1</v>
      </c>
      <c r="G223" s="4" t="s">
        <v>561</v>
      </c>
    </row>
    <row r="224" spans="1:7" x14ac:dyDescent="0.25">
      <c r="A224" s="2">
        <v>31</v>
      </c>
      <c r="B224" s="2" t="s">
        <v>370</v>
      </c>
      <c r="C224" s="2" t="s">
        <v>425</v>
      </c>
      <c r="D224" s="2" t="s">
        <v>426</v>
      </c>
      <c r="E224" s="2" t="s">
        <v>126</v>
      </c>
      <c r="F224" s="2">
        <v>1</v>
      </c>
      <c r="G224" s="4" t="s">
        <v>561</v>
      </c>
    </row>
    <row r="225" spans="1:7" x14ac:dyDescent="0.25">
      <c r="A225" s="2">
        <v>32</v>
      </c>
      <c r="B225" s="2" t="s">
        <v>370</v>
      </c>
      <c r="C225" s="2" t="s">
        <v>417</v>
      </c>
      <c r="D225" s="2" t="s">
        <v>418</v>
      </c>
      <c r="E225" s="2" t="s">
        <v>41</v>
      </c>
      <c r="F225" s="2">
        <v>1</v>
      </c>
      <c r="G225" s="4" t="s">
        <v>561</v>
      </c>
    </row>
    <row r="226" spans="1:7" x14ac:dyDescent="0.25">
      <c r="A226" s="2">
        <v>33</v>
      </c>
      <c r="B226" s="2" t="s">
        <v>370</v>
      </c>
      <c r="C226" s="2" t="s">
        <v>405</v>
      </c>
      <c r="D226" s="2" t="s">
        <v>406</v>
      </c>
      <c r="E226" s="2" t="s">
        <v>41</v>
      </c>
      <c r="F226" s="2">
        <v>1</v>
      </c>
      <c r="G226" s="4" t="s">
        <v>561</v>
      </c>
    </row>
    <row r="227" spans="1:7" x14ac:dyDescent="0.25">
      <c r="A227" s="2">
        <v>34</v>
      </c>
      <c r="B227" s="2" t="s">
        <v>370</v>
      </c>
      <c r="C227" s="2" t="s">
        <v>449</v>
      </c>
      <c r="D227" s="2" t="s">
        <v>450</v>
      </c>
      <c r="E227" s="2" t="s">
        <v>126</v>
      </c>
      <c r="F227" s="2">
        <v>1</v>
      </c>
      <c r="G227" s="4" t="s">
        <v>561</v>
      </c>
    </row>
    <row r="228" spans="1:7" x14ac:dyDescent="0.25">
      <c r="A228" s="2">
        <v>35</v>
      </c>
      <c r="B228" s="2" t="s">
        <v>370</v>
      </c>
      <c r="C228" s="2" t="s">
        <v>447</v>
      </c>
      <c r="D228" s="2" t="s">
        <v>448</v>
      </c>
      <c r="E228" s="2" t="s">
        <v>41</v>
      </c>
      <c r="F228" s="2">
        <v>1</v>
      </c>
      <c r="G228" s="4" t="s">
        <v>561</v>
      </c>
    </row>
    <row r="229" spans="1:7" x14ac:dyDescent="0.25">
      <c r="A229" s="2">
        <v>36</v>
      </c>
      <c r="B229" s="2" t="s">
        <v>370</v>
      </c>
      <c r="C229" s="2" t="s">
        <v>385</v>
      </c>
      <c r="D229" s="2" t="s">
        <v>386</v>
      </c>
      <c r="E229" s="2" t="s">
        <v>41</v>
      </c>
      <c r="F229" s="2">
        <v>1</v>
      </c>
      <c r="G229" s="4" t="s">
        <v>561</v>
      </c>
    </row>
    <row r="230" spans="1:7" x14ac:dyDescent="0.25">
      <c r="A230" s="2">
        <v>37</v>
      </c>
      <c r="B230" s="2" t="s">
        <v>370</v>
      </c>
      <c r="C230" s="2" t="s">
        <v>375</v>
      </c>
      <c r="D230" s="2" t="s">
        <v>376</v>
      </c>
      <c r="E230" s="2" t="s">
        <v>41</v>
      </c>
      <c r="F230" s="2">
        <v>1</v>
      </c>
      <c r="G230" s="4" t="s">
        <v>561</v>
      </c>
    </row>
    <row r="231" spans="1:7" x14ac:dyDescent="0.25">
      <c r="A231" s="2">
        <v>38</v>
      </c>
      <c r="B231" s="2" t="s">
        <v>370</v>
      </c>
      <c r="C231" s="2" t="s">
        <v>431</v>
      </c>
      <c r="D231" s="2" t="s">
        <v>432</v>
      </c>
      <c r="E231" s="2" t="s">
        <v>126</v>
      </c>
      <c r="F231" s="2">
        <v>1</v>
      </c>
      <c r="G231" s="4" t="s">
        <v>561</v>
      </c>
    </row>
    <row r="232" spans="1:7" x14ac:dyDescent="0.25">
      <c r="A232" s="2">
        <v>1</v>
      </c>
      <c r="B232" s="2" t="s">
        <v>16</v>
      </c>
      <c r="C232" s="2">
        <v>3101010135</v>
      </c>
      <c r="D232" s="2" t="s">
        <v>132</v>
      </c>
      <c r="E232" s="2" t="s">
        <v>41</v>
      </c>
      <c r="F232" s="2">
        <v>1</v>
      </c>
      <c r="G232" s="37" t="s">
        <v>560</v>
      </c>
    </row>
    <row r="233" spans="1:7" x14ac:dyDescent="0.25">
      <c r="A233" s="2">
        <v>2</v>
      </c>
      <c r="B233" s="2" t="s">
        <v>16</v>
      </c>
      <c r="C233" s="2">
        <v>3101010136</v>
      </c>
      <c r="D233" s="2" t="s">
        <v>133</v>
      </c>
      <c r="E233" s="2" t="s">
        <v>41</v>
      </c>
      <c r="F233" s="2">
        <v>1</v>
      </c>
      <c r="G233" s="37" t="s">
        <v>560</v>
      </c>
    </row>
    <row r="234" spans="1:7" x14ac:dyDescent="0.25">
      <c r="A234" s="2">
        <v>3</v>
      </c>
      <c r="B234" s="2" t="s">
        <v>16</v>
      </c>
      <c r="C234" s="2">
        <v>3101010077</v>
      </c>
      <c r="D234" s="2" t="s">
        <v>90</v>
      </c>
      <c r="E234" s="2" t="s">
        <v>14</v>
      </c>
      <c r="F234" s="2">
        <v>3.2000000000000001E-2</v>
      </c>
      <c r="G234" s="37" t="s">
        <v>560</v>
      </c>
    </row>
    <row r="235" spans="1:7" x14ac:dyDescent="0.25">
      <c r="A235" s="2">
        <v>4</v>
      </c>
      <c r="B235" s="2" t="s">
        <v>16</v>
      </c>
      <c r="C235" s="2">
        <v>3101010130</v>
      </c>
      <c r="D235" s="2" t="s">
        <v>127</v>
      </c>
      <c r="E235" s="2" t="s">
        <v>14</v>
      </c>
      <c r="F235" s="2">
        <v>1.2999999999999999E-2</v>
      </c>
      <c r="G235" s="37" t="s">
        <v>560</v>
      </c>
    </row>
    <row r="236" spans="1:7" x14ac:dyDescent="0.25">
      <c r="A236" s="2">
        <v>5</v>
      </c>
      <c r="B236" s="2" t="s">
        <v>16</v>
      </c>
      <c r="C236" s="2">
        <v>3101010124</v>
      </c>
      <c r="D236" s="2" t="s">
        <v>120</v>
      </c>
      <c r="E236" s="2" t="s">
        <v>41</v>
      </c>
      <c r="F236" s="2">
        <v>1</v>
      </c>
      <c r="G236" s="37" t="s">
        <v>560</v>
      </c>
    </row>
    <row r="237" spans="1:7" x14ac:dyDescent="0.25">
      <c r="A237" s="2">
        <v>6</v>
      </c>
      <c r="B237" s="2" t="s">
        <v>16</v>
      </c>
      <c r="C237" s="2">
        <v>3101010123</v>
      </c>
      <c r="D237" s="2" t="s">
        <v>119</v>
      </c>
      <c r="E237" s="2" t="s">
        <v>41</v>
      </c>
      <c r="F237" s="2">
        <v>2</v>
      </c>
      <c r="G237" s="37" t="s">
        <v>560</v>
      </c>
    </row>
    <row r="238" spans="1:7" x14ac:dyDescent="0.25">
      <c r="A238" s="2">
        <v>7</v>
      </c>
      <c r="B238" s="2" t="s">
        <v>16</v>
      </c>
      <c r="C238" s="2">
        <v>3101010115</v>
      </c>
      <c r="D238" s="2" t="s">
        <v>112</v>
      </c>
      <c r="E238" s="2" t="s">
        <v>41</v>
      </c>
      <c r="F238" s="2">
        <v>1</v>
      </c>
      <c r="G238" s="37" t="s">
        <v>560</v>
      </c>
    </row>
    <row r="239" spans="1:7" x14ac:dyDescent="0.25">
      <c r="A239" s="2">
        <v>8</v>
      </c>
      <c r="B239" s="2" t="s">
        <v>16</v>
      </c>
      <c r="C239" s="2">
        <v>3101010126</v>
      </c>
      <c r="D239" s="2" t="s">
        <v>122</v>
      </c>
      <c r="E239" s="2" t="s">
        <v>41</v>
      </c>
      <c r="F239" s="2">
        <v>2</v>
      </c>
      <c r="G239" s="37" t="s">
        <v>560</v>
      </c>
    </row>
    <row r="240" spans="1:7" x14ac:dyDescent="0.25">
      <c r="A240" s="2">
        <v>9</v>
      </c>
      <c r="B240" s="2" t="s">
        <v>16</v>
      </c>
      <c r="C240" s="2">
        <v>3101010129</v>
      </c>
      <c r="D240" s="2" t="s">
        <v>125</v>
      </c>
      <c r="E240" s="2" t="s">
        <v>126</v>
      </c>
      <c r="F240" s="2">
        <v>3</v>
      </c>
      <c r="G240" s="37" t="s">
        <v>560</v>
      </c>
    </row>
    <row r="241" spans="1:7" x14ac:dyDescent="0.25">
      <c r="A241" s="2">
        <v>10</v>
      </c>
      <c r="B241" s="2" t="s">
        <v>16</v>
      </c>
      <c r="C241" s="2">
        <v>3101010121</v>
      </c>
      <c r="D241" s="2" t="s">
        <v>117</v>
      </c>
      <c r="E241" s="2" t="s">
        <v>41</v>
      </c>
      <c r="F241" s="2">
        <v>1</v>
      </c>
      <c r="G241" s="37" t="s">
        <v>560</v>
      </c>
    </row>
    <row r="242" spans="1:7" x14ac:dyDescent="0.25">
      <c r="A242" s="2">
        <v>11</v>
      </c>
      <c r="B242" s="2" t="s">
        <v>16</v>
      </c>
      <c r="C242" s="2">
        <v>3101010127</v>
      </c>
      <c r="D242" s="2" t="s">
        <v>123</v>
      </c>
      <c r="E242" s="2" t="s">
        <v>41</v>
      </c>
      <c r="F242" s="2">
        <v>1</v>
      </c>
      <c r="G242" s="37" t="s">
        <v>560</v>
      </c>
    </row>
    <row r="243" spans="1:7" x14ac:dyDescent="0.25">
      <c r="A243" s="2">
        <v>12</v>
      </c>
      <c r="B243" s="2" t="s">
        <v>16</v>
      </c>
      <c r="C243" s="2">
        <v>3101010073</v>
      </c>
      <c r="D243" s="2" t="s">
        <v>86</v>
      </c>
      <c r="E243" s="2" t="s">
        <v>41</v>
      </c>
      <c r="F243" s="2">
        <v>1</v>
      </c>
      <c r="G243" s="37" t="s">
        <v>560</v>
      </c>
    </row>
    <row r="244" spans="1:7" x14ac:dyDescent="0.25">
      <c r="A244" s="2">
        <v>13</v>
      </c>
      <c r="B244" s="2" t="s">
        <v>16</v>
      </c>
      <c r="C244" s="2">
        <v>3101010023</v>
      </c>
      <c r="D244" s="2" t="s">
        <v>38</v>
      </c>
      <c r="E244" s="2" t="s">
        <v>37</v>
      </c>
      <c r="F244" s="2">
        <v>0.16</v>
      </c>
      <c r="G244" s="37" t="s">
        <v>560</v>
      </c>
    </row>
    <row r="245" spans="1:7" x14ac:dyDescent="0.25">
      <c r="A245" s="2">
        <v>14</v>
      </c>
      <c r="B245" s="2" t="s">
        <v>16</v>
      </c>
      <c r="C245" s="2">
        <v>3101010112</v>
      </c>
      <c r="D245" s="2" t="s">
        <v>109</v>
      </c>
      <c r="E245" s="2" t="s">
        <v>37</v>
      </c>
      <c r="F245" s="2">
        <v>0.61</v>
      </c>
      <c r="G245" s="37" t="s">
        <v>560</v>
      </c>
    </row>
    <row r="246" spans="1:7" x14ac:dyDescent="0.25">
      <c r="A246" s="2">
        <v>15</v>
      </c>
      <c r="B246" s="2" t="s">
        <v>16</v>
      </c>
      <c r="C246" s="2">
        <v>3101010090</v>
      </c>
      <c r="D246" s="2" t="s">
        <v>100</v>
      </c>
      <c r="E246" s="2" t="s">
        <v>37</v>
      </c>
      <c r="F246" s="2">
        <v>0.61</v>
      </c>
      <c r="G246" s="37" t="s">
        <v>560</v>
      </c>
    </row>
    <row r="247" spans="1:7" x14ac:dyDescent="0.25">
      <c r="A247" s="2">
        <v>16</v>
      </c>
      <c r="B247" s="2" t="s">
        <v>16</v>
      </c>
      <c r="C247" s="2">
        <v>3101010038</v>
      </c>
      <c r="D247" s="2" t="s">
        <v>55</v>
      </c>
      <c r="E247" s="2" t="s">
        <v>14</v>
      </c>
      <c r="F247" s="2">
        <v>1E-4</v>
      </c>
      <c r="G247" s="37" t="s">
        <v>560</v>
      </c>
    </row>
    <row r="248" spans="1:7" x14ac:dyDescent="0.25">
      <c r="A248" s="2">
        <v>17</v>
      </c>
      <c r="B248" s="2" t="s">
        <v>16</v>
      </c>
      <c r="C248" s="2">
        <v>3101010122</v>
      </c>
      <c r="D248" s="2" t="s">
        <v>118</v>
      </c>
      <c r="E248" s="2" t="s">
        <v>41</v>
      </c>
      <c r="F248" s="2">
        <v>1</v>
      </c>
      <c r="G248" s="37" t="s">
        <v>560</v>
      </c>
    </row>
    <row r="249" spans="1:7" x14ac:dyDescent="0.25">
      <c r="A249" s="2">
        <v>18</v>
      </c>
      <c r="B249" s="2" t="s">
        <v>16</v>
      </c>
      <c r="C249" s="2">
        <v>3101010065</v>
      </c>
      <c r="D249" s="2" t="s">
        <v>78</v>
      </c>
      <c r="E249" s="2" t="s">
        <v>14</v>
      </c>
      <c r="F249" s="2">
        <v>4.0000000000000002E-4</v>
      </c>
      <c r="G249" s="37" t="s">
        <v>560</v>
      </c>
    </row>
    <row r="250" spans="1:7" x14ac:dyDescent="0.25">
      <c r="A250" s="2">
        <v>19</v>
      </c>
      <c r="B250" s="2" t="s">
        <v>16</v>
      </c>
      <c r="C250" s="2">
        <v>3101010081</v>
      </c>
      <c r="D250" s="2" t="s">
        <v>94</v>
      </c>
      <c r="E250" s="2" t="s">
        <v>41</v>
      </c>
      <c r="F250" s="2">
        <v>3</v>
      </c>
      <c r="G250" s="37" t="s">
        <v>560</v>
      </c>
    </row>
    <row r="251" spans="1:7" x14ac:dyDescent="0.25">
      <c r="A251" s="2">
        <v>20</v>
      </c>
      <c r="B251" s="2" t="s">
        <v>16</v>
      </c>
      <c r="C251" s="2">
        <v>3101010061</v>
      </c>
      <c r="D251" s="2" t="s">
        <v>75</v>
      </c>
      <c r="E251" s="2" t="s">
        <v>41</v>
      </c>
      <c r="F251" s="2">
        <v>1</v>
      </c>
      <c r="G251" s="37" t="s">
        <v>560</v>
      </c>
    </row>
    <row r="252" spans="1:7" x14ac:dyDescent="0.25">
      <c r="A252" s="2">
        <v>21</v>
      </c>
      <c r="B252" s="2" t="s">
        <v>16</v>
      </c>
      <c r="C252" s="2">
        <v>3101010094</v>
      </c>
      <c r="D252" s="2" t="s">
        <v>103</v>
      </c>
      <c r="E252" s="2" t="s">
        <v>14</v>
      </c>
      <c r="F252" s="2">
        <v>5.0000000000000001E-4</v>
      </c>
      <c r="G252" s="37" t="s">
        <v>560</v>
      </c>
    </row>
    <row r="253" spans="1:7" x14ac:dyDescent="0.25">
      <c r="A253" s="2">
        <v>22</v>
      </c>
      <c r="B253" s="2" t="s">
        <v>16</v>
      </c>
      <c r="C253" s="2">
        <v>3101010068</v>
      </c>
      <c r="D253" s="2" t="s">
        <v>81</v>
      </c>
      <c r="E253" s="2" t="s">
        <v>14</v>
      </c>
      <c r="F253" s="2">
        <v>4.0000000000000001E-3</v>
      </c>
      <c r="G253" s="37" t="s">
        <v>560</v>
      </c>
    </row>
    <row r="254" spans="1:7" x14ac:dyDescent="0.25">
      <c r="A254" s="2">
        <v>23</v>
      </c>
      <c r="B254" s="2" t="s">
        <v>139</v>
      </c>
      <c r="C254" s="2">
        <v>3202010001</v>
      </c>
      <c r="D254" s="2" t="s">
        <v>688</v>
      </c>
      <c r="E254" s="2" t="s">
        <v>14</v>
      </c>
      <c r="F254" s="2">
        <v>1.4999999999999999E-2</v>
      </c>
      <c r="G254" s="37" t="s">
        <v>560</v>
      </c>
    </row>
    <row r="255" spans="1:7" x14ac:dyDescent="0.25">
      <c r="A255" s="2">
        <v>24</v>
      </c>
      <c r="B255" s="2" t="s">
        <v>243</v>
      </c>
      <c r="C255" s="2">
        <v>3201010057</v>
      </c>
      <c r="D255" s="2" t="s">
        <v>289</v>
      </c>
      <c r="E255" s="2" t="s">
        <v>41</v>
      </c>
      <c r="F255" s="2">
        <v>1</v>
      </c>
      <c r="G255" s="37" t="s">
        <v>560</v>
      </c>
    </row>
    <row r="256" spans="1:7" x14ac:dyDescent="0.25">
      <c r="A256" s="2">
        <v>25</v>
      </c>
      <c r="B256" s="2" t="s">
        <v>243</v>
      </c>
      <c r="C256" s="2">
        <v>3201010059</v>
      </c>
      <c r="D256" s="2" t="s">
        <v>291</v>
      </c>
      <c r="E256" s="2" t="s">
        <v>41</v>
      </c>
      <c r="F256" s="2">
        <v>1</v>
      </c>
      <c r="G256" s="37" t="s">
        <v>560</v>
      </c>
    </row>
    <row r="257" spans="1:7" x14ac:dyDescent="0.25">
      <c r="A257" s="2">
        <v>26</v>
      </c>
      <c r="B257" s="2" t="s">
        <v>243</v>
      </c>
      <c r="C257" s="2">
        <v>3201010041</v>
      </c>
      <c r="D257" s="2" t="s">
        <v>673</v>
      </c>
      <c r="E257" s="2" t="s">
        <v>14</v>
      </c>
      <c r="F257" s="2">
        <v>6.0000000000000001E-3</v>
      </c>
      <c r="G257" s="37" t="s">
        <v>560</v>
      </c>
    </row>
    <row r="258" spans="1:7" x14ac:dyDescent="0.25">
      <c r="A258" s="2">
        <v>27</v>
      </c>
      <c r="B258" s="2" t="s">
        <v>243</v>
      </c>
      <c r="C258" s="2">
        <v>3201010046</v>
      </c>
      <c r="D258" s="2" t="s">
        <v>283</v>
      </c>
      <c r="E258" s="2" t="s">
        <v>37</v>
      </c>
      <c r="F258" s="2">
        <v>0.9</v>
      </c>
      <c r="G258" s="37" t="s">
        <v>560</v>
      </c>
    </row>
    <row r="259" spans="1:7" x14ac:dyDescent="0.25">
      <c r="A259" s="2">
        <v>28</v>
      </c>
      <c r="B259" s="2" t="s">
        <v>243</v>
      </c>
      <c r="C259" s="2">
        <v>3201010061</v>
      </c>
      <c r="D259" s="2" t="s">
        <v>293</v>
      </c>
      <c r="E259" s="2" t="s">
        <v>41</v>
      </c>
      <c r="F259" s="2">
        <v>1</v>
      </c>
      <c r="G259" s="37" t="s">
        <v>560</v>
      </c>
    </row>
    <row r="260" spans="1:7" x14ac:dyDescent="0.25">
      <c r="A260" s="2">
        <v>29</v>
      </c>
      <c r="B260" s="2" t="s">
        <v>243</v>
      </c>
      <c r="C260" s="2">
        <v>3201010042</v>
      </c>
      <c r="D260" s="2" t="s">
        <v>674</v>
      </c>
      <c r="E260" s="2" t="s">
        <v>14</v>
      </c>
      <c r="F260" s="2">
        <v>3.0000000000000001E-3</v>
      </c>
      <c r="G260" s="37" t="s">
        <v>560</v>
      </c>
    </row>
    <row r="261" spans="1:7" x14ac:dyDescent="0.25">
      <c r="A261" s="2">
        <v>30</v>
      </c>
      <c r="B261" s="2" t="s">
        <v>243</v>
      </c>
      <c r="C261" s="2">
        <v>3201010014</v>
      </c>
      <c r="D261" s="2" t="s">
        <v>255</v>
      </c>
      <c r="E261" s="2" t="s">
        <v>41</v>
      </c>
      <c r="F261" s="2">
        <v>1</v>
      </c>
      <c r="G261" s="37" t="s">
        <v>560</v>
      </c>
    </row>
    <row r="262" spans="1:7" x14ac:dyDescent="0.25">
      <c r="A262" s="2">
        <v>31</v>
      </c>
      <c r="B262" s="2" t="s">
        <v>243</v>
      </c>
      <c r="C262" s="2">
        <v>3201010060</v>
      </c>
      <c r="D262" s="2" t="s">
        <v>292</v>
      </c>
      <c r="E262" s="2" t="s">
        <v>41</v>
      </c>
      <c r="F262" s="2">
        <v>1</v>
      </c>
      <c r="G262" s="37" t="s">
        <v>560</v>
      </c>
    </row>
    <row r="263" spans="1:7" x14ac:dyDescent="0.25">
      <c r="A263" s="2">
        <v>32</v>
      </c>
      <c r="B263" s="2" t="s">
        <v>243</v>
      </c>
      <c r="C263" s="2">
        <v>3201010062</v>
      </c>
      <c r="D263" s="2" t="s">
        <v>294</v>
      </c>
      <c r="E263" s="2" t="s">
        <v>41</v>
      </c>
      <c r="F263" s="2">
        <v>1</v>
      </c>
      <c r="G263" s="37" t="s">
        <v>560</v>
      </c>
    </row>
    <row r="264" spans="1:7" x14ac:dyDescent="0.25">
      <c r="A264" s="2">
        <v>33</v>
      </c>
      <c r="B264" s="2" t="s">
        <v>243</v>
      </c>
      <c r="C264" s="2">
        <v>3201010003</v>
      </c>
      <c r="D264" s="2" t="s">
        <v>245</v>
      </c>
      <c r="E264" s="2" t="s">
        <v>41</v>
      </c>
      <c r="F264" s="2">
        <v>1</v>
      </c>
      <c r="G264" s="37" t="s">
        <v>560</v>
      </c>
    </row>
    <row r="265" spans="1:7" x14ac:dyDescent="0.25">
      <c r="A265" s="2">
        <v>34</v>
      </c>
      <c r="B265" s="2" t="s">
        <v>370</v>
      </c>
      <c r="C265" s="2" t="s">
        <v>465</v>
      </c>
      <c r="D265" s="2" t="s">
        <v>466</v>
      </c>
      <c r="E265" s="2" t="s">
        <v>41</v>
      </c>
      <c r="F265" s="2">
        <v>1</v>
      </c>
      <c r="G265" s="37" t="s">
        <v>560</v>
      </c>
    </row>
    <row r="266" spans="1:7" x14ac:dyDescent="0.25">
      <c r="A266" s="2">
        <v>35</v>
      </c>
      <c r="B266" s="2" t="s">
        <v>370</v>
      </c>
      <c r="C266" s="2" t="s">
        <v>467</v>
      </c>
      <c r="D266" s="2" t="s">
        <v>468</v>
      </c>
      <c r="E266" s="2" t="s">
        <v>41</v>
      </c>
      <c r="F266" s="2">
        <v>1</v>
      </c>
      <c r="G266" s="37" t="s">
        <v>560</v>
      </c>
    </row>
    <row r="267" spans="1:7" x14ac:dyDescent="0.25">
      <c r="A267" s="2">
        <v>36</v>
      </c>
      <c r="B267" s="2" t="s">
        <v>370</v>
      </c>
      <c r="C267" s="2" t="s">
        <v>479</v>
      </c>
      <c r="D267" s="2" t="s">
        <v>480</v>
      </c>
      <c r="E267" s="2" t="s">
        <v>126</v>
      </c>
      <c r="F267" s="2">
        <v>1</v>
      </c>
      <c r="G267" s="37" t="s">
        <v>560</v>
      </c>
    </row>
    <row r="268" spans="1:7" x14ac:dyDescent="0.25">
      <c r="A268" s="2">
        <v>37</v>
      </c>
      <c r="B268" s="2" t="s">
        <v>370</v>
      </c>
      <c r="C268" s="2" t="s">
        <v>463</v>
      </c>
      <c r="D268" s="2" t="s">
        <v>464</v>
      </c>
      <c r="E268" s="2" t="s">
        <v>41</v>
      </c>
      <c r="F268" s="2">
        <v>1</v>
      </c>
      <c r="G268" s="37" t="s">
        <v>560</v>
      </c>
    </row>
    <row r="269" spans="1:7" x14ac:dyDescent="0.25">
      <c r="A269" s="2">
        <v>38</v>
      </c>
      <c r="B269" s="2" t="s">
        <v>370</v>
      </c>
      <c r="C269" s="2" t="s">
        <v>473</v>
      </c>
      <c r="D269" s="2" t="s">
        <v>474</v>
      </c>
      <c r="E269" s="2" t="s">
        <v>41</v>
      </c>
      <c r="F269" s="2">
        <v>1</v>
      </c>
      <c r="G269" s="37" t="s">
        <v>560</v>
      </c>
    </row>
    <row r="270" spans="1:7" x14ac:dyDescent="0.25">
      <c r="A270" s="2">
        <v>39</v>
      </c>
      <c r="B270" s="2" t="s">
        <v>370</v>
      </c>
      <c r="C270" s="2" t="s">
        <v>471</v>
      </c>
      <c r="D270" s="2" t="s">
        <v>472</v>
      </c>
      <c r="E270" s="2" t="s">
        <v>41</v>
      </c>
      <c r="F270" s="2">
        <v>1</v>
      </c>
      <c r="G270" s="37" t="s">
        <v>560</v>
      </c>
    </row>
    <row r="271" spans="1:7" x14ac:dyDescent="0.25">
      <c r="A271" s="2">
        <v>40</v>
      </c>
      <c r="B271" s="2" t="s">
        <v>370</v>
      </c>
      <c r="C271" s="2" t="s">
        <v>477</v>
      </c>
      <c r="D271" s="2" t="s">
        <v>478</v>
      </c>
      <c r="E271" s="2" t="s">
        <v>126</v>
      </c>
      <c r="F271" s="2">
        <v>1</v>
      </c>
      <c r="G271" s="37" t="s">
        <v>560</v>
      </c>
    </row>
    <row r="272" spans="1:7" x14ac:dyDescent="0.25">
      <c r="A272" s="2">
        <v>1</v>
      </c>
      <c r="B272" s="2" t="s">
        <v>16</v>
      </c>
      <c r="C272" s="2">
        <v>3101010135</v>
      </c>
      <c r="D272" s="2" t="s">
        <v>132</v>
      </c>
      <c r="E272" s="2" t="s">
        <v>41</v>
      </c>
      <c r="F272" s="2">
        <v>1</v>
      </c>
      <c r="G272" s="40" t="s">
        <v>558</v>
      </c>
    </row>
    <row r="273" spans="1:7" x14ac:dyDescent="0.25">
      <c r="A273" s="2">
        <v>2</v>
      </c>
      <c r="B273" s="2" t="s">
        <v>16</v>
      </c>
      <c r="C273" s="2">
        <v>3101010136</v>
      </c>
      <c r="D273" s="2" t="s">
        <v>133</v>
      </c>
      <c r="E273" s="2" t="s">
        <v>41</v>
      </c>
      <c r="F273" s="2">
        <v>1</v>
      </c>
      <c r="G273" s="40" t="s">
        <v>558</v>
      </c>
    </row>
    <row r="274" spans="1:7" x14ac:dyDescent="0.25">
      <c r="A274" s="2">
        <v>3</v>
      </c>
      <c r="B274" s="2" t="s">
        <v>16</v>
      </c>
      <c r="C274" s="2">
        <v>3101010077</v>
      </c>
      <c r="D274" s="2" t="s">
        <v>90</v>
      </c>
      <c r="E274" s="2" t="s">
        <v>14</v>
      </c>
      <c r="F274" s="2">
        <v>3.5999999999999997E-2</v>
      </c>
      <c r="G274" s="40" t="s">
        <v>558</v>
      </c>
    </row>
    <row r="275" spans="1:7" x14ac:dyDescent="0.25">
      <c r="A275" s="2">
        <v>4</v>
      </c>
      <c r="B275" s="2" t="s">
        <v>16</v>
      </c>
      <c r="C275" s="2">
        <v>3101010115</v>
      </c>
      <c r="D275" s="2" t="s">
        <v>112</v>
      </c>
      <c r="E275" s="2" t="s">
        <v>41</v>
      </c>
      <c r="F275" s="2">
        <v>1</v>
      </c>
      <c r="G275" s="40" t="s">
        <v>558</v>
      </c>
    </row>
    <row r="276" spans="1:7" x14ac:dyDescent="0.25">
      <c r="A276" s="2">
        <v>5</v>
      </c>
      <c r="B276" s="2" t="s">
        <v>16</v>
      </c>
      <c r="C276" s="2">
        <v>3101010080</v>
      </c>
      <c r="D276" s="2" t="s">
        <v>93</v>
      </c>
      <c r="E276" s="2" t="s">
        <v>41</v>
      </c>
      <c r="F276" s="2">
        <v>1</v>
      </c>
      <c r="G276" s="40" t="s">
        <v>558</v>
      </c>
    </row>
    <row r="277" spans="1:7" x14ac:dyDescent="0.25">
      <c r="A277" s="2">
        <v>6</v>
      </c>
      <c r="B277" s="2" t="s">
        <v>16</v>
      </c>
      <c r="C277" s="2">
        <v>3101010023</v>
      </c>
      <c r="D277" s="2" t="s">
        <v>38</v>
      </c>
      <c r="E277" s="2" t="s">
        <v>37</v>
      </c>
      <c r="F277" s="2">
        <v>0.16</v>
      </c>
      <c r="G277" s="40" t="s">
        <v>558</v>
      </c>
    </row>
    <row r="278" spans="1:7" x14ac:dyDescent="0.25">
      <c r="A278" s="2">
        <v>7</v>
      </c>
      <c r="B278" s="2" t="s">
        <v>16</v>
      </c>
      <c r="C278" s="2">
        <v>3101010112</v>
      </c>
      <c r="D278" s="2" t="s">
        <v>109</v>
      </c>
      <c r="E278" s="2" t="s">
        <v>37</v>
      </c>
      <c r="F278" s="2">
        <v>0.61</v>
      </c>
      <c r="G278" s="40" t="s">
        <v>558</v>
      </c>
    </row>
    <row r="279" spans="1:7" x14ac:dyDescent="0.25">
      <c r="A279" s="2">
        <v>8</v>
      </c>
      <c r="B279" s="2" t="s">
        <v>16</v>
      </c>
      <c r="C279" s="2">
        <v>3101010090</v>
      </c>
      <c r="D279" s="2" t="s">
        <v>100</v>
      </c>
      <c r="E279" s="2" t="s">
        <v>37</v>
      </c>
      <c r="F279" s="2">
        <v>0.61</v>
      </c>
      <c r="G279" s="40" t="s">
        <v>558</v>
      </c>
    </row>
    <row r="280" spans="1:7" x14ac:dyDescent="0.25">
      <c r="A280" s="2">
        <v>9</v>
      </c>
      <c r="B280" s="2" t="s">
        <v>16</v>
      </c>
      <c r="C280" s="2">
        <v>3101010038</v>
      </c>
      <c r="D280" s="2" t="s">
        <v>55</v>
      </c>
      <c r="E280" s="2" t="s">
        <v>14</v>
      </c>
      <c r="F280" s="2">
        <v>1E-4</v>
      </c>
      <c r="G280" s="40" t="s">
        <v>558</v>
      </c>
    </row>
    <row r="281" spans="1:7" x14ac:dyDescent="0.25">
      <c r="A281" s="2">
        <v>10</v>
      </c>
      <c r="B281" s="2" t="s">
        <v>16</v>
      </c>
      <c r="C281" s="2">
        <v>3101010108</v>
      </c>
      <c r="D281" s="2" t="s">
        <v>105</v>
      </c>
      <c r="E281" s="2" t="s">
        <v>43</v>
      </c>
      <c r="F281" s="2">
        <v>1E-3</v>
      </c>
      <c r="G281" s="40" t="s">
        <v>558</v>
      </c>
    </row>
    <row r="282" spans="1:7" x14ac:dyDescent="0.25">
      <c r="A282" s="2">
        <v>11</v>
      </c>
      <c r="B282" s="2" t="s">
        <v>16</v>
      </c>
      <c r="C282" s="2">
        <v>3101010054</v>
      </c>
      <c r="D282" s="2" t="s">
        <v>69</v>
      </c>
      <c r="E282" s="2" t="s">
        <v>66</v>
      </c>
      <c r="F282" s="2">
        <v>5.0000000000000001E-4</v>
      </c>
      <c r="G282" s="40" t="s">
        <v>558</v>
      </c>
    </row>
    <row r="283" spans="1:7" x14ac:dyDescent="0.25">
      <c r="A283" s="2">
        <v>12</v>
      </c>
      <c r="B283" s="2" t="s">
        <v>16</v>
      </c>
      <c r="C283" s="2">
        <v>3101010084</v>
      </c>
      <c r="D283" s="2" t="s">
        <v>96</v>
      </c>
      <c r="E283" s="2" t="s">
        <v>41</v>
      </c>
      <c r="F283" s="2">
        <v>1</v>
      </c>
      <c r="G283" s="40" t="s">
        <v>558</v>
      </c>
    </row>
    <row r="284" spans="1:7" x14ac:dyDescent="0.25">
      <c r="A284" s="2">
        <v>13</v>
      </c>
      <c r="B284" s="2" t="s">
        <v>16</v>
      </c>
      <c r="C284" s="2">
        <v>3101010065</v>
      </c>
      <c r="D284" s="2" t="s">
        <v>78</v>
      </c>
      <c r="E284" s="2" t="s">
        <v>14</v>
      </c>
      <c r="F284" s="2">
        <v>2.0000000000000001E-4</v>
      </c>
      <c r="G284" s="40" t="s">
        <v>558</v>
      </c>
    </row>
    <row r="285" spans="1:7" x14ac:dyDescent="0.25">
      <c r="A285" s="2">
        <v>14</v>
      </c>
      <c r="B285" s="2" t="s">
        <v>16</v>
      </c>
      <c r="C285" s="2">
        <v>3101010081</v>
      </c>
      <c r="D285" s="2" t="s">
        <v>94</v>
      </c>
      <c r="E285" s="2" t="s">
        <v>41</v>
      </c>
      <c r="F285" s="2">
        <v>3</v>
      </c>
      <c r="G285" s="40" t="s">
        <v>558</v>
      </c>
    </row>
    <row r="286" spans="1:7" x14ac:dyDescent="0.25">
      <c r="A286" s="2">
        <v>15</v>
      </c>
      <c r="B286" s="2" t="s">
        <v>16</v>
      </c>
      <c r="C286" s="2">
        <v>3101010074</v>
      </c>
      <c r="D286" s="2" t="s">
        <v>87</v>
      </c>
      <c r="E286" s="2" t="s">
        <v>14</v>
      </c>
      <c r="F286" s="2">
        <v>2E-3</v>
      </c>
      <c r="G286" s="40" t="s">
        <v>558</v>
      </c>
    </row>
    <row r="287" spans="1:7" x14ac:dyDescent="0.25">
      <c r="A287" s="2">
        <v>16</v>
      </c>
      <c r="B287" s="2" t="s">
        <v>16</v>
      </c>
      <c r="C287" s="2">
        <v>3101010056</v>
      </c>
      <c r="D287" s="2" t="s">
        <v>70</v>
      </c>
      <c r="E287" s="2" t="s">
        <v>41</v>
      </c>
      <c r="F287" s="2">
        <v>1</v>
      </c>
      <c r="G287" s="40" t="s">
        <v>558</v>
      </c>
    </row>
    <row r="288" spans="1:7" x14ac:dyDescent="0.25">
      <c r="A288" s="2">
        <v>17</v>
      </c>
      <c r="B288" s="2" t="s">
        <v>16</v>
      </c>
      <c r="C288" s="2">
        <v>3101010061</v>
      </c>
      <c r="D288" s="2" t="s">
        <v>75</v>
      </c>
      <c r="E288" s="2" t="s">
        <v>41</v>
      </c>
      <c r="F288" s="2">
        <v>1</v>
      </c>
      <c r="G288" s="40" t="s">
        <v>558</v>
      </c>
    </row>
    <row r="289" spans="1:7" x14ac:dyDescent="0.25">
      <c r="A289" s="2">
        <v>18</v>
      </c>
      <c r="B289" s="2" t="s">
        <v>16</v>
      </c>
      <c r="C289" s="2">
        <v>3101010094</v>
      </c>
      <c r="D289" s="2" t="s">
        <v>103</v>
      </c>
      <c r="E289" s="2" t="s">
        <v>14</v>
      </c>
      <c r="F289" s="2">
        <v>5.0000000000000001E-4</v>
      </c>
      <c r="G289" s="40" t="s">
        <v>558</v>
      </c>
    </row>
    <row r="290" spans="1:7" x14ac:dyDescent="0.25">
      <c r="A290" s="2">
        <v>19</v>
      </c>
      <c r="B290" s="2" t="s">
        <v>16</v>
      </c>
      <c r="C290" s="2">
        <v>3101010068</v>
      </c>
      <c r="D290" s="2" t="s">
        <v>81</v>
      </c>
      <c r="E290" s="2" t="s">
        <v>14</v>
      </c>
      <c r="F290" s="2">
        <v>4.0000000000000001E-3</v>
      </c>
      <c r="G290" s="40" t="s">
        <v>558</v>
      </c>
    </row>
    <row r="291" spans="1:7" x14ac:dyDescent="0.25">
      <c r="A291" s="2">
        <v>20</v>
      </c>
      <c r="B291" s="2" t="s">
        <v>243</v>
      </c>
      <c r="C291" s="2">
        <v>3201010024</v>
      </c>
      <c r="D291" s="2" t="s">
        <v>265</v>
      </c>
      <c r="E291" s="2" t="s">
        <v>41</v>
      </c>
      <c r="F291" s="2">
        <v>1</v>
      </c>
      <c r="G291" s="40" t="s">
        <v>558</v>
      </c>
    </row>
    <row r="292" spans="1:7" x14ac:dyDescent="0.25">
      <c r="A292" s="2">
        <v>21</v>
      </c>
      <c r="B292" s="2" t="s">
        <v>243</v>
      </c>
      <c r="C292" s="2">
        <v>3201010037</v>
      </c>
      <c r="D292" s="2" t="s">
        <v>669</v>
      </c>
      <c r="E292" s="2" t="s">
        <v>14</v>
      </c>
      <c r="F292" s="2">
        <v>0.01</v>
      </c>
      <c r="G292" s="40" t="s">
        <v>558</v>
      </c>
    </row>
    <row r="293" spans="1:7" x14ac:dyDescent="0.25">
      <c r="A293" s="2">
        <v>22</v>
      </c>
      <c r="B293" s="2" t="s">
        <v>243</v>
      </c>
      <c r="C293" s="2">
        <v>3201010005</v>
      </c>
      <c r="D293" s="2" t="s">
        <v>247</v>
      </c>
      <c r="E293" s="2" t="s">
        <v>41</v>
      </c>
      <c r="F293" s="2">
        <v>1</v>
      </c>
      <c r="G293" s="40" t="s">
        <v>558</v>
      </c>
    </row>
    <row r="294" spans="1:7" x14ac:dyDescent="0.25">
      <c r="A294" s="2">
        <v>23</v>
      </c>
      <c r="B294" s="2" t="s">
        <v>243</v>
      </c>
      <c r="C294" s="2">
        <v>3201010046</v>
      </c>
      <c r="D294" s="2" t="s">
        <v>283</v>
      </c>
      <c r="E294" s="2" t="s">
        <v>37</v>
      </c>
      <c r="F294" s="2">
        <v>0.8</v>
      </c>
      <c r="G294" s="40" t="s">
        <v>558</v>
      </c>
    </row>
    <row r="295" spans="1:7" x14ac:dyDescent="0.25">
      <c r="A295" s="2">
        <v>24</v>
      </c>
      <c r="B295" s="2" t="s">
        <v>243</v>
      </c>
      <c r="C295" s="2">
        <v>3201010019</v>
      </c>
      <c r="D295" s="2" t="s">
        <v>260</v>
      </c>
      <c r="E295" s="2" t="s">
        <v>41</v>
      </c>
      <c r="F295" s="2">
        <v>1</v>
      </c>
      <c r="G295" s="40" t="s">
        <v>558</v>
      </c>
    </row>
    <row r="296" spans="1:7" x14ac:dyDescent="0.25">
      <c r="A296" s="2">
        <v>25</v>
      </c>
      <c r="B296" s="2" t="s">
        <v>243</v>
      </c>
      <c r="C296" s="2">
        <v>3201010014</v>
      </c>
      <c r="D296" s="2" t="s">
        <v>255</v>
      </c>
      <c r="E296" s="2" t="s">
        <v>41</v>
      </c>
      <c r="F296" s="2">
        <v>1</v>
      </c>
      <c r="G296" s="40" t="s">
        <v>558</v>
      </c>
    </row>
    <row r="297" spans="1:7" x14ac:dyDescent="0.25">
      <c r="A297" s="2">
        <v>26</v>
      </c>
      <c r="B297" s="2" t="s">
        <v>243</v>
      </c>
      <c r="C297" s="2">
        <v>3201010069</v>
      </c>
      <c r="D297" s="2" t="s">
        <v>676</v>
      </c>
      <c r="E297" s="2" t="s">
        <v>41</v>
      </c>
      <c r="F297" s="2">
        <v>1</v>
      </c>
      <c r="G297" s="40" t="s">
        <v>558</v>
      </c>
    </row>
    <row r="298" spans="1:7" x14ac:dyDescent="0.25">
      <c r="A298" s="2">
        <v>27</v>
      </c>
      <c r="B298" s="2" t="s">
        <v>243</v>
      </c>
      <c r="C298" s="2">
        <v>3201010062</v>
      </c>
      <c r="D298" s="2" t="s">
        <v>294</v>
      </c>
      <c r="E298" s="2" t="s">
        <v>41</v>
      </c>
      <c r="F298" s="2">
        <v>1</v>
      </c>
      <c r="G298" s="40" t="s">
        <v>558</v>
      </c>
    </row>
    <row r="299" spans="1:7" x14ac:dyDescent="0.25">
      <c r="A299" s="2">
        <v>28</v>
      </c>
      <c r="B299" s="2" t="s">
        <v>243</v>
      </c>
      <c r="C299" s="2">
        <v>3201010003</v>
      </c>
      <c r="D299" s="2" t="s">
        <v>245</v>
      </c>
      <c r="E299" s="2" t="s">
        <v>41</v>
      </c>
      <c r="F299" s="2">
        <v>0.52</v>
      </c>
      <c r="G299" s="40" t="s">
        <v>558</v>
      </c>
    </row>
    <row r="300" spans="1:7" x14ac:dyDescent="0.25">
      <c r="A300" s="2">
        <v>29</v>
      </c>
      <c r="B300" s="2" t="s">
        <v>370</v>
      </c>
      <c r="C300" s="2" t="s">
        <v>689</v>
      </c>
      <c r="D300" s="2" t="s">
        <v>690</v>
      </c>
      <c r="E300" s="2" t="s">
        <v>41</v>
      </c>
      <c r="F300" s="2">
        <v>1</v>
      </c>
      <c r="G300" s="40" t="s">
        <v>558</v>
      </c>
    </row>
    <row r="301" spans="1:7" x14ac:dyDescent="0.25">
      <c r="A301" s="2">
        <v>30</v>
      </c>
      <c r="B301" s="2" t="s">
        <v>370</v>
      </c>
      <c r="C301" s="2" t="s">
        <v>425</v>
      </c>
      <c r="D301" s="2" t="s">
        <v>426</v>
      </c>
      <c r="E301" s="2" t="s">
        <v>126</v>
      </c>
      <c r="F301" s="2">
        <v>1</v>
      </c>
      <c r="G301" s="40" t="s">
        <v>558</v>
      </c>
    </row>
    <row r="302" spans="1:7" x14ac:dyDescent="0.25">
      <c r="A302" s="2">
        <v>31</v>
      </c>
      <c r="B302" s="2" t="s">
        <v>370</v>
      </c>
      <c r="C302" s="2" t="s">
        <v>417</v>
      </c>
      <c r="D302" s="2" t="s">
        <v>418</v>
      </c>
      <c r="E302" s="2" t="s">
        <v>41</v>
      </c>
      <c r="F302" s="2">
        <v>1</v>
      </c>
      <c r="G302" s="40" t="s">
        <v>558</v>
      </c>
    </row>
    <row r="303" spans="1:7" x14ac:dyDescent="0.25">
      <c r="A303" s="2">
        <v>32</v>
      </c>
      <c r="B303" s="2" t="s">
        <v>370</v>
      </c>
      <c r="C303" s="2" t="s">
        <v>467</v>
      </c>
      <c r="D303" s="2" t="s">
        <v>468</v>
      </c>
      <c r="E303" s="2" t="s">
        <v>41</v>
      </c>
      <c r="F303" s="2">
        <v>1</v>
      </c>
      <c r="G303" s="40" t="s">
        <v>558</v>
      </c>
    </row>
    <row r="304" spans="1:7" x14ac:dyDescent="0.25">
      <c r="A304" s="2">
        <v>33</v>
      </c>
      <c r="B304" s="2" t="s">
        <v>370</v>
      </c>
      <c r="C304" s="2" t="s">
        <v>449</v>
      </c>
      <c r="D304" s="2" t="s">
        <v>450</v>
      </c>
      <c r="E304" s="2" t="s">
        <v>126</v>
      </c>
      <c r="F304" s="2">
        <v>1</v>
      </c>
      <c r="G304" s="40" t="s">
        <v>558</v>
      </c>
    </row>
    <row r="305" spans="1:7" x14ac:dyDescent="0.25">
      <c r="A305" s="2">
        <v>34</v>
      </c>
      <c r="B305" s="2" t="s">
        <v>370</v>
      </c>
      <c r="C305" s="2" t="s">
        <v>447</v>
      </c>
      <c r="D305" s="2" t="s">
        <v>448</v>
      </c>
      <c r="E305" s="2" t="s">
        <v>41</v>
      </c>
      <c r="F305" s="2">
        <v>1</v>
      </c>
      <c r="G305" s="40" t="s">
        <v>558</v>
      </c>
    </row>
    <row r="306" spans="1:7" x14ac:dyDescent="0.25">
      <c r="A306" s="2">
        <v>35</v>
      </c>
      <c r="B306" s="2" t="s">
        <v>370</v>
      </c>
      <c r="C306" s="2" t="s">
        <v>387</v>
      </c>
      <c r="D306" s="2" t="s">
        <v>388</v>
      </c>
      <c r="E306" s="2" t="s">
        <v>41</v>
      </c>
      <c r="F306" s="2">
        <v>1</v>
      </c>
      <c r="G306" s="40" t="s">
        <v>558</v>
      </c>
    </row>
    <row r="307" spans="1:7" x14ac:dyDescent="0.25">
      <c r="A307" s="2">
        <v>36</v>
      </c>
      <c r="B307" s="2" t="s">
        <v>370</v>
      </c>
      <c r="C307" s="2" t="s">
        <v>377</v>
      </c>
      <c r="D307" s="2" t="s">
        <v>378</v>
      </c>
      <c r="E307" s="2" t="s">
        <v>41</v>
      </c>
      <c r="F307" s="2">
        <v>1</v>
      </c>
      <c r="G307" s="40" t="s">
        <v>558</v>
      </c>
    </row>
    <row r="308" spans="1:7" ht="15.75" customHeight="1" thickBot="1" x14ac:dyDescent="0.3">
      <c r="A308" s="47">
        <v>37</v>
      </c>
      <c r="B308" s="47" t="s">
        <v>370</v>
      </c>
      <c r="C308" s="47" t="s">
        <v>691</v>
      </c>
      <c r="D308" s="47" t="s">
        <v>692</v>
      </c>
      <c r="E308" s="47" t="s">
        <v>126</v>
      </c>
      <c r="F308" s="47">
        <v>1</v>
      </c>
      <c r="G308" s="48" t="s">
        <v>558</v>
      </c>
    </row>
    <row r="309" spans="1:7" x14ac:dyDescent="0.25">
      <c r="A309" s="49">
        <v>1</v>
      </c>
      <c r="B309" s="23" t="s">
        <v>16</v>
      </c>
      <c r="C309" s="23">
        <v>3101010135</v>
      </c>
      <c r="D309" s="23" t="s">
        <v>132</v>
      </c>
      <c r="E309" s="23" t="s">
        <v>41</v>
      </c>
      <c r="F309" s="23">
        <v>1</v>
      </c>
      <c r="G309" s="50" t="s">
        <v>556</v>
      </c>
    </row>
    <row r="310" spans="1:7" x14ac:dyDescent="0.25">
      <c r="A310" s="51">
        <v>2</v>
      </c>
      <c r="B310" s="2" t="s">
        <v>16</v>
      </c>
      <c r="C310" s="2">
        <v>3101010136</v>
      </c>
      <c r="D310" s="2" t="s">
        <v>133</v>
      </c>
      <c r="E310" s="2" t="s">
        <v>41</v>
      </c>
      <c r="F310" s="2">
        <v>1</v>
      </c>
      <c r="G310" s="52" t="s">
        <v>556</v>
      </c>
    </row>
    <row r="311" spans="1:7" x14ac:dyDescent="0.25">
      <c r="A311" s="51">
        <v>3</v>
      </c>
      <c r="B311" s="2" t="s">
        <v>16</v>
      </c>
      <c r="C311" s="2">
        <v>3101010077</v>
      </c>
      <c r="D311" s="2" t="s">
        <v>90</v>
      </c>
      <c r="E311" s="2" t="s">
        <v>14</v>
      </c>
      <c r="F311" s="2">
        <v>2.4E-2</v>
      </c>
      <c r="G311" s="52" t="s">
        <v>556</v>
      </c>
    </row>
    <row r="312" spans="1:7" x14ac:dyDescent="0.25">
      <c r="A312" s="51">
        <v>4</v>
      </c>
      <c r="B312" s="2" t="s">
        <v>16</v>
      </c>
      <c r="C312" s="2">
        <v>3101010075</v>
      </c>
      <c r="D312" s="2" t="s">
        <v>88</v>
      </c>
      <c r="E312" s="2" t="s">
        <v>14</v>
      </c>
      <c r="F312" s="2">
        <v>1.6E-2</v>
      </c>
      <c r="G312" s="52" t="s">
        <v>556</v>
      </c>
    </row>
    <row r="313" spans="1:7" x14ac:dyDescent="0.25">
      <c r="A313" s="51">
        <v>5</v>
      </c>
      <c r="B313" s="2" t="s">
        <v>16</v>
      </c>
      <c r="C313" s="2">
        <v>3101010109</v>
      </c>
      <c r="D313" s="2" t="s">
        <v>106</v>
      </c>
      <c r="E313" s="2" t="s">
        <v>41</v>
      </c>
      <c r="F313" s="2">
        <v>1</v>
      </c>
      <c r="G313" s="52" t="s">
        <v>556</v>
      </c>
    </row>
    <row r="314" spans="1:7" x14ac:dyDescent="0.25">
      <c r="A314" s="51">
        <v>6</v>
      </c>
      <c r="B314" s="2" t="s">
        <v>16</v>
      </c>
      <c r="C314" s="2">
        <v>3101010115</v>
      </c>
      <c r="D314" s="2" t="s">
        <v>112</v>
      </c>
      <c r="E314" s="2" t="s">
        <v>41</v>
      </c>
      <c r="F314" s="2">
        <v>1</v>
      </c>
      <c r="G314" s="52" t="s">
        <v>556</v>
      </c>
    </row>
    <row r="315" spans="1:7" x14ac:dyDescent="0.25">
      <c r="A315" s="51">
        <v>7</v>
      </c>
      <c r="B315" s="2" t="s">
        <v>16</v>
      </c>
      <c r="C315" s="2">
        <v>3101010080</v>
      </c>
      <c r="D315" s="2" t="s">
        <v>93</v>
      </c>
      <c r="E315" s="2" t="s">
        <v>41</v>
      </c>
      <c r="F315" s="2">
        <v>1</v>
      </c>
      <c r="G315" s="52" t="s">
        <v>556</v>
      </c>
    </row>
    <row r="316" spans="1:7" x14ac:dyDescent="0.25">
      <c r="A316" s="51">
        <v>8</v>
      </c>
      <c r="B316" s="2" t="s">
        <v>16</v>
      </c>
      <c r="C316" s="2">
        <v>3101010023</v>
      </c>
      <c r="D316" s="2" t="s">
        <v>38</v>
      </c>
      <c r="E316" s="2" t="s">
        <v>37</v>
      </c>
      <c r="F316" s="2">
        <v>0.16</v>
      </c>
      <c r="G316" s="52" t="s">
        <v>556</v>
      </c>
    </row>
    <row r="317" spans="1:7" x14ac:dyDescent="0.25">
      <c r="A317" s="51">
        <v>9</v>
      </c>
      <c r="B317" s="2" t="s">
        <v>16</v>
      </c>
      <c r="C317" s="2">
        <v>3101010112</v>
      </c>
      <c r="D317" s="2" t="s">
        <v>109</v>
      </c>
      <c r="E317" s="2" t="s">
        <v>37</v>
      </c>
      <c r="F317" s="2">
        <v>0.61</v>
      </c>
      <c r="G317" s="52" t="s">
        <v>556</v>
      </c>
    </row>
    <row r="318" spans="1:7" x14ac:dyDescent="0.25">
      <c r="A318" s="51">
        <v>10</v>
      </c>
      <c r="B318" s="2" t="s">
        <v>16</v>
      </c>
      <c r="C318" s="2">
        <v>3101010090</v>
      </c>
      <c r="D318" s="2" t="s">
        <v>100</v>
      </c>
      <c r="E318" s="2" t="s">
        <v>37</v>
      </c>
      <c r="F318" s="2">
        <v>0.61</v>
      </c>
      <c r="G318" s="52" t="s">
        <v>556</v>
      </c>
    </row>
    <row r="319" spans="1:7" x14ac:dyDescent="0.25">
      <c r="A319" s="51">
        <v>11</v>
      </c>
      <c r="B319" s="2" t="s">
        <v>16</v>
      </c>
      <c r="C319" s="2">
        <v>3101010038</v>
      </c>
      <c r="D319" s="2" t="s">
        <v>55</v>
      </c>
      <c r="E319" s="2" t="s">
        <v>14</v>
      </c>
      <c r="F319" s="2">
        <v>1E-4</v>
      </c>
      <c r="G319" s="52" t="s">
        <v>556</v>
      </c>
    </row>
    <row r="320" spans="1:7" x14ac:dyDescent="0.25">
      <c r="A320" s="51">
        <v>12</v>
      </c>
      <c r="B320" s="2" t="s">
        <v>16</v>
      </c>
      <c r="C320" s="2">
        <v>3101010108</v>
      </c>
      <c r="D320" s="2" t="s">
        <v>105</v>
      </c>
      <c r="E320" s="2" t="s">
        <v>43</v>
      </c>
      <c r="F320" s="2">
        <v>1E-3</v>
      </c>
      <c r="G320" s="52" t="s">
        <v>556</v>
      </c>
    </row>
    <row r="321" spans="1:7" x14ac:dyDescent="0.25">
      <c r="A321" s="51">
        <v>13</v>
      </c>
      <c r="B321" s="2" t="s">
        <v>16</v>
      </c>
      <c r="C321" s="2">
        <v>3101010054</v>
      </c>
      <c r="D321" s="2" t="s">
        <v>69</v>
      </c>
      <c r="E321" s="2" t="s">
        <v>66</v>
      </c>
      <c r="F321" s="2">
        <v>5.0000000000000001E-4</v>
      </c>
      <c r="G321" s="52" t="s">
        <v>556</v>
      </c>
    </row>
    <row r="322" spans="1:7" x14ac:dyDescent="0.25">
      <c r="A322" s="51">
        <v>14</v>
      </c>
      <c r="B322" s="2" t="s">
        <v>16</v>
      </c>
      <c r="C322" s="2">
        <v>3101010084</v>
      </c>
      <c r="D322" s="2" t="s">
        <v>96</v>
      </c>
      <c r="E322" s="2" t="s">
        <v>41</v>
      </c>
      <c r="F322" s="2">
        <v>1</v>
      </c>
      <c r="G322" s="52" t="s">
        <v>556</v>
      </c>
    </row>
    <row r="323" spans="1:7" x14ac:dyDescent="0.25">
      <c r="A323" s="51">
        <v>15</v>
      </c>
      <c r="B323" s="2" t="s">
        <v>16</v>
      </c>
      <c r="C323" s="2">
        <v>3101010065</v>
      </c>
      <c r="D323" s="2" t="s">
        <v>78</v>
      </c>
      <c r="E323" s="2" t="s">
        <v>14</v>
      </c>
      <c r="F323" s="2">
        <v>2.0000000000000001E-4</v>
      </c>
      <c r="G323" s="52" t="s">
        <v>556</v>
      </c>
    </row>
    <row r="324" spans="1:7" x14ac:dyDescent="0.25">
      <c r="A324" s="51">
        <v>16</v>
      </c>
      <c r="B324" s="2" t="s">
        <v>16</v>
      </c>
      <c r="C324" s="2">
        <v>3101010081</v>
      </c>
      <c r="D324" s="2" t="s">
        <v>94</v>
      </c>
      <c r="E324" s="2" t="s">
        <v>41</v>
      </c>
      <c r="F324" s="2">
        <v>3</v>
      </c>
      <c r="G324" s="52" t="s">
        <v>556</v>
      </c>
    </row>
    <row r="325" spans="1:7" x14ac:dyDescent="0.25">
      <c r="A325" s="51">
        <v>17</v>
      </c>
      <c r="B325" s="2" t="s">
        <v>16</v>
      </c>
      <c r="C325" s="2">
        <v>3101010074</v>
      </c>
      <c r="D325" s="2" t="s">
        <v>87</v>
      </c>
      <c r="E325" s="2" t="s">
        <v>14</v>
      </c>
      <c r="F325" s="2">
        <v>2E-3</v>
      </c>
      <c r="G325" s="52" t="s">
        <v>556</v>
      </c>
    </row>
    <row r="326" spans="1:7" x14ac:dyDescent="0.25">
      <c r="A326" s="51">
        <v>18</v>
      </c>
      <c r="B326" s="2" t="s">
        <v>16</v>
      </c>
      <c r="C326" s="2">
        <v>3101010061</v>
      </c>
      <c r="D326" s="2" t="s">
        <v>75</v>
      </c>
      <c r="E326" s="2" t="s">
        <v>41</v>
      </c>
      <c r="F326" s="2">
        <v>1</v>
      </c>
      <c r="G326" s="52" t="s">
        <v>556</v>
      </c>
    </row>
    <row r="327" spans="1:7" x14ac:dyDescent="0.25">
      <c r="A327" s="51">
        <v>19</v>
      </c>
      <c r="B327" s="2" t="s">
        <v>16</v>
      </c>
      <c r="C327" s="2">
        <v>3101010094</v>
      </c>
      <c r="D327" s="2" t="s">
        <v>103</v>
      </c>
      <c r="E327" s="2" t="s">
        <v>14</v>
      </c>
      <c r="F327" s="2">
        <v>5.0000000000000001E-4</v>
      </c>
      <c r="G327" s="52" t="s">
        <v>556</v>
      </c>
    </row>
    <row r="328" spans="1:7" x14ac:dyDescent="0.25">
      <c r="A328" s="51">
        <v>20</v>
      </c>
      <c r="B328" s="2" t="s">
        <v>16</v>
      </c>
      <c r="C328" s="2">
        <v>3101010068</v>
      </c>
      <c r="D328" s="2" t="s">
        <v>81</v>
      </c>
      <c r="E328" s="2" t="s">
        <v>14</v>
      </c>
      <c r="F328" s="2">
        <v>4.0000000000000001E-3</v>
      </c>
      <c r="G328" s="52" t="s">
        <v>556</v>
      </c>
    </row>
    <row r="329" spans="1:7" x14ac:dyDescent="0.25">
      <c r="A329" s="51">
        <v>21</v>
      </c>
      <c r="B329" s="2" t="s">
        <v>243</v>
      </c>
      <c r="C329" s="2">
        <v>3201010023</v>
      </c>
      <c r="D329" s="2" t="s">
        <v>264</v>
      </c>
      <c r="E329" s="2" t="s">
        <v>41</v>
      </c>
      <c r="F329" s="2">
        <v>1</v>
      </c>
      <c r="G329" s="52" t="s">
        <v>556</v>
      </c>
    </row>
    <row r="330" spans="1:7" x14ac:dyDescent="0.25">
      <c r="A330" s="51">
        <v>22</v>
      </c>
      <c r="B330" s="2" t="s">
        <v>243</v>
      </c>
      <c r="C330" s="2">
        <v>3201010037</v>
      </c>
      <c r="D330" s="2" t="s">
        <v>669</v>
      </c>
      <c r="E330" s="2" t="s">
        <v>14</v>
      </c>
      <c r="F330" s="2">
        <v>0.01</v>
      </c>
      <c r="G330" s="52" t="s">
        <v>556</v>
      </c>
    </row>
    <row r="331" spans="1:7" x14ac:dyDescent="0.25">
      <c r="A331" s="51">
        <v>23</v>
      </c>
      <c r="B331" s="2" t="s">
        <v>243</v>
      </c>
      <c r="C331" s="2">
        <v>3201010051</v>
      </c>
      <c r="D331" s="2" t="s">
        <v>284</v>
      </c>
      <c r="E331" s="2" t="s">
        <v>41</v>
      </c>
      <c r="F331" s="2">
        <v>1</v>
      </c>
      <c r="G331" s="52" t="s">
        <v>556</v>
      </c>
    </row>
    <row r="332" spans="1:7" x14ac:dyDescent="0.25">
      <c r="A332" s="51">
        <v>24</v>
      </c>
      <c r="B332" s="2" t="s">
        <v>243</v>
      </c>
      <c r="C332" s="2">
        <v>3201010046</v>
      </c>
      <c r="D332" s="2" t="s">
        <v>283</v>
      </c>
      <c r="E332" s="2" t="s">
        <v>37</v>
      </c>
      <c r="F332" s="2">
        <v>0.8</v>
      </c>
      <c r="G332" s="52" t="s">
        <v>556</v>
      </c>
    </row>
    <row r="333" spans="1:7" x14ac:dyDescent="0.25">
      <c r="A333" s="51">
        <v>25</v>
      </c>
      <c r="B333" s="2" t="s">
        <v>243</v>
      </c>
      <c r="C333" s="2">
        <v>3201010019</v>
      </c>
      <c r="D333" s="2" t="s">
        <v>260</v>
      </c>
      <c r="E333" s="2" t="s">
        <v>41</v>
      </c>
      <c r="F333" s="2">
        <v>1</v>
      </c>
      <c r="G333" s="52" t="s">
        <v>556</v>
      </c>
    </row>
    <row r="334" spans="1:7" x14ac:dyDescent="0.25">
      <c r="A334" s="51">
        <v>26</v>
      </c>
      <c r="B334" s="2" t="s">
        <v>243</v>
      </c>
      <c r="C334" s="2">
        <v>3201010014</v>
      </c>
      <c r="D334" s="2" t="s">
        <v>255</v>
      </c>
      <c r="E334" s="2" t="s">
        <v>41</v>
      </c>
      <c r="F334" s="2">
        <v>1</v>
      </c>
      <c r="G334" s="52" t="s">
        <v>556</v>
      </c>
    </row>
    <row r="335" spans="1:7" x14ac:dyDescent="0.25">
      <c r="A335" s="51">
        <v>27</v>
      </c>
      <c r="B335" s="2" t="s">
        <v>243</v>
      </c>
      <c r="C335" s="2">
        <v>3201010064</v>
      </c>
      <c r="D335" s="2" t="s">
        <v>296</v>
      </c>
      <c r="E335" s="2" t="s">
        <v>41</v>
      </c>
      <c r="F335" s="2">
        <v>1</v>
      </c>
      <c r="G335" s="52" t="s">
        <v>556</v>
      </c>
    </row>
    <row r="336" spans="1:7" x14ac:dyDescent="0.25">
      <c r="A336" s="51">
        <v>28</v>
      </c>
      <c r="B336" s="2" t="s">
        <v>243</v>
      </c>
      <c r="C336" s="2">
        <v>3201010062</v>
      </c>
      <c r="D336" s="2" t="s">
        <v>294</v>
      </c>
      <c r="E336" s="2" t="s">
        <v>41</v>
      </c>
      <c r="F336" s="2">
        <v>1</v>
      </c>
      <c r="G336" s="52" t="s">
        <v>556</v>
      </c>
    </row>
    <row r="337" spans="1:7" x14ac:dyDescent="0.25">
      <c r="A337" s="51">
        <v>29</v>
      </c>
      <c r="B337" s="2" t="s">
        <v>243</v>
      </c>
      <c r="C337" s="2">
        <v>3201010003</v>
      </c>
      <c r="D337" s="2" t="s">
        <v>245</v>
      </c>
      <c r="E337" s="2" t="s">
        <v>41</v>
      </c>
      <c r="F337" s="2">
        <v>0.52</v>
      </c>
      <c r="G337" s="52" t="s">
        <v>556</v>
      </c>
    </row>
    <row r="338" spans="1:7" x14ac:dyDescent="0.25">
      <c r="A338" s="51">
        <v>30</v>
      </c>
      <c r="B338" s="2" t="s">
        <v>370</v>
      </c>
      <c r="C338" s="2" t="s">
        <v>401</v>
      </c>
      <c r="D338" s="2" t="s">
        <v>402</v>
      </c>
      <c r="E338" s="2" t="s">
        <v>41</v>
      </c>
      <c r="F338" s="2">
        <v>1</v>
      </c>
      <c r="G338" s="52" t="s">
        <v>556</v>
      </c>
    </row>
    <row r="339" spans="1:7" x14ac:dyDescent="0.25">
      <c r="A339" s="51">
        <v>31</v>
      </c>
      <c r="B339" s="2" t="s">
        <v>370</v>
      </c>
      <c r="C339" s="2" t="s">
        <v>425</v>
      </c>
      <c r="D339" s="2" t="s">
        <v>426</v>
      </c>
      <c r="E339" s="2" t="s">
        <v>126</v>
      </c>
      <c r="F339" s="2">
        <v>1</v>
      </c>
      <c r="G339" s="52" t="s">
        <v>556</v>
      </c>
    </row>
    <row r="340" spans="1:7" x14ac:dyDescent="0.25">
      <c r="A340" s="51">
        <v>32</v>
      </c>
      <c r="B340" s="2" t="s">
        <v>370</v>
      </c>
      <c r="C340" s="2" t="s">
        <v>417</v>
      </c>
      <c r="D340" s="2" t="s">
        <v>418</v>
      </c>
      <c r="E340" s="2" t="s">
        <v>41</v>
      </c>
      <c r="F340" s="2">
        <v>1</v>
      </c>
      <c r="G340" s="52" t="s">
        <v>556</v>
      </c>
    </row>
    <row r="341" spans="1:7" x14ac:dyDescent="0.25">
      <c r="A341" s="51">
        <v>33</v>
      </c>
      <c r="B341" s="2" t="s">
        <v>370</v>
      </c>
      <c r="C341" s="2" t="s">
        <v>409</v>
      </c>
      <c r="D341" s="2" t="s">
        <v>410</v>
      </c>
      <c r="E341" s="2" t="s">
        <v>41</v>
      </c>
      <c r="F341" s="2">
        <v>1</v>
      </c>
      <c r="G341" s="52" t="s">
        <v>556</v>
      </c>
    </row>
    <row r="342" spans="1:7" x14ac:dyDescent="0.25">
      <c r="A342" s="51">
        <v>34</v>
      </c>
      <c r="B342" s="2" t="s">
        <v>370</v>
      </c>
      <c r="C342" s="2" t="s">
        <v>449</v>
      </c>
      <c r="D342" s="2" t="s">
        <v>450</v>
      </c>
      <c r="E342" s="2" t="s">
        <v>126</v>
      </c>
      <c r="F342" s="2">
        <v>1</v>
      </c>
      <c r="G342" s="52" t="s">
        <v>556</v>
      </c>
    </row>
    <row r="343" spans="1:7" x14ac:dyDescent="0.25">
      <c r="A343" s="51">
        <v>35</v>
      </c>
      <c r="B343" s="2" t="s">
        <v>370</v>
      </c>
      <c r="C343" s="2" t="s">
        <v>447</v>
      </c>
      <c r="D343" s="2" t="s">
        <v>448</v>
      </c>
      <c r="E343" s="2" t="s">
        <v>41</v>
      </c>
      <c r="F343" s="2">
        <v>1</v>
      </c>
      <c r="G343" s="52" t="s">
        <v>556</v>
      </c>
    </row>
    <row r="344" spans="1:7" x14ac:dyDescent="0.25">
      <c r="A344" s="51">
        <v>36</v>
      </c>
      <c r="B344" s="2" t="s">
        <v>370</v>
      </c>
      <c r="C344" s="2" t="s">
        <v>453</v>
      </c>
      <c r="D344" s="2" t="s">
        <v>454</v>
      </c>
      <c r="E344" s="2" t="s">
        <v>41</v>
      </c>
      <c r="F344" s="2">
        <v>1</v>
      </c>
      <c r="G344" s="52" t="s">
        <v>556</v>
      </c>
    </row>
    <row r="345" spans="1:7" x14ac:dyDescent="0.25">
      <c r="A345" s="51">
        <v>37</v>
      </c>
      <c r="B345" s="2" t="s">
        <v>370</v>
      </c>
      <c r="C345" s="2" t="s">
        <v>451</v>
      </c>
      <c r="D345" s="2" t="s">
        <v>452</v>
      </c>
      <c r="E345" s="2" t="s">
        <v>41</v>
      </c>
      <c r="F345" s="2">
        <v>1</v>
      </c>
      <c r="G345" s="52" t="s">
        <v>556</v>
      </c>
    </row>
    <row r="346" spans="1:7" ht="15.75" customHeight="1" thickBot="1" x14ac:dyDescent="0.3">
      <c r="A346" s="53">
        <v>38</v>
      </c>
      <c r="B346" s="24" t="s">
        <v>370</v>
      </c>
      <c r="C346" s="24" t="s">
        <v>457</v>
      </c>
      <c r="D346" s="24" t="s">
        <v>458</v>
      </c>
      <c r="E346" s="24" t="s">
        <v>126</v>
      </c>
      <c r="F346" s="24">
        <v>1</v>
      </c>
      <c r="G346" s="54" t="s">
        <v>556</v>
      </c>
    </row>
    <row r="347" spans="1:7" ht="15.75" customHeight="1" thickBot="1" x14ac:dyDescent="0.3">
      <c r="A347" s="60">
        <v>1</v>
      </c>
      <c r="B347" s="2" t="s">
        <v>16</v>
      </c>
      <c r="C347" s="2">
        <v>3101010135</v>
      </c>
      <c r="D347" s="2" t="str">
        <f>_xlfn.XLOOKUP(C347,'[1]RM List'!C:C,'[1]RM List'!D:D, "XXXXXXXXXXXXXXXXXXXX")</f>
        <v>Ball Bearing 6202 -(CnU)</v>
      </c>
      <c r="E347" s="60" t="str">
        <f>_xlfn.XLOOKUP(C347,'[1]RM List'!C:C,'[1]RM List'!E:E, "XXXXXXXXXXXXXXXXXXXX")</f>
        <v>Pcs</v>
      </c>
      <c r="F347" s="60">
        <v>1</v>
      </c>
      <c r="G347" s="54" t="s">
        <v>554</v>
      </c>
    </row>
    <row r="348" spans="1:7" ht="15.75" customHeight="1" thickBot="1" x14ac:dyDescent="0.3">
      <c r="A348" s="60">
        <v>2</v>
      </c>
      <c r="B348" s="2" t="s">
        <v>16</v>
      </c>
      <c r="C348" s="2">
        <v>3101010136</v>
      </c>
      <c r="D348" s="2" t="str">
        <f>_xlfn.XLOOKUP(C348,'[1]RM List'!C:C,'[1]RM List'!D:D, "XXXXXXXXXXXXXXXXXXXX")</f>
        <v>Ball Bearing 6203 (CnU)</v>
      </c>
      <c r="E348" s="60" t="str">
        <f>_xlfn.XLOOKUP(C348,'[1]RM List'!C:C,'[1]RM List'!E:E, "XXXXXXXXXXXXXXXXXXXX")</f>
        <v>Pcs</v>
      </c>
      <c r="F348" s="60">
        <v>1</v>
      </c>
      <c r="G348" s="54" t="s">
        <v>554</v>
      </c>
    </row>
    <row r="349" spans="1:7" ht="15.75" customHeight="1" thickBot="1" x14ac:dyDescent="0.3">
      <c r="A349" s="60">
        <v>3</v>
      </c>
      <c r="B349" s="2" t="s">
        <v>16</v>
      </c>
      <c r="C349" s="2">
        <v>3101010077</v>
      </c>
      <c r="D349" s="2" t="str">
        <f>_xlfn.XLOOKUP(C349,'[1]RM List'!C:C,'[1]RM List'!D:D, "XXXXXXXXXXXXXXXXXXXX")</f>
        <v>Blade/Body Screw 12.7x6mm,H=10mm (220/kg)</v>
      </c>
      <c r="E349" s="60" t="str">
        <f>_xlfn.XLOOKUP(C349,'[1]RM List'!C:C,'[1]RM List'!E:E, "XXXXXXXXXXXXXXXXXXXX")</f>
        <v>KG</v>
      </c>
      <c r="F349" s="60">
        <v>3.5999999999999997E-2</v>
      </c>
      <c r="G349" s="54" t="s">
        <v>554</v>
      </c>
    </row>
    <row r="350" spans="1:7" ht="15.75" customHeight="1" thickBot="1" x14ac:dyDescent="0.3">
      <c r="A350" s="60">
        <v>4</v>
      </c>
      <c r="B350" s="2" t="s">
        <v>16</v>
      </c>
      <c r="C350" s="2">
        <v>3101010115</v>
      </c>
      <c r="D350" s="2" t="str">
        <f>_xlfn.XLOOKUP(C350,'[1]RM List'!C:C,'[1]RM List'!D:D, "XXXXXXXXXXXXXXXXXXXX")</f>
        <v>Capacitor 2.5 uF (Thailand)</v>
      </c>
      <c r="E350" s="60" t="str">
        <f>_xlfn.XLOOKUP(C350,'[1]RM List'!C:C,'[1]RM List'!E:E, "XXXXXXXXXXXXXXXXXXXX")</f>
        <v>Pcs</v>
      </c>
      <c r="F350" s="60">
        <v>1</v>
      </c>
      <c r="G350" s="54" t="s">
        <v>554</v>
      </c>
    </row>
    <row r="351" spans="1:7" ht="15.75" customHeight="1" thickBot="1" x14ac:dyDescent="0.3">
      <c r="A351" s="60">
        <v>5</v>
      </c>
      <c r="B351" s="2" t="s">
        <v>16</v>
      </c>
      <c r="C351" s="2">
        <v>3101010080</v>
      </c>
      <c r="D351" s="2" t="str">
        <f>_xlfn.XLOOKUP(C351,'[1]RM List'!C:C,'[1]RM List'!D:D, "XXXXXXXXXXXXXXXXXXXX")</f>
        <v>Capacitor Cover</v>
      </c>
      <c r="E351" s="60" t="str">
        <f>_xlfn.XLOOKUP(C351,'[1]RM List'!C:C,'[1]RM List'!E:E, "XXXXXXXXXXXXXXXXXXXX")</f>
        <v>Pcs</v>
      </c>
      <c r="F351" s="60">
        <v>1</v>
      </c>
      <c r="G351" s="54" t="s">
        <v>554</v>
      </c>
    </row>
    <row r="352" spans="1:7" ht="15.75" customHeight="1" thickBot="1" x14ac:dyDescent="0.3">
      <c r="A352" s="60">
        <v>6</v>
      </c>
      <c r="B352" s="2" t="s">
        <v>16</v>
      </c>
      <c r="C352" s="2">
        <v>3101010023</v>
      </c>
      <c r="D352" s="2" t="str">
        <f>_xlfn.XLOOKUP(C352,'[1]RM List'!C:C,'[1]RM List'!D:D, "XXXXXXXXXXXXXXXXXXXX")</f>
        <v>FAN Ampere Tube-04 no</v>
      </c>
      <c r="E352" s="60" t="str">
        <f>_xlfn.XLOOKUP(C352,'[1]RM List'!C:C,'[1]RM List'!E:E, "XXXXXXXXXXXXXXXXXXXX")</f>
        <v>Mtr</v>
      </c>
      <c r="F352" s="60">
        <v>0.16</v>
      </c>
      <c r="G352" s="54" t="s">
        <v>554</v>
      </c>
    </row>
    <row r="353" spans="1:7" ht="15.75" customHeight="1" thickBot="1" x14ac:dyDescent="0.3">
      <c r="A353" s="60">
        <v>7</v>
      </c>
      <c r="B353" s="2" t="s">
        <v>16</v>
      </c>
      <c r="C353" s="2">
        <v>3101010112</v>
      </c>
      <c r="D353" s="2" t="str">
        <f>_xlfn.XLOOKUP(C353,'[1]RM List'!C:C,'[1]RM List'!D:D, "XXXXXXXXXXXXXXXXXXXX")</f>
        <v>Flaxible Cable 14x0.0076 - Black</v>
      </c>
      <c r="E353" s="60" t="str">
        <f>_xlfn.XLOOKUP(C353,'[1]RM List'!C:C,'[1]RM List'!E:E, "XXXXXXXXXXXXXXXXXXXX")</f>
        <v>Mtr</v>
      </c>
      <c r="F353" s="60">
        <v>0.61</v>
      </c>
      <c r="G353" s="54" t="s">
        <v>554</v>
      </c>
    </row>
    <row r="354" spans="1:7" ht="15.75" customHeight="1" thickBot="1" x14ac:dyDescent="0.3">
      <c r="A354" s="60">
        <v>8</v>
      </c>
      <c r="B354" s="2" t="s">
        <v>16</v>
      </c>
      <c r="C354" s="2">
        <v>3101010090</v>
      </c>
      <c r="D354" s="2" t="str">
        <f>_xlfn.XLOOKUP(C354,'[1]RM List'!C:C,'[1]RM List'!D:D, "XXXXXXXXXXXXXXXXXXXX")</f>
        <v>Flaxible Cable 14x0.0076 - Red</v>
      </c>
      <c r="E354" s="60" t="str">
        <f>_xlfn.XLOOKUP(C354,'[1]RM List'!C:C,'[1]RM List'!E:E, "XXXXXXXXXXXXXXXXXXXX")</f>
        <v>Mtr</v>
      </c>
      <c r="F354" s="60">
        <v>0.61</v>
      </c>
      <c r="G354" s="54" t="s">
        <v>554</v>
      </c>
    </row>
    <row r="355" spans="1:7" ht="15.75" customHeight="1" thickBot="1" x14ac:dyDescent="0.3">
      <c r="A355" s="60">
        <v>9</v>
      </c>
      <c r="B355" s="2" t="s">
        <v>16</v>
      </c>
      <c r="C355" s="2">
        <v>3101010038</v>
      </c>
      <c r="D355" s="2" t="str">
        <f>_xlfn.XLOOKUP(C355,'[1]RM List'!C:C,'[1]RM List'!D:D, "XXXXXXXXXXXXXXXXXXXX")</f>
        <v>Golden Powder</v>
      </c>
      <c r="E355" s="60" t="str">
        <f>_xlfn.XLOOKUP(C355,'[1]RM List'!C:C,'[1]RM List'!E:E, "XXXXXXXXXXXXXXXXXXXX")</f>
        <v>KG</v>
      </c>
      <c r="F355" s="60">
        <v>1E-4</v>
      </c>
      <c r="G355" s="54" t="s">
        <v>554</v>
      </c>
    </row>
    <row r="356" spans="1:7" ht="15.75" customHeight="1" thickBot="1" x14ac:dyDescent="0.3">
      <c r="A356" s="60">
        <v>10</v>
      </c>
      <c r="B356" s="2" t="s">
        <v>16</v>
      </c>
      <c r="C356" s="2">
        <v>3101010108</v>
      </c>
      <c r="D356" s="2" t="str">
        <f>_xlfn.XLOOKUP(C356,'[1]RM List'!C:C,'[1]RM List'!D:D, "XXXXXXXXXXXXXXXXXXXX")</f>
        <v>NC / ABC Thinner</v>
      </c>
      <c r="E356" s="60" t="str">
        <f>_xlfn.XLOOKUP(C356,'[1]RM List'!C:C,'[1]RM List'!E:E, "XXXXXXXXXXXXXXXXXXXX")</f>
        <v>Ltr</v>
      </c>
      <c r="F356" s="60">
        <v>1E-3</v>
      </c>
      <c r="G356" s="54" t="s">
        <v>554</v>
      </c>
    </row>
    <row r="357" spans="1:7" ht="15.75" customHeight="1" thickBot="1" x14ac:dyDescent="0.3">
      <c r="A357" s="60">
        <v>11</v>
      </c>
      <c r="B357" s="2" t="s">
        <v>16</v>
      </c>
      <c r="C357" s="2">
        <v>3101010054</v>
      </c>
      <c r="D357" s="2" t="str">
        <f>_xlfn.XLOOKUP(C357,'[1]RM List'!C:C,'[1]RM List'!D:D, "XXXXXXXXXXXXXXXXXXXX")</f>
        <v>Paint Clear</v>
      </c>
      <c r="E357" s="60" t="str">
        <f>_xlfn.XLOOKUP(C357,'[1]RM List'!C:C,'[1]RM List'!E:E, "XXXXXXXXXXXXXXXXXXXX")</f>
        <v>Ltr.</v>
      </c>
      <c r="F357" s="60">
        <v>5.0000000000000001E-4</v>
      </c>
      <c r="G357" s="54" t="s">
        <v>554</v>
      </c>
    </row>
    <row r="358" spans="1:7" ht="15.75" customHeight="1" thickBot="1" x14ac:dyDescent="0.3">
      <c r="A358" s="60">
        <v>12</v>
      </c>
      <c r="B358" s="2" t="s">
        <v>16</v>
      </c>
      <c r="C358" s="2">
        <v>3101010084</v>
      </c>
      <c r="D358" s="2" t="str">
        <f>_xlfn.XLOOKUP(C358,'[1]RM List'!C:C,'[1]RM List'!D:D, "XXXXXXXXXXXXXXXXXXXX")</f>
        <v>Plastic XL Cap</v>
      </c>
      <c r="E358" s="60" t="str">
        <f>_xlfn.XLOOKUP(C358,'[1]RM List'!C:C,'[1]RM List'!E:E, "XXXXXXXXXXXXXXXXXXXX")</f>
        <v>Pcs</v>
      </c>
      <c r="F358" s="60">
        <v>1</v>
      </c>
      <c r="G358" s="54" t="s">
        <v>554</v>
      </c>
    </row>
    <row r="359" spans="1:7" ht="15.75" customHeight="1" thickBot="1" x14ac:dyDescent="0.3">
      <c r="A359" s="60">
        <v>13</v>
      </c>
      <c r="B359" s="2" t="s">
        <v>16</v>
      </c>
      <c r="C359" s="2">
        <v>3101010065</v>
      </c>
      <c r="D359" s="2" t="str">
        <f>_xlfn.XLOOKUP(C359,'[1]RM List'!C:C,'[1]RM List'!D:D, "XXXXXXXXXXXXXXXXXXXX")</f>
        <v>Rubber Bend (5000/kg)</v>
      </c>
      <c r="E359" s="60" t="str">
        <f>_xlfn.XLOOKUP(C359,'[1]RM List'!C:C,'[1]RM List'!E:E, "XXXXXXXXXXXXXXXXXXXX")</f>
        <v>KG</v>
      </c>
      <c r="F359" s="60">
        <v>1.8000000000000001E-4</v>
      </c>
      <c r="G359" s="54" t="s">
        <v>554</v>
      </c>
    </row>
    <row r="360" spans="1:7" ht="15.75" customHeight="1" thickBot="1" x14ac:dyDescent="0.3">
      <c r="A360" s="60">
        <v>14</v>
      </c>
      <c r="B360" s="2" t="s">
        <v>16</v>
      </c>
      <c r="C360" s="2">
        <v>3101010081</v>
      </c>
      <c r="D360" s="2" t="str">
        <f>_xlfn.XLOOKUP(C360,'[1]RM List'!C:C,'[1]RM List'!D:D, "XXXXXXXXXXXXXXXXXXXX")</f>
        <v>Rubber Gasket (56`` 48``)</v>
      </c>
      <c r="E360" s="60" t="str">
        <f>_xlfn.XLOOKUP(C360,'[1]RM List'!C:C,'[1]RM List'!E:E, "XXXXXXXXXXXXXXXXXXXX")</f>
        <v>Pcs</v>
      </c>
      <c r="F360" s="60">
        <v>3</v>
      </c>
      <c r="G360" s="54" t="s">
        <v>554</v>
      </c>
    </row>
    <row r="361" spans="1:7" ht="15.75" customHeight="1" thickBot="1" x14ac:dyDescent="0.3">
      <c r="A361" s="60">
        <v>15</v>
      </c>
      <c r="B361" s="2" t="s">
        <v>16</v>
      </c>
      <c r="C361" s="2">
        <v>3101010074</v>
      </c>
      <c r="D361" s="2" t="str">
        <f>_xlfn.XLOOKUP(C361,'[1]RM List'!C:C,'[1]RM List'!D:D, "XXXXXXXXXXXXXXXXXXXX")</f>
        <v>Shaft/XL /Safity lock Screw 3/16x3/8```` (400/kg)</v>
      </c>
      <c r="E361" s="60" t="str">
        <f>_xlfn.XLOOKUP(C361,'[1]RM List'!C:C,'[1]RM List'!E:E, "XXXXXXXXXXXXXXXXXXXX")</f>
        <v>KG</v>
      </c>
      <c r="F361" s="60">
        <v>2E-3</v>
      </c>
      <c r="G361" s="54" t="s">
        <v>554</v>
      </c>
    </row>
    <row r="362" spans="1:7" ht="15.75" customHeight="1" thickBot="1" x14ac:dyDescent="0.3">
      <c r="A362" s="60">
        <v>16</v>
      </c>
      <c r="B362" s="2" t="s">
        <v>16</v>
      </c>
      <c r="C362" s="2">
        <v>3101010056</v>
      </c>
      <c r="D362" s="2" t="str">
        <f>_xlfn.XLOOKUP(C362,'[1]RM List'!C:C,'[1]RM List'!D:D, "XXXXXXXXXXXXXXXXXXXX")</f>
        <v>Show Cap-Plastic</v>
      </c>
      <c r="E362" s="60" t="str">
        <f>_xlfn.XLOOKUP(C362,'[1]RM List'!C:C,'[1]RM List'!E:E, "XXXXXXXXXXXXXXXXXXXX")</f>
        <v>Pcs</v>
      </c>
      <c r="F362" s="60">
        <v>1</v>
      </c>
      <c r="G362" s="54" t="s">
        <v>554</v>
      </c>
    </row>
    <row r="363" spans="1:7" ht="15.75" customHeight="1" thickBot="1" x14ac:dyDescent="0.3">
      <c r="A363" s="60">
        <v>17</v>
      </c>
      <c r="B363" s="2" t="s">
        <v>16</v>
      </c>
      <c r="C363" s="2">
        <v>3101010061</v>
      </c>
      <c r="D363" s="2" t="str">
        <f>_xlfn.XLOOKUP(C363,'[1]RM List'!C:C,'[1]RM List'!D:D, "XXXXXXXXXXXXXXXXXXXX")</f>
        <v>Silika Gel</v>
      </c>
      <c r="E363" s="60" t="str">
        <f>_xlfn.XLOOKUP(C363,'[1]RM List'!C:C,'[1]RM List'!E:E, "XXXXXXXXXXXXXXXXXXXX")</f>
        <v>Pcs</v>
      </c>
      <c r="F363" s="60">
        <v>1</v>
      </c>
      <c r="G363" s="54" t="s">
        <v>554</v>
      </c>
    </row>
    <row r="364" spans="1:7" ht="15.75" customHeight="1" thickBot="1" x14ac:dyDescent="0.3">
      <c r="A364" s="60">
        <v>18</v>
      </c>
      <c r="B364" s="2" t="s">
        <v>16</v>
      </c>
      <c r="C364" s="2">
        <v>3101010094</v>
      </c>
      <c r="D364" s="2" t="str">
        <f>_xlfn.XLOOKUP(C364,'[1]RM List'!C:C,'[1]RM List'!D:D, "XXXXXXXXXXXXXXXXXXXX")</f>
        <v>Soldering Wire</v>
      </c>
      <c r="E364" s="60" t="str">
        <f>_xlfn.XLOOKUP(C364,'[1]RM List'!C:C,'[1]RM List'!E:E, "XXXXXXXXXXXXXXXXXXXX")</f>
        <v>KG</v>
      </c>
      <c r="F364" s="60">
        <v>5.0000000000000001E-4</v>
      </c>
      <c r="G364" s="54" t="s">
        <v>554</v>
      </c>
    </row>
    <row r="365" spans="1:7" ht="15.75" customHeight="1" thickBot="1" x14ac:dyDescent="0.3">
      <c r="A365" s="60">
        <v>19</v>
      </c>
      <c r="B365" s="2" t="s">
        <v>16</v>
      </c>
      <c r="C365" s="2">
        <v>3101010068</v>
      </c>
      <c r="D365" s="2" t="str">
        <f>_xlfn.XLOOKUP(C365,'[1]RM List'!C:C,'[1]RM List'!D:D, "XXXXXXXXXXXXXXXXXXXX")</f>
        <v>Spiring Washer 6mm 1400/kg)</v>
      </c>
      <c r="E365" s="60" t="str">
        <f>_xlfn.XLOOKUP(C365,'[1]RM List'!C:C,'[1]RM List'!E:E, "XXXXXXXXXXXXXXXXXXXX")</f>
        <v>KG</v>
      </c>
      <c r="F365" s="60">
        <v>4.0000000000000001E-3</v>
      </c>
      <c r="G365" s="54" t="s">
        <v>554</v>
      </c>
    </row>
    <row r="366" spans="1:7" ht="15.75" customHeight="1" thickBot="1" x14ac:dyDescent="0.3">
      <c r="A366" s="60">
        <v>20</v>
      </c>
      <c r="B366" s="2" t="s">
        <v>243</v>
      </c>
      <c r="C366" s="2">
        <v>3201010022</v>
      </c>
      <c r="D366" s="2" t="str">
        <f>_xlfn.XLOOKUP(C366,'[1]RM List'!C:C,'[1]RM List'!D:D, "XXXXXXXXXXXXXXXXXXXX")</f>
        <v>Body Carton -Premium (5601)-263x264x213mm</v>
      </c>
      <c r="E366" s="60" t="str">
        <f>_xlfn.XLOOKUP(C366,'[1]RM List'!C:C,'[1]RM List'!E:E, "XXXXXXXXXXXXXXXXXXXX")</f>
        <v>Pcs</v>
      </c>
      <c r="F366" s="60">
        <v>1</v>
      </c>
      <c r="G366" s="54" t="s">
        <v>554</v>
      </c>
    </row>
    <row r="367" spans="1:7" ht="15.75" customHeight="1" thickBot="1" x14ac:dyDescent="0.3">
      <c r="A367" s="60">
        <v>21</v>
      </c>
      <c r="B367" s="2" t="s">
        <v>243</v>
      </c>
      <c r="C367" s="2">
        <v>3201010037</v>
      </c>
      <c r="D367" s="2" t="str">
        <f>_xlfn.XLOOKUP(C367,'[1]RM List'!C:C,'[1]RM List'!D:D, "XXXXXXXXXXXXXXXXXXXX")</f>
        <v>Body Poly 56``/48``-445x380mm (105/kg)-(Std.W.-0.004987 kg)</v>
      </c>
      <c r="E367" s="60" t="str">
        <f>_xlfn.XLOOKUP(C367,'[1]RM List'!C:C,'[1]RM List'!E:E, "XXXXXXXXXXXXXXXXXXXX")</f>
        <v>KG</v>
      </c>
      <c r="F367" s="60">
        <v>0.01</v>
      </c>
      <c r="G367" s="54" t="s">
        <v>554</v>
      </c>
    </row>
    <row r="368" spans="1:7" ht="15.75" customHeight="1" thickBot="1" x14ac:dyDescent="0.3">
      <c r="A368" s="60">
        <v>22</v>
      </c>
      <c r="B368" s="2" t="s">
        <v>243</v>
      </c>
      <c r="C368" s="2">
        <v>3201010004</v>
      </c>
      <c r="D368" s="2" t="str">
        <f>_xlfn.XLOOKUP(C368,'[1]RM List'!C:C,'[1]RM List'!D:D, "XXXXXXXXXXXXXXXXXXXX")</f>
        <v>Body Sticker-5601</v>
      </c>
      <c r="E368" s="60" t="str">
        <f>_xlfn.XLOOKUP(C368,'[1]RM List'!C:C,'[1]RM List'!E:E, "XXXXXXXXXXXXXXXXXXXX")</f>
        <v>Pcs</v>
      </c>
      <c r="F368" s="60">
        <v>1</v>
      </c>
      <c r="G368" s="54" t="s">
        <v>554</v>
      </c>
    </row>
    <row r="369" spans="1:7" ht="15.75" customHeight="1" thickBot="1" x14ac:dyDescent="0.3">
      <c r="A369" s="60">
        <v>23</v>
      </c>
      <c r="B369" s="2" t="s">
        <v>243</v>
      </c>
      <c r="C369" s="2">
        <v>3201010046</v>
      </c>
      <c r="D369" s="2" t="str">
        <f>_xlfn.XLOOKUP(C369,'[1]RM List'!C:C,'[1]RM List'!D:D, "XXXXXXXXXXXXXXXXXXXX")</f>
        <v>Carton Tape - (W=60mm,L=200m, MEP Print)</v>
      </c>
      <c r="E369" s="60" t="str">
        <f>_xlfn.XLOOKUP(C369,'[1]RM List'!C:C,'[1]RM List'!E:E, "XXXXXXXXXXXXXXXXXXXX")</f>
        <v>Mtr</v>
      </c>
      <c r="F369" s="60">
        <v>0.8</v>
      </c>
      <c r="G369" s="54" t="s">
        <v>554</v>
      </c>
    </row>
    <row r="370" spans="1:7" ht="15.75" customHeight="1" thickBot="1" x14ac:dyDescent="0.3">
      <c r="A370" s="60">
        <v>24</v>
      </c>
      <c r="B370" s="2" t="s">
        <v>243</v>
      </c>
      <c r="C370" s="2">
        <v>3201010019</v>
      </c>
      <c r="D370" s="2" t="str">
        <f>_xlfn.XLOOKUP(C370,'[1]RM List'!C:C,'[1]RM List'!D:D, "XXXXXXXXXXXXXXXXXXXX")</f>
        <v>Cork Sheet -5601````/4801````</v>
      </c>
      <c r="E370" s="60" t="str">
        <f>_xlfn.XLOOKUP(C370,'[1]RM List'!C:C,'[1]RM List'!E:E, "XXXXXXXXXXXXXXXXXXXX")</f>
        <v>Pcs</v>
      </c>
      <c r="F370" s="60">
        <v>1</v>
      </c>
      <c r="G370" s="54" t="s">
        <v>554</v>
      </c>
    </row>
    <row r="371" spans="1:7" ht="15.75" customHeight="1" thickBot="1" x14ac:dyDescent="0.3">
      <c r="A371" s="60">
        <v>25</v>
      </c>
      <c r="B371" s="2" t="s">
        <v>243</v>
      </c>
      <c r="C371" s="2">
        <v>3201010014</v>
      </c>
      <c r="D371" s="2" t="str">
        <f>_xlfn.XLOOKUP(C371,'[1]RM List'!C:C,'[1]RM List'!D:D, "XXXXXXXXXXXXXXXXXXXX")</f>
        <v>Fan QC Sticker</v>
      </c>
      <c r="E371" s="60" t="str">
        <f>_xlfn.XLOOKUP(C371,'[1]RM List'!C:C,'[1]RM List'!E:E, "XXXXXXXXXXXXXXXXXXXX")</f>
        <v>Pcs</v>
      </c>
      <c r="F371" s="60">
        <v>1</v>
      </c>
      <c r="G371" s="54" t="s">
        <v>554</v>
      </c>
    </row>
    <row r="372" spans="1:7" ht="15.75" customHeight="1" thickBot="1" x14ac:dyDescent="0.3">
      <c r="A372" s="60">
        <v>26</v>
      </c>
      <c r="B372" s="2" t="s">
        <v>243</v>
      </c>
      <c r="C372" s="2">
        <v>3201010015</v>
      </c>
      <c r="D372" s="2" t="str">
        <f>_xlfn.XLOOKUP(C372,'[1]RM List'!C:C,'[1]RM List'!D:D, "XXXXXXXXXXXXXXXXXXXX")</f>
        <v>Guarantee Card -5601</v>
      </c>
      <c r="E372" s="60" t="str">
        <f>_xlfn.XLOOKUP(C372,'[1]RM List'!C:C,'[1]RM List'!E:E, "XXXXXXXXXXXXXXXXXXXX")</f>
        <v>Pcs</v>
      </c>
      <c r="F372" s="60">
        <v>1</v>
      </c>
      <c r="G372" s="54" t="s">
        <v>554</v>
      </c>
    </row>
    <row r="373" spans="1:7" ht="15.75" customHeight="1" thickBot="1" x14ac:dyDescent="0.3">
      <c r="A373" s="60">
        <v>27</v>
      </c>
      <c r="B373" s="2" t="s">
        <v>243</v>
      </c>
      <c r="C373" s="2">
        <v>3201010062</v>
      </c>
      <c r="D373" s="2" t="str">
        <f>_xlfn.XLOOKUP(C373,'[1]RM List'!C:C,'[1]RM List'!D:D, "XXXXXXXXXXXXXXXXXXXX")</f>
        <v>MEP Hologram Sticker</v>
      </c>
      <c r="E373" s="60" t="str">
        <f>_xlfn.XLOOKUP(C373,'[1]RM List'!C:C,'[1]RM List'!E:E, "XXXXXXXXXXXXXXXXXXXX")</f>
        <v>Pcs</v>
      </c>
      <c r="F373" s="60">
        <v>1</v>
      </c>
      <c r="G373" s="54" t="s">
        <v>554</v>
      </c>
    </row>
    <row r="374" spans="1:7" ht="15.75" customHeight="1" thickBot="1" x14ac:dyDescent="0.3">
      <c r="A374" s="60">
        <v>28</v>
      </c>
      <c r="B374" s="2" t="s">
        <v>243</v>
      </c>
      <c r="C374" s="2">
        <v>3201010003</v>
      </c>
      <c r="D374" s="2" t="str">
        <f>_xlfn.XLOOKUP(C374,'[1]RM List'!C:C,'[1]RM List'!D:D, "XXXXXXXXXXXXXXXXXXXX")</f>
        <v>Tissue Paper</v>
      </c>
      <c r="E374" s="60" t="str">
        <f>_xlfn.XLOOKUP(C374,'[1]RM List'!C:C,'[1]RM List'!E:E, "XXXXXXXXXXXXXXXXXXXX")</f>
        <v>Pcs</v>
      </c>
      <c r="F374" s="60">
        <v>0.52</v>
      </c>
      <c r="G374" s="54" t="s">
        <v>554</v>
      </c>
    </row>
    <row r="375" spans="1:7" ht="15.75" customHeight="1" thickBot="1" x14ac:dyDescent="0.3">
      <c r="A375" s="60">
        <v>29</v>
      </c>
      <c r="B375" s="2" t="s">
        <v>370</v>
      </c>
      <c r="C375" s="2" t="s">
        <v>401</v>
      </c>
      <c r="D375" s="2" t="str">
        <f>_xlfn.XLOOKUP(C375,'[1]RM List'!C:C,'[1]RM List'!D:D, "XXXXXXXXXXXXXXXXXXXX")</f>
        <v>Complete Armature 7 Circle 15mm</v>
      </c>
      <c r="E375" s="60" t="str">
        <f>_xlfn.XLOOKUP(C375,'[1]RM List'!C:C,'[1]RM List'!E:E, "XXXXXXXXXXXXXXXXXXXX")</f>
        <v>Pcs</v>
      </c>
      <c r="F375" s="60">
        <v>1</v>
      </c>
      <c r="G375" s="54" t="s">
        <v>554</v>
      </c>
    </row>
    <row r="376" spans="1:7" ht="15.75" customHeight="1" thickBot="1" x14ac:dyDescent="0.3">
      <c r="A376" s="60">
        <v>30</v>
      </c>
      <c r="B376" s="2" t="s">
        <v>370</v>
      </c>
      <c r="C376" s="2" t="s">
        <v>425</v>
      </c>
      <c r="D376" s="2" t="str">
        <f>_xlfn.XLOOKUP(C376,'[1]RM List'!C:C,'[1]RM List'!D:D, "XXXXXXXXXXXXXXXXXXXX")</f>
        <v>Complete Canopy Big - 4801, 5601, 5603</v>
      </c>
      <c r="E376" s="60" t="str">
        <f>_xlfn.XLOOKUP(C376,'[1]RM List'!C:C,'[1]RM List'!E:E, "XXXXXXXXXXXXXXXXXXXX")</f>
        <v>Set</v>
      </c>
      <c r="F376" s="60">
        <v>1</v>
      </c>
      <c r="G376" s="54" t="s">
        <v>554</v>
      </c>
    </row>
    <row r="377" spans="1:7" ht="15.75" customHeight="1" thickBot="1" x14ac:dyDescent="0.3">
      <c r="A377" s="60">
        <v>31</v>
      </c>
      <c r="B377" s="2" t="s">
        <v>370</v>
      </c>
      <c r="C377" s="2" t="s">
        <v>417</v>
      </c>
      <c r="D377" s="2" t="str">
        <f>_xlfn.XLOOKUP(C377,'[1]RM List'!C:C,'[1]RM List'!D:D, "XXXXXXXXXXXXXXXXXXXX")</f>
        <v>Complete Down Pipe 10 Inch- 4801, 5601, 5603 - Ivory</v>
      </c>
      <c r="E377" s="60" t="str">
        <f>_xlfn.XLOOKUP(C377,'[1]RM List'!C:C,'[1]RM List'!E:E, "XXXXXXXXXXXXXXXXXXXX")</f>
        <v>Pcs</v>
      </c>
      <c r="F377" s="60">
        <v>1</v>
      </c>
      <c r="G377" s="54" t="s">
        <v>554</v>
      </c>
    </row>
    <row r="378" spans="1:7" ht="15.75" customHeight="1" thickBot="1" x14ac:dyDescent="0.3">
      <c r="A378" s="60">
        <v>32</v>
      </c>
      <c r="B378" s="2" t="s">
        <v>370</v>
      </c>
      <c r="C378" s="2" t="s">
        <v>409</v>
      </c>
      <c r="D378" s="2" t="str">
        <f>_xlfn.XLOOKUP(C378,'[1]RM List'!C:C,'[1]RM List'!D:D, "XXXXXXXXXXXXXXXXXXXX")</f>
        <v>Complete Rotor 7 Circle 14.5mm</v>
      </c>
      <c r="E378" s="60" t="str">
        <f>_xlfn.XLOOKUP(C378,'[1]RM List'!C:C,'[1]RM List'!E:E, "XXXXXXXXXXXXXXXXXXXX")</f>
        <v>Pcs</v>
      </c>
      <c r="F378" s="60">
        <v>1</v>
      </c>
      <c r="G378" s="54" t="s">
        <v>554</v>
      </c>
    </row>
    <row r="379" spans="1:7" ht="15.75" customHeight="1" thickBot="1" x14ac:dyDescent="0.3">
      <c r="A379" s="60">
        <v>33</v>
      </c>
      <c r="B379" s="2" t="s">
        <v>370</v>
      </c>
      <c r="C379" s="2" t="s">
        <v>449</v>
      </c>
      <c r="D379" s="2" t="str">
        <f>_xlfn.XLOOKUP(C379,'[1]RM List'!C:C,'[1]RM List'!D:D, "XXXXXXXXXXXXXXXXXXXX")</f>
        <v>Completed Clamp with Accessories - 4801, 5601, 5603</v>
      </c>
      <c r="E379" s="60" t="str">
        <f>_xlfn.XLOOKUP(C379,'[1]RM List'!C:C,'[1]RM List'!E:E, "XXXXXXXXXXXXXXXXXXXX")</f>
        <v>Set</v>
      </c>
      <c r="F379" s="60">
        <v>1</v>
      </c>
      <c r="G379" s="54" t="s">
        <v>554</v>
      </c>
    </row>
    <row r="380" spans="1:7" ht="15.75" customHeight="1" thickBot="1" x14ac:dyDescent="0.3">
      <c r="A380" s="60">
        <v>34</v>
      </c>
      <c r="B380" s="2" t="s">
        <v>370</v>
      </c>
      <c r="C380" s="2" t="s">
        <v>447</v>
      </c>
      <c r="D380" s="2" t="str">
        <f>_xlfn.XLOOKUP(C380,'[1]RM List'!C:C,'[1]RM List'!D:D, "XXXXXXXXXXXXXXXXXXXX")</f>
        <v>MEP Fan Regulator - 3601, 4801, 5601, 5603</v>
      </c>
      <c r="E380" s="60" t="str">
        <f>_xlfn.XLOOKUP(C380,'[1]RM List'!C:C,'[1]RM List'!E:E, "XXXXXXXXXXXXXXXXXXXX")</f>
        <v>Pcs</v>
      </c>
      <c r="F380" s="60">
        <v>1</v>
      </c>
      <c r="G380" s="54" t="s">
        <v>554</v>
      </c>
    </row>
    <row r="381" spans="1:7" ht="15.75" customHeight="1" thickBot="1" x14ac:dyDescent="0.3">
      <c r="A381" s="60">
        <v>35</v>
      </c>
      <c r="B381" s="2" t="s">
        <v>370</v>
      </c>
      <c r="C381" s="2" t="s">
        <v>387</v>
      </c>
      <c r="D381" s="2" t="str">
        <f>_xlfn.XLOOKUP(C381,'[1]RM List'!C:C,'[1]RM List'!D:D, "XXXXXXXXXXXXXXXXXXXX")</f>
        <v>Painting Bottom Cover-5601 (232mm) - Ivory</v>
      </c>
      <c r="E381" s="60" t="str">
        <f>_xlfn.XLOOKUP(C381,'[1]RM List'!C:C,'[1]RM List'!E:E, "XXXXXXXXXXXXXXXXXXXX")</f>
        <v>Pcs</v>
      </c>
      <c r="F381" s="60">
        <v>1</v>
      </c>
      <c r="G381" s="54" t="s">
        <v>554</v>
      </c>
    </row>
    <row r="382" spans="1:7" ht="15.75" customHeight="1" thickBot="1" x14ac:dyDescent="0.3">
      <c r="A382" s="60">
        <v>36</v>
      </c>
      <c r="B382" s="2" t="s">
        <v>370</v>
      </c>
      <c r="C382" s="2" t="s">
        <v>377</v>
      </c>
      <c r="D382" s="2" t="str">
        <f>_xlfn.XLOOKUP(C382,'[1]RM List'!C:C,'[1]RM List'!D:D, "XXXXXXXXXXXXXXXXXXXX")</f>
        <v>Painting Top Cover-5601 (232mm) - Ivory</v>
      </c>
      <c r="E382" s="60" t="str">
        <f>_xlfn.XLOOKUP(C382,'[1]RM List'!C:C,'[1]RM List'!E:E, "XXXXXXXXXXXXXXXXXXXX")</f>
        <v>Pcs</v>
      </c>
      <c r="F382" s="60">
        <v>1</v>
      </c>
      <c r="G382" s="54" t="s">
        <v>554</v>
      </c>
    </row>
    <row r="383" spans="1:7" ht="15.75" customHeight="1" thickBot="1" x14ac:dyDescent="0.3">
      <c r="A383" s="60">
        <v>37</v>
      </c>
      <c r="B383" s="58" t="s">
        <v>370</v>
      </c>
      <c r="C383" s="59" t="s">
        <v>433</v>
      </c>
      <c r="D383" s="58" t="s">
        <v>434</v>
      </c>
      <c r="E383" s="60" t="s">
        <v>126</v>
      </c>
      <c r="F383" s="60">
        <v>1</v>
      </c>
      <c r="G383" s="54" t="s">
        <v>554</v>
      </c>
    </row>
    <row r="384" spans="1:7" ht="15.75" customHeight="1" thickBot="1" x14ac:dyDescent="0.3">
      <c r="A384" s="60">
        <v>1</v>
      </c>
      <c r="B384" s="117" t="s">
        <v>16</v>
      </c>
      <c r="C384" s="117">
        <v>3101010135</v>
      </c>
      <c r="D384" s="117" t="str">
        <f>_xlfn.XLOOKUP(C384,'[1]RM List'!C:C,'[1]RM List'!D:D, "XXXXXXXXXXXXXXXXXXXX")</f>
        <v>Ball Bearing 6202 -(CnU)</v>
      </c>
      <c r="E384" s="120" t="str">
        <f>_xlfn.XLOOKUP(C384,'[1]RM List'!C:C,'[1]RM List'!E:E, "XXXXXXXXXXXXXXXXXXXX")</f>
        <v>Pcs</v>
      </c>
      <c r="F384" s="120">
        <v>1</v>
      </c>
      <c r="G384" s="54" t="s">
        <v>555</v>
      </c>
    </row>
    <row r="385" spans="1:7" ht="15.75" customHeight="1" thickBot="1" x14ac:dyDescent="0.3">
      <c r="A385" s="60">
        <v>2</v>
      </c>
      <c r="B385" s="117" t="s">
        <v>16</v>
      </c>
      <c r="C385" s="117">
        <v>3101010136</v>
      </c>
      <c r="D385" s="117" t="str">
        <f>_xlfn.XLOOKUP(C385,'[1]RM List'!C:C,'[1]RM List'!D:D, "XXXXXXXXXXXXXXXXXXXX")</f>
        <v>Ball Bearing 6203 (CnU)</v>
      </c>
      <c r="E385" s="120" t="str">
        <f>_xlfn.XLOOKUP(C385,'[1]RM List'!C:C,'[1]RM List'!E:E, "XXXXXXXXXXXXXXXXXXXX")</f>
        <v>Pcs</v>
      </c>
      <c r="F385" s="120">
        <v>1</v>
      </c>
      <c r="G385" s="54" t="s">
        <v>555</v>
      </c>
    </row>
    <row r="386" spans="1:7" ht="15.75" customHeight="1" thickBot="1" x14ac:dyDescent="0.3">
      <c r="A386" s="60">
        <v>3</v>
      </c>
      <c r="B386" s="117" t="s">
        <v>16</v>
      </c>
      <c r="C386" s="117">
        <v>3101010077</v>
      </c>
      <c r="D386" s="117" t="str">
        <f>_xlfn.XLOOKUP(C386,'[1]RM List'!C:C,'[1]RM List'!D:D, "XXXXXXXXXXXXXXXXXXXX")</f>
        <v>Blade/Body Screw 12.7x6mm,H=10mm (220/kg)</v>
      </c>
      <c r="E386" s="120" t="str">
        <f>_xlfn.XLOOKUP(C386,'[1]RM List'!C:C,'[1]RM List'!E:E, "XXXXXXXXXXXXXXXXXXXX")</f>
        <v>KG</v>
      </c>
      <c r="F386" s="120">
        <v>2.4E-2</v>
      </c>
      <c r="G386" s="54" t="s">
        <v>555</v>
      </c>
    </row>
    <row r="387" spans="1:7" ht="15.75" customHeight="1" thickBot="1" x14ac:dyDescent="0.3">
      <c r="A387" s="60">
        <v>4</v>
      </c>
      <c r="B387" s="117" t="s">
        <v>16</v>
      </c>
      <c r="C387" s="117">
        <v>3101010076</v>
      </c>
      <c r="D387" s="117" t="str">
        <f>_xlfn.XLOOKUP(C387,'[1]RM List'!C:C,'[1]RM List'!D:D, "XXXXXXXXXXXXXXXXXXXX")</f>
        <v>Body Screw 15x6mm,H=10mm (230/kg)</v>
      </c>
      <c r="E387" s="120" t="str">
        <f>_xlfn.XLOOKUP(C387,'[1]RM List'!C:C,'[1]RM List'!E:E, "XXXXXXXXXXXXXXXXXXXX")</f>
        <v>KG</v>
      </c>
      <c r="F387" s="120">
        <v>1.6E-2</v>
      </c>
      <c r="G387" s="54" t="s">
        <v>555</v>
      </c>
    </row>
    <row r="388" spans="1:7" ht="15.75" customHeight="1" thickBot="1" x14ac:dyDescent="0.3">
      <c r="A388" s="60">
        <v>5</v>
      </c>
      <c r="B388" s="117" t="s">
        <v>16</v>
      </c>
      <c r="C388" s="117">
        <v>3101010034</v>
      </c>
      <c r="D388" s="117" t="str">
        <f>_xlfn.XLOOKUP(C388,'[1]RM List'!C:C,'[1]RM List'!D:D, "XXXXXXXXXXXXXXXXXXXX")</f>
        <v>Capacitor 2.5 uF (BM)</v>
      </c>
      <c r="E388" s="120" t="str">
        <f>_xlfn.XLOOKUP(C388,'[1]RM List'!C:C,'[1]RM List'!E:E, "XXXXXXXXXXXXXXXXXXXX")</f>
        <v>Pcs</v>
      </c>
      <c r="F388" s="120">
        <v>1</v>
      </c>
      <c r="G388" s="54" t="s">
        <v>555</v>
      </c>
    </row>
    <row r="389" spans="1:7" ht="15.75" customHeight="1" thickBot="1" x14ac:dyDescent="0.3">
      <c r="A389" s="60">
        <v>6</v>
      </c>
      <c r="B389" s="117" t="s">
        <v>16</v>
      </c>
      <c r="C389" s="117">
        <v>3101010080</v>
      </c>
      <c r="D389" s="117" t="str">
        <f>_xlfn.XLOOKUP(C389,'[1]RM List'!C:C,'[1]RM List'!D:D, "XXXXXXXXXXXXXXXXXXXX")</f>
        <v>Capacitor Cover</v>
      </c>
      <c r="E389" s="120" t="str">
        <f>_xlfn.XLOOKUP(C389,'[1]RM List'!C:C,'[1]RM List'!E:E, "XXXXXXXXXXXXXXXXXXXX")</f>
        <v>Pcs</v>
      </c>
      <c r="F389" s="120">
        <v>1</v>
      </c>
      <c r="G389" s="54" t="s">
        <v>555</v>
      </c>
    </row>
    <row r="390" spans="1:7" ht="15.75" customHeight="1" thickBot="1" x14ac:dyDescent="0.3">
      <c r="A390" s="60">
        <v>7</v>
      </c>
      <c r="B390" s="117" t="s">
        <v>16</v>
      </c>
      <c r="C390" s="117">
        <v>3101010037</v>
      </c>
      <c r="D390" s="117" t="str">
        <f>_xlfn.XLOOKUP(C390,'[1]RM List'!C:C,'[1]RM List'!D:D, "XXXXXXXXXXXXXXXXXXXX")</f>
        <v>Deko Paint Green Lim</v>
      </c>
      <c r="E390" s="120" t="str">
        <f>_xlfn.XLOOKUP(C390,'[1]RM List'!C:C,'[1]RM List'!E:E, "XXXXXXXXXXXXXXXXXXXX")</f>
        <v>KG</v>
      </c>
      <c r="F390" s="120">
        <v>1E-3</v>
      </c>
      <c r="G390" s="54" t="s">
        <v>555</v>
      </c>
    </row>
    <row r="391" spans="1:7" ht="15.75" customHeight="1" thickBot="1" x14ac:dyDescent="0.3">
      <c r="A391" s="60">
        <v>8</v>
      </c>
      <c r="B391" s="117" t="s">
        <v>16</v>
      </c>
      <c r="C391" s="117">
        <v>3101010023</v>
      </c>
      <c r="D391" s="117" t="str">
        <f>_xlfn.XLOOKUP(C391,'[1]RM List'!C:C,'[1]RM List'!D:D, "XXXXXXXXXXXXXXXXXXXX")</f>
        <v>FAN Ampere Tube-04 no</v>
      </c>
      <c r="E391" s="120" t="str">
        <f>_xlfn.XLOOKUP(C391,'[1]RM List'!C:C,'[1]RM List'!E:E, "XXXXXXXXXXXXXXXXXXXX")</f>
        <v>Mtr</v>
      </c>
      <c r="F391" s="120">
        <v>0.16</v>
      </c>
      <c r="G391" s="54" t="s">
        <v>555</v>
      </c>
    </row>
    <row r="392" spans="1:7" ht="15.75" customHeight="1" thickBot="1" x14ac:dyDescent="0.3">
      <c r="A392" s="60">
        <v>9</v>
      </c>
      <c r="B392" s="117" t="s">
        <v>16</v>
      </c>
      <c r="C392" s="117">
        <v>3101010112</v>
      </c>
      <c r="D392" s="117" t="str">
        <f>_xlfn.XLOOKUP(C392,'[1]RM List'!C:C,'[1]RM List'!D:D, "XXXXXXXXXXXXXXXXXXXX")</f>
        <v>Flaxible Cable 14x0.0076 - Black</v>
      </c>
      <c r="E392" s="120" t="str">
        <f>_xlfn.XLOOKUP(C392,'[1]RM List'!C:C,'[1]RM List'!E:E, "XXXXXXXXXXXXXXXXXXXX")</f>
        <v>Mtr</v>
      </c>
      <c r="F392" s="120">
        <v>0.61</v>
      </c>
      <c r="G392" s="54" t="s">
        <v>555</v>
      </c>
    </row>
    <row r="393" spans="1:7" ht="15.75" customHeight="1" thickBot="1" x14ac:dyDescent="0.3">
      <c r="A393" s="60">
        <v>10</v>
      </c>
      <c r="B393" s="117" t="s">
        <v>16</v>
      </c>
      <c r="C393" s="117">
        <v>3101010090</v>
      </c>
      <c r="D393" s="117" t="str">
        <f>_xlfn.XLOOKUP(C393,'[1]RM List'!C:C,'[1]RM List'!D:D, "XXXXXXXXXXXXXXXXXXXX")</f>
        <v>Flaxible Cable 14x0.0076 - Red</v>
      </c>
      <c r="E393" s="120" t="str">
        <f>_xlfn.XLOOKUP(C393,'[1]RM List'!C:C,'[1]RM List'!E:E, "XXXXXXXXXXXXXXXXXXXX")</f>
        <v>Mtr</v>
      </c>
      <c r="F393" s="120">
        <v>0.61</v>
      </c>
      <c r="G393" s="54" t="s">
        <v>555</v>
      </c>
    </row>
    <row r="394" spans="1:7" ht="15.75" customHeight="1" thickBot="1" x14ac:dyDescent="0.3">
      <c r="A394" s="60">
        <v>11</v>
      </c>
      <c r="B394" s="117" t="s">
        <v>16</v>
      </c>
      <c r="C394" s="117">
        <v>3101010108</v>
      </c>
      <c r="D394" s="117" t="str">
        <f>_xlfn.XLOOKUP(C394,'[1]RM List'!C:C,'[1]RM List'!D:D, "XXXXXXXXXXXXXXXXXXXX")</f>
        <v>NC / ABC Thinner</v>
      </c>
      <c r="E394" s="120" t="str">
        <f>_xlfn.XLOOKUP(C394,'[1]RM List'!C:C,'[1]RM List'!E:E, "XXXXXXXXXXXXXXXXXXXX")</f>
        <v>Ltr</v>
      </c>
      <c r="F394" s="120">
        <v>1E-3</v>
      </c>
      <c r="G394" s="54" t="s">
        <v>555</v>
      </c>
    </row>
    <row r="395" spans="1:7" ht="15.75" customHeight="1" thickBot="1" x14ac:dyDescent="0.3">
      <c r="A395" s="60">
        <v>12</v>
      </c>
      <c r="B395" s="117" t="s">
        <v>16</v>
      </c>
      <c r="C395" s="117">
        <v>3101010084</v>
      </c>
      <c r="D395" s="117" t="str">
        <f>_xlfn.XLOOKUP(C395,'[1]RM List'!C:C,'[1]RM List'!D:D, "XXXXXXXXXXXXXXXXXXXX")</f>
        <v>Plastic XL Cap</v>
      </c>
      <c r="E395" s="120" t="str">
        <f>_xlfn.XLOOKUP(C395,'[1]RM List'!C:C,'[1]RM List'!E:E, "XXXXXXXXXXXXXXXXXXXX")</f>
        <v>Pcs</v>
      </c>
      <c r="F395" s="120">
        <v>1</v>
      </c>
      <c r="G395" s="54" t="s">
        <v>555</v>
      </c>
    </row>
    <row r="396" spans="1:7" ht="15.75" customHeight="1" thickBot="1" x14ac:dyDescent="0.3">
      <c r="A396" s="60">
        <v>13</v>
      </c>
      <c r="B396" s="117" t="s">
        <v>16</v>
      </c>
      <c r="C396" s="117">
        <v>3101010065</v>
      </c>
      <c r="D396" s="117" t="str">
        <f>_xlfn.XLOOKUP(C396,'[1]RM List'!C:C,'[1]RM List'!D:D, "XXXXXXXXXXXXXXXXXXXX")</f>
        <v>Rubber Bend (5000/kg)</v>
      </c>
      <c r="E396" s="120" t="str">
        <f>_xlfn.XLOOKUP(C396,'[1]RM List'!C:C,'[1]RM List'!E:E, "XXXXXXXXXXXXXXXXXXXX")</f>
        <v>KG</v>
      </c>
      <c r="F396" s="120">
        <v>2.0000000000000001E-4</v>
      </c>
      <c r="G396" s="54" t="s">
        <v>555</v>
      </c>
    </row>
    <row r="397" spans="1:7" ht="15.75" customHeight="1" thickBot="1" x14ac:dyDescent="0.3">
      <c r="A397" s="60">
        <v>14</v>
      </c>
      <c r="B397" s="117" t="s">
        <v>16</v>
      </c>
      <c r="C397" s="117">
        <v>3101010110</v>
      </c>
      <c r="D397" s="117" t="str">
        <f>_xlfn.XLOOKUP(C397,'[1]RM List'!C:C,'[1]RM List'!D:D, "XXXXXXXXXXXXXXXXXXXX")</f>
        <v>Rubber Gasket (5602)</v>
      </c>
      <c r="E397" s="120" t="str">
        <f>_xlfn.XLOOKUP(C397,'[1]RM List'!C:C,'[1]RM List'!E:E, "XXXXXXXXXXXXXXXXXXXX")</f>
        <v>Pcs</v>
      </c>
      <c r="F397" s="120">
        <v>3</v>
      </c>
      <c r="G397" s="54" t="s">
        <v>555</v>
      </c>
    </row>
    <row r="398" spans="1:7" ht="15.75" customHeight="1" thickBot="1" x14ac:dyDescent="0.3">
      <c r="A398" s="60">
        <v>15</v>
      </c>
      <c r="B398" s="117" t="s">
        <v>16</v>
      </c>
      <c r="C398" s="117">
        <v>3101010074</v>
      </c>
      <c r="D398" s="117" t="str">
        <f>_xlfn.XLOOKUP(C398,'[1]RM List'!C:C,'[1]RM List'!D:D, "XXXXXXXXXXXXXXXXXXXX")</f>
        <v>Shaft/XL /Safity lock Screw 3/16x3/8```` (400/kg)</v>
      </c>
      <c r="E398" s="120" t="str">
        <f>_xlfn.XLOOKUP(C398,'[1]RM List'!C:C,'[1]RM List'!E:E, "XXXXXXXXXXXXXXXXXXXX")</f>
        <v>KG</v>
      </c>
      <c r="F398" s="120">
        <v>2E-3</v>
      </c>
      <c r="G398" s="54" t="s">
        <v>555</v>
      </c>
    </row>
    <row r="399" spans="1:7" ht="15.75" customHeight="1" thickBot="1" x14ac:dyDescent="0.3">
      <c r="A399" s="60">
        <v>16</v>
      </c>
      <c r="B399" s="117" t="s">
        <v>16</v>
      </c>
      <c r="C399" s="117">
        <v>3101010057</v>
      </c>
      <c r="D399" s="117" t="str">
        <f>_xlfn.XLOOKUP(C399,'[1]RM List'!C:C,'[1]RM List'!D:D, "XXXXXXXXXXXXXXXXXXXX")</f>
        <v>Show Cap-Steel (Big)-50mm</v>
      </c>
      <c r="E399" s="120" t="str">
        <f>_xlfn.XLOOKUP(C399,'[1]RM List'!C:C,'[1]RM List'!E:E, "XXXXXXXXXXXXXXXXXXXX")</f>
        <v>Pcs</v>
      </c>
      <c r="F399" s="120">
        <v>1</v>
      </c>
      <c r="G399" s="54" t="s">
        <v>555</v>
      </c>
    </row>
    <row r="400" spans="1:7" ht="15.75" customHeight="1" thickBot="1" x14ac:dyDescent="0.3">
      <c r="A400" s="60">
        <v>17</v>
      </c>
      <c r="B400" s="117" t="s">
        <v>16</v>
      </c>
      <c r="C400" s="117">
        <v>3101010061</v>
      </c>
      <c r="D400" s="117" t="str">
        <f>_xlfn.XLOOKUP(C400,'[1]RM List'!C:C,'[1]RM List'!D:D, "XXXXXXXXXXXXXXXXXXXX")</f>
        <v>Silika Gel</v>
      </c>
      <c r="E400" s="120" t="str">
        <f>_xlfn.XLOOKUP(C400,'[1]RM List'!C:C,'[1]RM List'!E:E, "XXXXXXXXXXXXXXXXXXXX")</f>
        <v>Pcs</v>
      </c>
      <c r="F400" s="120">
        <v>1</v>
      </c>
      <c r="G400" s="54" t="s">
        <v>555</v>
      </c>
    </row>
    <row r="401" spans="1:7" ht="15.75" customHeight="1" thickBot="1" x14ac:dyDescent="0.3">
      <c r="A401" s="60">
        <v>18</v>
      </c>
      <c r="B401" s="117" t="s">
        <v>16</v>
      </c>
      <c r="C401" s="117">
        <v>3101010094</v>
      </c>
      <c r="D401" s="117" t="str">
        <f>_xlfn.XLOOKUP(C401,'[1]RM List'!C:C,'[1]RM List'!D:D, "XXXXXXXXXXXXXXXXXXXX")</f>
        <v>Soldering Wire</v>
      </c>
      <c r="E401" s="120" t="str">
        <f>_xlfn.XLOOKUP(C401,'[1]RM List'!C:C,'[1]RM List'!E:E, "XXXXXXXXXXXXXXXXXXXX")</f>
        <v>KG</v>
      </c>
      <c r="F401" s="120">
        <v>5.0000000000000001E-4</v>
      </c>
      <c r="G401" s="54" t="s">
        <v>555</v>
      </c>
    </row>
    <row r="402" spans="1:7" ht="15.75" customHeight="1" thickBot="1" x14ac:dyDescent="0.3">
      <c r="A402" s="60">
        <v>19</v>
      </c>
      <c r="B402" s="117" t="s">
        <v>16</v>
      </c>
      <c r="C402" s="117">
        <v>3101010068</v>
      </c>
      <c r="D402" s="117" t="str">
        <f>_xlfn.XLOOKUP(C402,'[1]RM List'!C:C,'[1]RM List'!D:D, "XXXXXXXXXXXXXXXXXXXX")</f>
        <v>Spiring Washer 6mm 1400/kg)</v>
      </c>
      <c r="E402" s="120" t="str">
        <f>_xlfn.XLOOKUP(C402,'[1]RM List'!C:C,'[1]RM List'!E:E, "XXXXXXXXXXXXXXXXXXXX")</f>
        <v>KG</v>
      </c>
      <c r="F402" s="120">
        <v>4.0000000000000001E-3</v>
      </c>
      <c r="G402" s="54" t="s">
        <v>555</v>
      </c>
    </row>
    <row r="403" spans="1:7" ht="15.75" customHeight="1" thickBot="1" x14ac:dyDescent="0.3">
      <c r="A403" s="60">
        <v>20</v>
      </c>
      <c r="B403" s="117" t="s">
        <v>243</v>
      </c>
      <c r="C403" s="117">
        <v>3201010026</v>
      </c>
      <c r="D403" s="117" t="str">
        <f>_xlfn.XLOOKUP(C403,'[1]RM List'!C:C,'[1]RM List'!D:D, "XXXXXXXXXXXXXXXXXXXX")</f>
        <v>Body Carton -Speed king (5602) -220x220x208mm</v>
      </c>
      <c r="E403" s="120" t="str">
        <f>_xlfn.XLOOKUP(C403,'[1]RM List'!C:C,'[1]RM List'!E:E, "XXXXXXXXXXXXXXXXXXXX")</f>
        <v>Pcs</v>
      </c>
      <c r="F403" s="120">
        <v>1</v>
      </c>
      <c r="G403" s="54" t="s">
        <v>555</v>
      </c>
    </row>
    <row r="404" spans="1:7" ht="15.75" customHeight="1" thickBot="1" x14ac:dyDescent="0.3">
      <c r="A404" s="60">
        <v>21</v>
      </c>
      <c r="B404" s="117" t="s">
        <v>243</v>
      </c>
      <c r="C404" s="117">
        <v>3201010037</v>
      </c>
      <c r="D404" s="117" t="str">
        <f>_xlfn.XLOOKUP(C404,'[1]RM List'!C:C,'[1]RM List'!D:D, "XXXXXXXXXXXXXXXXXXXX")</f>
        <v>Body Poly 56``/48``-445x380mm (105/kg)-(Std.W.-0.004987 kg)</v>
      </c>
      <c r="E404" s="120" t="str">
        <f>_xlfn.XLOOKUP(C404,'[1]RM List'!C:C,'[1]RM List'!E:E, "XXXXXXXXXXXXXXXXXXXX")</f>
        <v>KG</v>
      </c>
      <c r="F404" s="120">
        <v>1.2999999999999999E-2</v>
      </c>
      <c r="G404" s="54" t="s">
        <v>555</v>
      </c>
    </row>
    <row r="405" spans="1:7" ht="15.75" customHeight="1" thickBot="1" x14ac:dyDescent="0.3">
      <c r="A405" s="60">
        <v>22</v>
      </c>
      <c r="B405" s="117" t="s">
        <v>243</v>
      </c>
      <c r="C405" s="117">
        <v>3201010006</v>
      </c>
      <c r="D405" s="117" t="str">
        <f>_xlfn.XLOOKUP(C405,'[1]RM List'!C:C,'[1]RM List'!D:D, "XXXXXXXXXXXXXXXXXXXX")</f>
        <v>Body Sticker Speed King</v>
      </c>
      <c r="E405" s="120" t="str">
        <f>_xlfn.XLOOKUP(C405,'[1]RM List'!C:C,'[1]RM List'!E:E, "XXXXXXXXXXXXXXXXXXXX")</f>
        <v>Pcs</v>
      </c>
      <c r="F405" s="120">
        <v>1</v>
      </c>
      <c r="G405" s="54" t="s">
        <v>555</v>
      </c>
    </row>
    <row r="406" spans="1:7" ht="15.75" customHeight="1" thickBot="1" x14ac:dyDescent="0.3">
      <c r="A406" s="60">
        <v>23</v>
      </c>
      <c r="B406" s="117" t="s">
        <v>243</v>
      </c>
      <c r="C406" s="117">
        <v>3201010020</v>
      </c>
      <c r="D406" s="117" t="str">
        <f>_xlfn.XLOOKUP(C406,'[1]RM List'!C:C,'[1]RM List'!D:D, "XXXXXXXXXXXXXXXXXXXX")</f>
        <v>Cork Sheet -5602````</v>
      </c>
      <c r="E406" s="120" t="str">
        <f>_xlfn.XLOOKUP(C406,'[1]RM List'!C:C,'[1]RM List'!E:E, "XXXXXXXXXXXXXXXXXXXX")</f>
        <v>Pcs</v>
      </c>
      <c r="F406" s="120">
        <v>1</v>
      </c>
      <c r="G406" s="54" t="s">
        <v>555</v>
      </c>
    </row>
    <row r="407" spans="1:7" ht="15.75" customHeight="1" thickBot="1" x14ac:dyDescent="0.3">
      <c r="A407" s="60">
        <v>24</v>
      </c>
      <c r="B407" s="117" t="s">
        <v>243</v>
      </c>
      <c r="C407" s="117">
        <v>3201010014</v>
      </c>
      <c r="D407" s="117" t="str">
        <f>_xlfn.XLOOKUP(C407,'[1]RM List'!C:C,'[1]RM List'!D:D, "XXXXXXXXXXXXXXXXXXXX")</f>
        <v>Fan QC Sticker</v>
      </c>
      <c r="E407" s="120" t="str">
        <f>_xlfn.XLOOKUP(C407,'[1]RM List'!C:C,'[1]RM List'!E:E, "XXXXXXXXXXXXXXXXXXXX")</f>
        <v>Pcs</v>
      </c>
      <c r="F407" s="120">
        <v>1</v>
      </c>
      <c r="G407" s="54" t="s">
        <v>555</v>
      </c>
    </row>
    <row r="408" spans="1:7" ht="15.75" customHeight="1" thickBot="1" x14ac:dyDescent="0.3">
      <c r="A408" s="60">
        <v>25</v>
      </c>
      <c r="B408" s="117" t="s">
        <v>243</v>
      </c>
      <c r="C408" s="117">
        <v>3201010017</v>
      </c>
      <c r="D408" s="117" t="str">
        <f>_xlfn.XLOOKUP(C408,'[1]RM List'!C:C,'[1]RM List'!D:D, "XXXXXXXXXXXXXXXXXXXX")</f>
        <v>Guarantee Card Speed King</v>
      </c>
      <c r="E408" s="120" t="str">
        <f>_xlfn.XLOOKUP(C408,'[1]RM List'!C:C,'[1]RM List'!E:E, "XXXXXXXXXXXXXXXXXXXX")</f>
        <v>Pcs</v>
      </c>
      <c r="F408" s="120">
        <v>1</v>
      </c>
      <c r="G408" s="54" t="s">
        <v>555</v>
      </c>
    </row>
    <row r="409" spans="1:7" ht="15.75" customHeight="1" thickBot="1" x14ac:dyDescent="0.3">
      <c r="A409" s="60">
        <v>26</v>
      </c>
      <c r="B409" s="117" t="s">
        <v>243</v>
      </c>
      <c r="C409" s="117">
        <v>3201010052</v>
      </c>
      <c r="D409" s="117" t="str">
        <f>_xlfn.XLOOKUP(C409,'[1]RM List'!C:C,'[1]RM List'!D:D, "XXXXXXXXXXXXXXXXXXXX")</f>
        <v>Speed King Hologram Sticker</v>
      </c>
      <c r="E409" s="120" t="str">
        <f>_xlfn.XLOOKUP(C409,'[1]RM List'!C:C,'[1]RM List'!E:E, "XXXXXXXXXXXXXXXXXXXX")</f>
        <v>Pcs</v>
      </c>
      <c r="F409" s="120">
        <v>1</v>
      </c>
      <c r="G409" s="54" t="s">
        <v>555</v>
      </c>
    </row>
    <row r="410" spans="1:7" ht="15.75" customHeight="1" thickBot="1" x14ac:dyDescent="0.3">
      <c r="A410" s="60">
        <v>27</v>
      </c>
      <c r="B410" s="117" t="s">
        <v>243</v>
      </c>
      <c r="C410" s="117">
        <v>3201010003</v>
      </c>
      <c r="D410" s="117" t="str">
        <f>_xlfn.XLOOKUP(C410,'[1]RM List'!C:C,'[1]RM List'!D:D, "XXXXXXXXXXXXXXXXXXXX")</f>
        <v>Tissue Paper</v>
      </c>
      <c r="E410" s="120" t="str">
        <f>_xlfn.XLOOKUP(C410,'[1]RM List'!C:C,'[1]RM List'!E:E, "XXXXXXXXXXXXXXXXXXXX")</f>
        <v>Pcs</v>
      </c>
      <c r="F410" s="120">
        <v>0.52</v>
      </c>
      <c r="G410" s="54" t="s">
        <v>555</v>
      </c>
    </row>
    <row r="411" spans="1:7" s="62" customFormat="1" ht="18" customHeight="1" thickBot="1" x14ac:dyDescent="0.35">
      <c r="A411" s="118">
        <v>28</v>
      </c>
      <c r="B411" s="118" t="s">
        <v>370</v>
      </c>
      <c r="C411" s="119" t="s">
        <v>399</v>
      </c>
      <c r="D411" s="119" t="str">
        <f>_xlfn.XLOOKUP(C411,'[1]RM List'!C:C,'[1]RM List'!D:D, "XXXXXXXXXXXXXXXXXXXX")</f>
        <v>Complete Armature 6 Circle 15mm Black Sheet</v>
      </c>
      <c r="E411" s="119" t="str">
        <f>_xlfn.XLOOKUP(C411,'[1]RM List'!C:C,'[1]RM List'!E:E, "XXXXXXXXXXXXXXXXXXXX")</f>
        <v>Pcs</v>
      </c>
      <c r="F411" s="119">
        <v>1</v>
      </c>
      <c r="G411" s="61" t="s">
        <v>555</v>
      </c>
    </row>
    <row r="412" spans="1:7" s="62" customFormat="1" ht="18" customHeight="1" thickBot="1" x14ac:dyDescent="0.35">
      <c r="A412" s="118">
        <v>29</v>
      </c>
      <c r="B412" s="118" t="s">
        <v>370</v>
      </c>
      <c r="C412" s="119" t="s">
        <v>397</v>
      </c>
      <c r="D412" s="119" t="str">
        <f>_xlfn.XLOOKUP(C412,'[1]RM List'!C:C,'[1]RM List'!D:D, "XXXXXXXXXXXXXXXXXXXX")</f>
        <v>Complete Armature 6 Circle 16mm</v>
      </c>
      <c r="E412" s="119" t="str">
        <f>_xlfn.XLOOKUP(C412,'[1]RM List'!C:C,'[1]RM List'!E:E, "XXXXXXXXXXXXXXXXXXXX")</f>
        <v>Pcs</v>
      </c>
      <c r="F412" s="119">
        <v>1</v>
      </c>
      <c r="G412" s="61" t="s">
        <v>555</v>
      </c>
    </row>
    <row r="413" spans="1:7" s="62" customFormat="1" ht="18" customHeight="1" thickBot="1" x14ac:dyDescent="0.35">
      <c r="A413" s="118">
        <v>30</v>
      </c>
      <c r="B413" s="118" t="s">
        <v>370</v>
      </c>
      <c r="C413" s="119" t="s">
        <v>423</v>
      </c>
      <c r="D413" s="119" t="str">
        <f>_xlfn.XLOOKUP(C413,'[1]RM List'!C:C,'[1]RM List'!D:D, "XXXXXXXXXXXXXXXXXXXX")</f>
        <v>Complete Canopy Small-5602</v>
      </c>
      <c r="E413" s="119" t="str">
        <f>_xlfn.XLOOKUP(C413,'[1]RM List'!C:C,'[1]RM List'!E:E, "XXXXXXXXXXXXXXXXXXXX")</f>
        <v>Pcs</v>
      </c>
      <c r="F413" s="119">
        <v>1</v>
      </c>
      <c r="G413" s="61" t="s">
        <v>555</v>
      </c>
    </row>
    <row r="414" spans="1:7" s="62" customFormat="1" ht="18" customHeight="1" thickBot="1" x14ac:dyDescent="0.35">
      <c r="A414" s="118">
        <v>31</v>
      </c>
      <c r="B414" s="118" t="s">
        <v>370</v>
      </c>
      <c r="C414" s="119" t="s">
        <v>419</v>
      </c>
      <c r="D414" s="119" t="str">
        <f>_xlfn.XLOOKUP(C414,'[1]RM List'!C:C,'[1]RM List'!D:D, "XXXXXXXXXXXXXXXXXXXX")</f>
        <v>Complete Down Pipe 10 Inch -(5602,3601,2401)- Ivory</v>
      </c>
      <c r="E414" s="119" t="str">
        <f>_xlfn.XLOOKUP(C414,'[1]RM List'!C:C,'[1]RM List'!E:E, "XXXXXXXXXXXXXXXXXXXX")</f>
        <v>Pcs</v>
      </c>
      <c r="F414" s="119">
        <v>1</v>
      </c>
      <c r="G414" s="61" t="s">
        <v>555</v>
      </c>
    </row>
    <row r="415" spans="1:7" s="62" customFormat="1" ht="18" customHeight="1" thickBot="1" x14ac:dyDescent="0.35">
      <c r="A415" s="118">
        <v>32</v>
      </c>
      <c r="B415" s="118" t="s">
        <v>370</v>
      </c>
      <c r="C415" s="119" t="s">
        <v>405</v>
      </c>
      <c r="D415" s="119" t="str">
        <f>_xlfn.XLOOKUP(C415,'[1]RM List'!C:C,'[1]RM List'!D:D, "XXXXXXXXXXXXXXXXXXXX")</f>
        <v>Complete Rotor 6 Circle 15.5mm</v>
      </c>
      <c r="E415" s="119" t="str">
        <f>_xlfn.XLOOKUP(C415,'[1]RM List'!C:C,'[1]RM List'!E:E, "XXXXXXXXXXXXXXXXXXXX")</f>
        <v>Pcs</v>
      </c>
      <c r="F415" s="119">
        <v>1</v>
      </c>
      <c r="G415" s="61" t="s">
        <v>555</v>
      </c>
    </row>
    <row r="416" spans="1:7" s="62" customFormat="1" ht="18" customHeight="1" thickBot="1" x14ac:dyDescent="0.35">
      <c r="A416" s="118">
        <v>33</v>
      </c>
      <c r="B416" s="118" t="s">
        <v>370</v>
      </c>
      <c r="C416" s="119" t="s">
        <v>389</v>
      </c>
      <c r="D416" s="119" t="str">
        <f>_xlfn.XLOOKUP(C416,'[1]RM List'!C:C,'[1]RM List'!D:D, "XXXXXXXXXXXXXXXXXXXX")</f>
        <v>Painting Bottom Cover-5602 (217mm) - Ivory</v>
      </c>
      <c r="E416" s="119" t="str">
        <f>_xlfn.XLOOKUP(C416,'[1]RM List'!C:C,'[1]RM List'!E:E, "XXXXXXXXXXXXXXXXXXXX")</f>
        <v>Pcs</v>
      </c>
      <c r="F416" s="119">
        <v>1</v>
      </c>
      <c r="G416" s="61" t="s">
        <v>555</v>
      </c>
    </row>
    <row r="417" spans="1:7" s="62" customFormat="1" ht="18" customHeight="1" thickBot="1" x14ac:dyDescent="0.35">
      <c r="A417" s="118">
        <v>34</v>
      </c>
      <c r="B417" s="118" t="s">
        <v>370</v>
      </c>
      <c r="C417" s="119" t="s">
        <v>379</v>
      </c>
      <c r="D417" s="119" t="str">
        <f>_xlfn.XLOOKUP(C417,'[1]RM List'!C:C,'[1]RM List'!D:D, "XXXXXXXXXXXXXXXXXXXX")</f>
        <v>Painting Top Cover-5602 (217mm) - Ivory</v>
      </c>
      <c r="E417" s="119" t="str">
        <f>_xlfn.XLOOKUP(C417,'[1]RM List'!C:C,'[1]RM List'!E:E, "XXXXXXXXXXXXXXXXXXXX")</f>
        <v>Pcs</v>
      </c>
      <c r="F417" s="119">
        <v>1</v>
      </c>
      <c r="G417" s="61" t="s">
        <v>555</v>
      </c>
    </row>
    <row r="418" spans="1:7" s="62" customFormat="1" ht="18" customHeight="1" thickBot="1" x14ac:dyDescent="0.35">
      <c r="A418" s="118">
        <v>35</v>
      </c>
      <c r="B418" s="118" t="s">
        <v>370</v>
      </c>
      <c r="C418" s="118" t="s">
        <v>435</v>
      </c>
      <c r="D418" s="119" t="str">
        <f>_xlfn.XLOOKUP(C418,'[1]RM List'!C:C,'[1]RM List'!D:D, "XXXXXXXXXXXXXXXXXXXX")</f>
        <v>5602 Speed King Ceiling Fan Blade - Ivory</v>
      </c>
      <c r="E418" s="119" t="str">
        <f>_xlfn.XLOOKUP(C418,'[1]RM List'!C:C,'[1]RM List'!E:E, "XXXXXXXXXXXXXXXXXXXX")</f>
        <v>Set</v>
      </c>
      <c r="F418" s="119">
        <v>1</v>
      </c>
      <c r="G418" s="61" t="s">
        <v>555</v>
      </c>
    </row>
  </sheetData>
  <conditionalFormatting sqref="C383">
    <cfRule type="duplicateValues" dxfId="52" priority="1"/>
    <cfRule type="duplicateValues" dxfId="51" priority="2"/>
    <cfRule type="duplicateValues" dxfId="50" priority="3"/>
    <cfRule type="duplicateValues" dxfId="49" priority="4"/>
    <cfRule type="duplicateValues" dxfId="48" priority="5"/>
    <cfRule type="duplicateValues" dxfId="47" priority="6"/>
    <cfRule type="duplicateValues" dxfId="46" priority="7"/>
    <cfRule type="duplicateValues" dxfId="45" priority="8"/>
    <cfRule type="duplicateValues" dxfId="44" priority="9"/>
    <cfRule type="duplicateValues" dxfId="43" priority="10"/>
    <cfRule type="duplicateValues" dxfId="42" priority="11"/>
    <cfRule type="duplicateValues" dxfId="41" priority="12"/>
    <cfRule type="duplicateValues" dxfId="40" priority="13"/>
    <cfRule type="duplicateValues" dxfId="39" priority="14"/>
    <cfRule type="duplicateValues" dxfId="38" priority="15"/>
    <cfRule type="duplicateValues" dxfId="37" priority="16"/>
    <cfRule type="duplicateValues" dxfId="36" priority="17"/>
    <cfRule type="duplicateValues" dxfId="35" priority="18"/>
    <cfRule type="duplicateValues" dxfId="34" priority="19"/>
    <cfRule type="duplicateValues" dxfId="33" priority="20"/>
    <cfRule type="duplicateValues" dxfId="32" priority="22"/>
    <cfRule type="duplicateValues" dxfId="31" priority="23"/>
    <cfRule type="duplicateValues" dxfId="30" priority="24"/>
    <cfRule type="duplicateValues" dxfId="29" priority="25"/>
  </conditionalFormatting>
  <conditionalFormatting sqref="D383">
    <cfRule type="duplicateValues" dxfId="28" priority="2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I854"/>
  <sheetViews>
    <sheetView workbookViewId="0">
      <pane xSplit="3" ySplit="4" topLeftCell="D36" activePane="bottomRight" state="frozen"/>
      <selection pane="topRight" activeCell="C1" sqref="C1"/>
      <selection pane="bottomLeft" activeCell="A5" sqref="A5"/>
      <selection pane="bottomRight" activeCell="I47" sqref="I47"/>
    </sheetView>
  </sheetViews>
  <sheetFormatPr defaultRowHeight="14.4" x14ac:dyDescent="0.3"/>
  <cols>
    <col min="1" max="1" width="8.109375" style="176" hidden="1" customWidth="1"/>
    <col min="2" max="2" width="8.109375" bestFit="1" customWidth="1"/>
    <col min="3" max="3" width="7.109375" customWidth="1"/>
    <col min="4" max="4" width="53.88671875" bestFit="1" customWidth="1"/>
    <col min="5" max="5" width="11.44140625" bestFit="1" customWidth="1"/>
    <col min="6" max="6" width="13.44140625" customWidth="1"/>
    <col min="7" max="7" width="17.109375" customWidth="1"/>
    <col min="8" max="8" width="15.109375" customWidth="1"/>
    <col min="9" max="9" width="15.109375" style="277" customWidth="1"/>
  </cols>
  <sheetData>
    <row r="1" spans="1:9" ht="30" customHeight="1" x14ac:dyDescent="0.3">
      <c r="B1" s="425" t="s">
        <v>643</v>
      </c>
      <c r="C1" s="426"/>
      <c r="D1" s="426"/>
      <c r="E1" s="426"/>
      <c r="F1" s="426"/>
      <c r="G1" s="426"/>
      <c r="H1" s="426"/>
      <c r="I1" s="427"/>
    </row>
    <row r="2" spans="1:9" ht="15.75" customHeight="1" x14ac:dyDescent="0.3">
      <c r="B2" s="428">
        <f ca="1">TODAY()</f>
        <v>46264</v>
      </c>
      <c r="C2" s="426"/>
      <c r="D2" s="426"/>
      <c r="E2" s="426"/>
      <c r="F2" s="426"/>
      <c r="G2" s="426"/>
      <c r="H2" s="426"/>
      <c r="I2" s="427"/>
    </row>
    <row r="3" spans="1:9" ht="25.5" customHeight="1" thickBot="1" x14ac:dyDescent="0.35">
      <c r="B3" s="423" t="s">
        <v>693</v>
      </c>
      <c r="C3" s="424"/>
      <c r="D3" s="424"/>
      <c r="E3" s="424"/>
      <c r="F3" s="424"/>
      <c r="G3" s="424"/>
      <c r="H3" s="424"/>
      <c r="I3" s="424"/>
    </row>
    <row r="4" spans="1:9" ht="43.5" customHeight="1" thickBot="1" x14ac:dyDescent="0.35">
      <c r="A4" s="193" t="s">
        <v>694</v>
      </c>
      <c r="B4" s="194" t="s">
        <v>694</v>
      </c>
      <c r="C4" s="195" t="s">
        <v>695</v>
      </c>
      <c r="D4" s="195" t="s">
        <v>7</v>
      </c>
      <c r="E4" s="269" t="s">
        <v>583</v>
      </c>
      <c r="F4" s="269" t="s">
        <v>696</v>
      </c>
      <c r="G4" s="269" t="s">
        <v>697</v>
      </c>
      <c r="H4" s="270" t="s">
        <v>597</v>
      </c>
      <c r="I4" s="270" t="s">
        <v>600</v>
      </c>
    </row>
    <row r="5" spans="1:9" x14ac:dyDescent="0.3">
      <c r="A5" s="199" t="e">
        <f>IF(AND(E5&lt;&gt;"",#REF!&lt;&gt; ""),#REF!+ 1, "")</f>
        <v>#REF!</v>
      </c>
      <c r="B5" s="418">
        <v>46249</v>
      </c>
      <c r="C5" s="421">
        <f>B5</f>
        <v>46249</v>
      </c>
      <c r="D5" s="196" t="s">
        <v>418</v>
      </c>
      <c r="E5" s="243">
        <f t="array" ref="E5:I854">'[2]SFG Accessories'!$E$5:$I$854</f>
        <v>7409</v>
      </c>
      <c r="F5" s="244">
        <v>960</v>
      </c>
      <c r="G5" s="244">
        <v>1700</v>
      </c>
      <c r="H5" s="271">
        <v>6669</v>
      </c>
      <c r="I5" s="272">
        <v>0</v>
      </c>
    </row>
    <row r="6" spans="1:9" x14ac:dyDescent="0.3">
      <c r="A6" s="199" t="e">
        <f>IF(AND(E5&lt;&gt;"",#REF!&lt;&gt; ""),#REF!+ 1, "")</f>
        <v>#REF!</v>
      </c>
      <c r="B6" s="419"/>
      <c r="C6" s="422"/>
      <c r="D6" s="197" t="s">
        <v>420</v>
      </c>
      <c r="E6" s="247">
        <v>7100</v>
      </c>
      <c r="F6" s="248">
        <v>0</v>
      </c>
      <c r="G6" s="248">
        <v>0</v>
      </c>
      <c r="H6" s="273">
        <v>7100</v>
      </c>
      <c r="I6" s="274">
        <v>0</v>
      </c>
    </row>
    <row r="7" spans="1:9" x14ac:dyDescent="0.3">
      <c r="A7" s="199" t="e">
        <f>IF(AND(E5&lt;&gt;"",#REF!&lt;&gt; ""),#REF!+ 1, "")</f>
        <v>#REF!</v>
      </c>
      <c r="B7" s="419"/>
      <c r="C7" s="422"/>
      <c r="D7" s="197" t="s">
        <v>426</v>
      </c>
      <c r="E7" s="247">
        <v>3417</v>
      </c>
      <c r="F7" s="248">
        <v>2530</v>
      </c>
      <c r="G7" s="248">
        <v>1700</v>
      </c>
      <c r="H7" s="273">
        <v>4247</v>
      </c>
      <c r="I7" s="274">
        <v>0</v>
      </c>
    </row>
    <row r="8" spans="1:9" x14ac:dyDescent="0.3">
      <c r="A8" s="199" t="e">
        <f>IF(AND(E5&lt;&gt;"",#REF!&lt;&gt; ""),#REF!+ 1, "")</f>
        <v>#REF!</v>
      </c>
      <c r="B8" s="419"/>
      <c r="C8" s="422"/>
      <c r="D8" s="197" t="s">
        <v>424</v>
      </c>
      <c r="E8" s="247">
        <v>1280</v>
      </c>
      <c r="F8" s="248">
        <v>0</v>
      </c>
      <c r="G8" s="248">
        <v>0</v>
      </c>
      <c r="H8" s="273">
        <v>1280</v>
      </c>
      <c r="I8" s="274">
        <v>0</v>
      </c>
    </row>
    <row r="9" spans="1:9" ht="15.75" customHeight="1" thickBot="1" x14ac:dyDescent="0.35">
      <c r="A9" s="199" t="e">
        <f>IF(AND(E5&lt;&gt;"",#REF!&lt;&gt; ""),#REF!+ 1, "")</f>
        <v>#REF!</v>
      </c>
      <c r="B9" s="420"/>
      <c r="C9" s="404"/>
      <c r="D9" s="198" t="s">
        <v>450</v>
      </c>
      <c r="E9" s="251">
        <v>6260</v>
      </c>
      <c r="F9" s="252">
        <v>580</v>
      </c>
      <c r="G9" s="252">
        <v>1700</v>
      </c>
      <c r="H9" s="275">
        <v>5140</v>
      </c>
      <c r="I9" s="276">
        <v>0</v>
      </c>
    </row>
    <row r="10" spans="1:9" x14ac:dyDescent="0.3">
      <c r="A10" s="199" t="e">
        <f>IF(AND(E10&lt;&gt;"", A5&lt;&gt;""), A5+1, "")</f>
        <v>#REF!</v>
      </c>
      <c r="B10" s="418">
        <v>46250</v>
      </c>
      <c r="C10" s="421">
        <f>B10</f>
        <v>46250</v>
      </c>
      <c r="D10" s="196" t="s">
        <v>418</v>
      </c>
      <c r="E10" s="243">
        <v>6669</v>
      </c>
      <c r="F10" s="244">
        <v>2265</v>
      </c>
      <c r="G10" s="244">
        <v>965</v>
      </c>
      <c r="H10" s="271">
        <v>7969</v>
      </c>
      <c r="I10" s="272">
        <v>0</v>
      </c>
    </row>
    <row r="11" spans="1:9" x14ac:dyDescent="0.3">
      <c r="A11" s="199" t="e">
        <f>IF(AND(E10&lt;&gt;"", A6&lt;&gt;""), A6+1, "")</f>
        <v>#REF!</v>
      </c>
      <c r="B11" s="419"/>
      <c r="C11" s="422"/>
      <c r="D11" s="197" t="s">
        <v>420</v>
      </c>
      <c r="E11" s="247">
        <v>7100</v>
      </c>
      <c r="F11" s="248">
        <v>0</v>
      </c>
      <c r="G11" s="248">
        <v>0</v>
      </c>
      <c r="H11" s="273">
        <v>7100</v>
      </c>
      <c r="I11" s="274">
        <v>0</v>
      </c>
    </row>
    <row r="12" spans="1:9" x14ac:dyDescent="0.3">
      <c r="A12" s="199" t="e">
        <f>IF(AND(E10&lt;&gt;"", A7&lt;&gt;""), A7+1, "")</f>
        <v>#REF!</v>
      </c>
      <c r="B12" s="419"/>
      <c r="C12" s="422"/>
      <c r="D12" s="197" t="s">
        <v>426</v>
      </c>
      <c r="E12" s="247">
        <v>4247</v>
      </c>
      <c r="F12" s="248">
        <v>2810</v>
      </c>
      <c r="G12" s="248">
        <v>965</v>
      </c>
      <c r="H12" s="273">
        <v>6092</v>
      </c>
      <c r="I12" s="274">
        <v>0</v>
      </c>
    </row>
    <row r="13" spans="1:9" x14ac:dyDescent="0.3">
      <c r="A13" s="199" t="e">
        <f>IF(AND(E10&lt;&gt;"", A8&lt;&gt;""), A8+1, "")</f>
        <v>#REF!</v>
      </c>
      <c r="B13" s="419"/>
      <c r="C13" s="422"/>
      <c r="D13" s="197" t="s">
        <v>424</v>
      </c>
      <c r="E13" s="247">
        <v>1280</v>
      </c>
      <c r="F13" s="248">
        <v>0</v>
      </c>
      <c r="G13" s="248">
        <v>0</v>
      </c>
      <c r="H13" s="273">
        <v>1280</v>
      </c>
      <c r="I13" s="274">
        <v>0</v>
      </c>
    </row>
    <row r="14" spans="1:9" ht="15.75" customHeight="1" thickBot="1" x14ac:dyDescent="0.35">
      <c r="A14" s="199" t="e">
        <f>IF(AND(E10&lt;&gt;"", A9&lt;&gt;""), A9+1, "")</f>
        <v>#REF!</v>
      </c>
      <c r="B14" s="420"/>
      <c r="C14" s="404"/>
      <c r="D14" s="198" t="s">
        <v>450</v>
      </c>
      <c r="E14" s="251">
        <v>5140</v>
      </c>
      <c r="F14" s="252">
        <v>800</v>
      </c>
      <c r="G14" s="252">
        <v>965</v>
      </c>
      <c r="H14" s="275">
        <v>4975</v>
      </c>
      <c r="I14" s="276">
        <v>0</v>
      </c>
    </row>
    <row r="15" spans="1:9" x14ac:dyDescent="0.3">
      <c r="A15" s="199" t="e">
        <f>IF(AND(E15&lt;&gt;"", A10&lt;&gt;""), A10+1, "")</f>
        <v>#REF!</v>
      </c>
      <c r="B15" s="418">
        <v>46251</v>
      </c>
      <c r="C15" s="421">
        <f>B15</f>
        <v>46251</v>
      </c>
      <c r="D15" s="196" t="s">
        <v>418</v>
      </c>
      <c r="E15" s="243">
        <v>7969</v>
      </c>
      <c r="F15" s="244">
        <v>2350</v>
      </c>
      <c r="G15" s="244">
        <v>1417</v>
      </c>
      <c r="H15" s="271">
        <v>8902</v>
      </c>
      <c r="I15" s="272">
        <v>0</v>
      </c>
    </row>
    <row r="16" spans="1:9" x14ac:dyDescent="0.3">
      <c r="A16" s="199" t="e">
        <f>IF(AND(E15&lt;&gt;"", A11&lt;&gt;""), A11+1, "")</f>
        <v>#REF!</v>
      </c>
      <c r="B16" s="419"/>
      <c r="C16" s="422"/>
      <c r="D16" s="197" t="s">
        <v>420</v>
      </c>
      <c r="E16" s="247">
        <v>7100</v>
      </c>
      <c r="F16" s="248">
        <v>0</v>
      </c>
      <c r="G16" s="248">
        <v>0</v>
      </c>
      <c r="H16" s="273">
        <v>7100</v>
      </c>
      <c r="I16" s="274">
        <v>0</v>
      </c>
    </row>
    <row r="17" spans="1:9" x14ac:dyDescent="0.3">
      <c r="A17" s="199" t="e">
        <f>IF(AND(E15&lt;&gt;"", A12&lt;&gt;""), A12+1, "")</f>
        <v>#REF!</v>
      </c>
      <c r="B17" s="419"/>
      <c r="C17" s="422"/>
      <c r="D17" s="197" t="s">
        <v>426</v>
      </c>
      <c r="E17" s="247">
        <v>6092</v>
      </c>
      <c r="F17" s="248">
        <v>1960</v>
      </c>
      <c r="G17" s="248">
        <v>1417</v>
      </c>
      <c r="H17" s="273">
        <v>6635</v>
      </c>
      <c r="I17" s="274">
        <v>0</v>
      </c>
    </row>
    <row r="18" spans="1:9" x14ac:dyDescent="0.3">
      <c r="A18" s="199" t="e">
        <f>IF(AND(E15&lt;&gt;"", A13&lt;&gt;""), A13+1, "")</f>
        <v>#REF!</v>
      </c>
      <c r="B18" s="419"/>
      <c r="C18" s="422"/>
      <c r="D18" s="197" t="s">
        <v>424</v>
      </c>
      <c r="E18" s="247">
        <v>1280</v>
      </c>
      <c r="F18" s="248">
        <v>0</v>
      </c>
      <c r="G18" s="248">
        <v>0</v>
      </c>
      <c r="H18" s="273">
        <v>1280</v>
      </c>
      <c r="I18" s="274">
        <v>0</v>
      </c>
    </row>
    <row r="19" spans="1:9" ht="15.75" customHeight="1" thickBot="1" x14ac:dyDescent="0.35">
      <c r="A19" s="199" t="e">
        <f>IF(AND(E15&lt;&gt;"", A14&lt;&gt;""), A14+1, "")</f>
        <v>#REF!</v>
      </c>
      <c r="B19" s="420"/>
      <c r="C19" s="404"/>
      <c r="D19" s="198" t="s">
        <v>450</v>
      </c>
      <c r="E19" s="251">
        <v>4975</v>
      </c>
      <c r="F19" s="252">
        <v>800</v>
      </c>
      <c r="G19" s="252">
        <v>1417</v>
      </c>
      <c r="H19" s="275">
        <v>4358</v>
      </c>
      <c r="I19" s="276">
        <v>0</v>
      </c>
    </row>
    <row r="20" spans="1:9" x14ac:dyDescent="0.3">
      <c r="A20" s="199" t="e">
        <f>IF(AND(E20&lt;&gt;"", A15&lt;&gt;""), A15+1, "")</f>
        <v>#REF!</v>
      </c>
      <c r="B20" s="418">
        <v>46252</v>
      </c>
      <c r="C20" s="421">
        <f>B20</f>
        <v>46252</v>
      </c>
      <c r="D20" s="196" t="s">
        <v>418</v>
      </c>
      <c r="E20" s="243">
        <v>8902</v>
      </c>
      <c r="F20" s="244">
        <v>2084</v>
      </c>
      <c r="G20" s="244">
        <v>1700</v>
      </c>
      <c r="H20" s="271">
        <v>9286</v>
      </c>
      <c r="I20" s="272">
        <v>0</v>
      </c>
    </row>
    <row r="21" spans="1:9" x14ac:dyDescent="0.3">
      <c r="A21" s="199" t="e">
        <f>IF(AND(E20&lt;&gt;"", A16&lt;&gt;""), A16+1, "")</f>
        <v>#REF!</v>
      </c>
      <c r="B21" s="419"/>
      <c r="C21" s="422"/>
      <c r="D21" s="197" t="s">
        <v>420</v>
      </c>
      <c r="E21" s="247">
        <v>7100</v>
      </c>
      <c r="F21" s="248">
        <v>0</v>
      </c>
      <c r="G21" s="248">
        <v>0</v>
      </c>
      <c r="H21" s="273">
        <v>7100</v>
      </c>
      <c r="I21" s="274">
        <v>0</v>
      </c>
    </row>
    <row r="22" spans="1:9" x14ac:dyDescent="0.3">
      <c r="A22" s="199" t="e">
        <f>IF(AND(E20&lt;&gt;"", A17&lt;&gt;""), A17+1, "")</f>
        <v>#REF!</v>
      </c>
      <c r="B22" s="419"/>
      <c r="C22" s="422"/>
      <c r="D22" s="197" t="s">
        <v>426</v>
      </c>
      <c r="E22" s="247">
        <v>6635</v>
      </c>
      <c r="F22" s="248">
        <v>1740</v>
      </c>
      <c r="G22" s="248">
        <v>1700</v>
      </c>
      <c r="H22" s="273">
        <v>6675</v>
      </c>
      <c r="I22" s="274">
        <v>0</v>
      </c>
    </row>
    <row r="23" spans="1:9" x14ac:dyDescent="0.3">
      <c r="A23" s="199" t="e">
        <f>IF(AND(E20&lt;&gt;"", A18&lt;&gt;""), A18+1, "")</f>
        <v>#REF!</v>
      </c>
      <c r="B23" s="419"/>
      <c r="C23" s="422"/>
      <c r="D23" s="197" t="s">
        <v>424</v>
      </c>
      <c r="E23" s="247">
        <v>1280</v>
      </c>
      <c r="F23" s="248">
        <v>0</v>
      </c>
      <c r="G23" s="248">
        <v>0</v>
      </c>
      <c r="H23" s="273">
        <v>1280</v>
      </c>
      <c r="I23" s="274">
        <v>0</v>
      </c>
    </row>
    <row r="24" spans="1:9" ht="15.75" customHeight="1" thickBot="1" x14ac:dyDescent="0.35">
      <c r="A24" s="199" t="e">
        <f>IF(AND(E20&lt;&gt;"", A19&lt;&gt;""), A19+1, "")</f>
        <v>#REF!</v>
      </c>
      <c r="B24" s="420"/>
      <c r="C24" s="404"/>
      <c r="D24" s="198" t="s">
        <v>450</v>
      </c>
      <c r="E24" s="251">
        <v>4358</v>
      </c>
      <c r="F24" s="252">
        <v>800</v>
      </c>
      <c r="G24" s="252">
        <v>1700</v>
      </c>
      <c r="H24" s="275">
        <v>3458</v>
      </c>
      <c r="I24" s="276">
        <v>0</v>
      </c>
    </row>
    <row r="25" spans="1:9" x14ac:dyDescent="0.3">
      <c r="A25" s="199" t="e">
        <f>IF(AND(E25&lt;&gt;"", A20&lt;&gt;""), A20+1, "")</f>
        <v>#REF!</v>
      </c>
      <c r="B25" s="418">
        <v>46253</v>
      </c>
      <c r="C25" s="421">
        <f>B25</f>
        <v>46253</v>
      </c>
      <c r="D25" s="196" t="s">
        <v>418</v>
      </c>
      <c r="E25" s="243">
        <v>9286</v>
      </c>
      <c r="F25" s="244">
        <v>2355</v>
      </c>
      <c r="G25" s="244">
        <v>1000</v>
      </c>
      <c r="H25" s="271">
        <v>10641</v>
      </c>
      <c r="I25" s="272">
        <v>0</v>
      </c>
    </row>
    <row r="26" spans="1:9" x14ac:dyDescent="0.3">
      <c r="A26" s="199" t="e">
        <f>IF(AND(E25&lt;&gt;"", A21&lt;&gt;""), A21+1, "")</f>
        <v>#REF!</v>
      </c>
      <c r="B26" s="419"/>
      <c r="C26" s="422"/>
      <c r="D26" s="197" t="s">
        <v>420</v>
      </c>
      <c r="E26" s="247">
        <v>7100</v>
      </c>
      <c r="F26" s="248">
        <v>0</v>
      </c>
      <c r="G26" s="248">
        <v>610</v>
      </c>
      <c r="H26" s="273">
        <v>6490</v>
      </c>
      <c r="I26" s="274">
        <v>0</v>
      </c>
    </row>
    <row r="27" spans="1:9" x14ac:dyDescent="0.3">
      <c r="A27" s="199" t="e">
        <f>IF(AND(E25&lt;&gt;"", A22&lt;&gt;""), A22+1, "")</f>
        <v>#REF!</v>
      </c>
      <c r="B27" s="419"/>
      <c r="C27" s="422"/>
      <c r="D27" s="197" t="s">
        <v>426</v>
      </c>
      <c r="E27" s="247">
        <v>6675</v>
      </c>
      <c r="F27" s="248">
        <v>2360</v>
      </c>
      <c r="G27" s="248">
        <v>1610</v>
      </c>
      <c r="H27" s="273">
        <v>7425</v>
      </c>
      <c r="I27" s="274">
        <v>0</v>
      </c>
    </row>
    <row r="28" spans="1:9" x14ac:dyDescent="0.3">
      <c r="A28" s="199" t="e">
        <f>IF(AND(E25&lt;&gt;"", A23&lt;&gt;""), A23+1, "")</f>
        <v>#REF!</v>
      </c>
      <c r="B28" s="419"/>
      <c r="C28" s="422"/>
      <c r="D28" s="197" t="s">
        <v>424</v>
      </c>
      <c r="E28" s="247">
        <v>1280</v>
      </c>
      <c r="F28" s="248">
        <v>0</v>
      </c>
      <c r="G28" s="248">
        <v>0</v>
      </c>
      <c r="H28" s="273">
        <v>1280</v>
      </c>
      <c r="I28" s="274">
        <v>0</v>
      </c>
    </row>
    <row r="29" spans="1:9" ht="15.75" customHeight="1" thickBot="1" x14ac:dyDescent="0.35">
      <c r="A29" s="199" t="e">
        <f>IF(AND(E25&lt;&gt;"", A24&lt;&gt;""), A24+1, "")</f>
        <v>#REF!</v>
      </c>
      <c r="B29" s="420"/>
      <c r="C29" s="404"/>
      <c r="D29" s="198" t="s">
        <v>450</v>
      </c>
      <c r="E29" s="251">
        <v>3458</v>
      </c>
      <c r="F29" s="252">
        <v>800</v>
      </c>
      <c r="G29" s="252">
        <v>1000</v>
      </c>
      <c r="H29" s="275">
        <v>3258</v>
      </c>
      <c r="I29" s="276">
        <v>0</v>
      </c>
    </row>
    <row r="30" spans="1:9" x14ac:dyDescent="0.3">
      <c r="A30" s="199" t="e">
        <f>IF(AND(E30&lt;&gt;"", A25&lt;&gt;""), A25+1, "")</f>
        <v>#REF!</v>
      </c>
      <c r="B30" s="418">
        <v>46254</v>
      </c>
      <c r="C30" s="421">
        <f>B30</f>
        <v>46254</v>
      </c>
      <c r="D30" s="196" t="s">
        <v>418</v>
      </c>
      <c r="E30" s="243">
        <v>10400</v>
      </c>
      <c r="F30" s="244">
        <v>635</v>
      </c>
      <c r="G30" s="244">
        <v>0</v>
      </c>
      <c r="H30" s="271">
        <v>11035</v>
      </c>
      <c r="I30" s="272" t="str">
        <v>audit</v>
      </c>
    </row>
    <row r="31" spans="1:9" x14ac:dyDescent="0.3">
      <c r="A31" s="199" t="e">
        <f>IF(AND(E30&lt;&gt;"", A26&lt;&gt;""), A26+1, "")</f>
        <v>#REF!</v>
      </c>
      <c r="B31" s="419"/>
      <c r="C31" s="422"/>
      <c r="D31" s="197" t="s">
        <v>420</v>
      </c>
      <c r="E31" s="247">
        <v>6060</v>
      </c>
      <c r="F31" s="248">
        <v>1200</v>
      </c>
      <c r="G31" s="248">
        <v>1200</v>
      </c>
      <c r="H31" s="273">
        <v>6060</v>
      </c>
      <c r="I31" s="274">
        <v>0</v>
      </c>
    </row>
    <row r="32" spans="1:9" x14ac:dyDescent="0.3">
      <c r="A32" s="199" t="e">
        <f>IF(AND(E30&lt;&gt;"", A27&lt;&gt;""), A27+1, "")</f>
        <v>#REF!</v>
      </c>
      <c r="B32" s="419"/>
      <c r="C32" s="422"/>
      <c r="D32" s="197" t="s">
        <v>426</v>
      </c>
      <c r="E32" s="247">
        <v>7490</v>
      </c>
      <c r="F32" s="248">
        <v>2165</v>
      </c>
      <c r="G32" s="248">
        <v>1200</v>
      </c>
      <c r="H32" s="273">
        <v>8455</v>
      </c>
      <c r="I32" s="274">
        <v>0</v>
      </c>
    </row>
    <row r="33" spans="1:9" x14ac:dyDescent="0.3">
      <c r="A33" s="199" t="e">
        <f>IF(AND(E30&lt;&gt;"", A28&lt;&gt;""), A28+1, "")</f>
        <v>#REF!</v>
      </c>
      <c r="B33" s="419"/>
      <c r="C33" s="422"/>
      <c r="D33" s="197" t="s">
        <v>424</v>
      </c>
      <c r="E33" s="247">
        <v>1280</v>
      </c>
      <c r="F33" s="248">
        <v>0</v>
      </c>
      <c r="G33" s="248">
        <v>0</v>
      </c>
      <c r="H33" s="273">
        <v>1280</v>
      </c>
      <c r="I33" s="274">
        <v>0</v>
      </c>
    </row>
    <row r="34" spans="1:9" ht="15.75" customHeight="1" thickBot="1" x14ac:dyDescent="0.35">
      <c r="A34" s="199" t="e">
        <f>IF(AND(E30&lt;&gt;"", A29&lt;&gt;""), A29+1, "")</f>
        <v>#REF!</v>
      </c>
      <c r="B34" s="420"/>
      <c r="C34" s="404"/>
      <c r="D34" s="198" t="s">
        <v>450</v>
      </c>
      <c r="E34" s="251">
        <v>2580</v>
      </c>
      <c r="F34" s="252">
        <v>691</v>
      </c>
      <c r="G34" s="252">
        <v>0</v>
      </c>
      <c r="H34" s="275">
        <v>3271</v>
      </c>
      <c r="I34" s="276">
        <v>0</v>
      </c>
    </row>
    <row r="35" spans="1:9" x14ac:dyDescent="0.3">
      <c r="A35" s="199" t="e">
        <f>IF(AND(E35&lt;&gt;"", A30&lt;&gt;""), A30+1, "")</f>
        <v>#REF!</v>
      </c>
      <c r="B35" s="418">
        <v>46255</v>
      </c>
      <c r="C35" s="421">
        <f>B35</f>
        <v>46255</v>
      </c>
      <c r="D35" s="196" t="s">
        <v>418</v>
      </c>
      <c r="E35" s="243">
        <v>0</v>
      </c>
      <c r="F35" s="244">
        <v>0</v>
      </c>
      <c r="G35" s="244">
        <v>0</v>
      </c>
      <c r="H35" s="271">
        <v>0</v>
      </c>
      <c r="I35" s="272">
        <v>0</v>
      </c>
    </row>
    <row r="36" spans="1:9" x14ac:dyDescent="0.3">
      <c r="A36" s="199" t="e">
        <f>IF(AND(E35&lt;&gt;"", A31&lt;&gt;""), A31+1, "")</f>
        <v>#REF!</v>
      </c>
      <c r="B36" s="419"/>
      <c r="C36" s="422"/>
      <c r="D36" s="197" t="s">
        <v>420</v>
      </c>
      <c r="E36" s="247">
        <v>0</v>
      </c>
      <c r="F36" s="248">
        <v>0</v>
      </c>
      <c r="G36" s="248">
        <v>0</v>
      </c>
      <c r="H36" s="273">
        <v>0</v>
      </c>
      <c r="I36" s="274">
        <v>0</v>
      </c>
    </row>
    <row r="37" spans="1:9" x14ac:dyDescent="0.3">
      <c r="A37" s="199" t="e">
        <f>IF(AND(E35&lt;&gt;"", A32&lt;&gt;""), A32+1, "")</f>
        <v>#REF!</v>
      </c>
      <c r="B37" s="419"/>
      <c r="C37" s="422"/>
      <c r="D37" s="197" t="s">
        <v>426</v>
      </c>
      <c r="E37" s="247">
        <v>0</v>
      </c>
      <c r="F37" s="248">
        <v>0</v>
      </c>
      <c r="G37" s="248">
        <v>0</v>
      </c>
      <c r="H37" s="273">
        <v>0</v>
      </c>
      <c r="I37" s="274">
        <v>0</v>
      </c>
    </row>
    <row r="38" spans="1:9" x14ac:dyDescent="0.3">
      <c r="A38" s="199" t="e">
        <f>IF(AND(E35&lt;&gt;"", A33&lt;&gt;""), A33+1, "")</f>
        <v>#REF!</v>
      </c>
      <c r="B38" s="419"/>
      <c r="C38" s="422"/>
      <c r="D38" s="197" t="s">
        <v>424</v>
      </c>
      <c r="E38" s="247">
        <v>0</v>
      </c>
      <c r="F38" s="248">
        <v>0</v>
      </c>
      <c r="G38" s="248">
        <v>0</v>
      </c>
      <c r="H38" s="273">
        <v>0</v>
      </c>
      <c r="I38" s="274">
        <v>0</v>
      </c>
    </row>
    <row r="39" spans="1:9" ht="15.75" customHeight="1" thickBot="1" x14ac:dyDescent="0.35">
      <c r="A39" s="199" t="e">
        <f>IF(AND(E35&lt;&gt;"", A34&lt;&gt;""), A34+1, "")</f>
        <v>#REF!</v>
      </c>
      <c r="B39" s="420"/>
      <c r="C39" s="404"/>
      <c r="D39" s="198" t="s">
        <v>450</v>
      </c>
      <c r="E39" s="251">
        <v>0</v>
      </c>
      <c r="F39" s="252">
        <v>0</v>
      </c>
      <c r="G39" s="252">
        <v>0</v>
      </c>
      <c r="H39" s="275">
        <v>0</v>
      </c>
      <c r="I39" s="276">
        <v>0</v>
      </c>
    </row>
    <row r="40" spans="1:9" x14ac:dyDescent="0.3">
      <c r="A40" s="199" t="e">
        <f>IF(AND(E40&lt;&gt;"", A35&lt;&gt;""), A35+1, "")</f>
        <v>#REF!</v>
      </c>
      <c r="B40" s="418">
        <v>46256</v>
      </c>
      <c r="C40" s="421">
        <f>B40</f>
        <v>46256</v>
      </c>
      <c r="D40" s="196" t="s">
        <v>418</v>
      </c>
      <c r="E40" s="243">
        <v>11035</v>
      </c>
      <c r="F40" s="244">
        <v>0</v>
      </c>
      <c r="G40" s="244">
        <v>0</v>
      </c>
      <c r="H40" s="271">
        <v>11035</v>
      </c>
      <c r="I40" s="272">
        <v>0</v>
      </c>
    </row>
    <row r="41" spans="1:9" x14ac:dyDescent="0.3">
      <c r="A41" s="199" t="e">
        <f>IF(AND(E40&lt;&gt;"", A36&lt;&gt;""), A36+1, "")</f>
        <v>#REF!</v>
      </c>
      <c r="B41" s="419"/>
      <c r="C41" s="422"/>
      <c r="D41" s="197" t="s">
        <v>420</v>
      </c>
      <c r="E41" s="247">
        <v>6060</v>
      </c>
      <c r="F41" s="248">
        <v>1824</v>
      </c>
      <c r="G41" s="248">
        <v>1400</v>
      </c>
      <c r="H41" s="273">
        <v>6484</v>
      </c>
      <c r="I41" s="274">
        <v>0</v>
      </c>
    </row>
    <row r="42" spans="1:9" x14ac:dyDescent="0.3">
      <c r="A42" s="199" t="e">
        <f>IF(AND(E40&lt;&gt;"", A37&lt;&gt;""), A37+1, "")</f>
        <v>#REF!</v>
      </c>
      <c r="B42" s="419"/>
      <c r="C42" s="422"/>
      <c r="D42" s="197" t="s">
        <v>426</v>
      </c>
      <c r="E42" s="247">
        <v>8455</v>
      </c>
      <c r="F42" s="248">
        <v>3098</v>
      </c>
      <c r="G42" s="248">
        <v>1400</v>
      </c>
      <c r="H42" s="273">
        <v>10153</v>
      </c>
      <c r="I42" s="274">
        <v>0</v>
      </c>
    </row>
    <row r="43" spans="1:9" x14ac:dyDescent="0.3">
      <c r="A43" s="199" t="e">
        <f>IF(AND(E40&lt;&gt;"", A38&lt;&gt;""), A38+1, "")</f>
        <v>#REF!</v>
      </c>
      <c r="B43" s="419"/>
      <c r="C43" s="422"/>
      <c r="D43" s="197" t="s">
        <v>424</v>
      </c>
      <c r="E43" s="247">
        <v>1280</v>
      </c>
      <c r="F43" s="248">
        <v>0</v>
      </c>
      <c r="G43" s="248">
        <v>0</v>
      </c>
      <c r="H43" s="273">
        <v>1280</v>
      </c>
      <c r="I43" s="274">
        <v>0</v>
      </c>
    </row>
    <row r="44" spans="1:9" ht="15.75" customHeight="1" thickBot="1" x14ac:dyDescent="0.35">
      <c r="A44" s="199" t="e">
        <f>IF(AND(E40&lt;&gt;"", A39&lt;&gt;""), A39+1, "")</f>
        <v>#REF!</v>
      </c>
      <c r="B44" s="420"/>
      <c r="C44" s="404"/>
      <c r="D44" s="198" t="s">
        <v>450</v>
      </c>
      <c r="E44" s="251">
        <v>3271</v>
      </c>
      <c r="F44" s="252">
        <v>706</v>
      </c>
      <c r="G44" s="252">
        <v>0</v>
      </c>
      <c r="H44" s="275">
        <v>3977</v>
      </c>
      <c r="I44" s="276">
        <v>0</v>
      </c>
    </row>
    <row r="45" spans="1:9" x14ac:dyDescent="0.3">
      <c r="A45" s="199" t="e">
        <f>IF(AND(E45&lt;&gt;"", A40&lt;&gt;""), A40+1, "")</f>
        <v>#REF!</v>
      </c>
      <c r="B45" s="418">
        <v>46257</v>
      </c>
      <c r="C45" s="421">
        <f>B45</f>
        <v>46257</v>
      </c>
      <c r="D45" s="196" t="s">
        <v>418</v>
      </c>
      <c r="E45" s="243">
        <v>11035</v>
      </c>
      <c r="F45" s="244">
        <v>0</v>
      </c>
      <c r="G45" s="244">
        <v>0</v>
      </c>
      <c r="H45" s="271">
        <v>11035</v>
      </c>
      <c r="I45" s="272">
        <v>0</v>
      </c>
    </row>
    <row r="46" spans="1:9" x14ac:dyDescent="0.3">
      <c r="A46" s="199" t="e">
        <f>IF(AND(E45&lt;&gt;"", A41&lt;&gt;""), A41+1, "")</f>
        <v>#REF!</v>
      </c>
      <c r="B46" s="419"/>
      <c r="C46" s="422"/>
      <c r="D46" s="197" t="s">
        <v>420</v>
      </c>
      <c r="E46" s="247">
        <v>6484</v>
      </c>
      <c r="F46" s="248">
        <v>2103</v>
      </c>
      <c r="G46" s="248">
        <v>1697</v>
      </c>
      <c r="H46" s="273">
        <v>6890</v>
      </c>
      <c r="I46" s="274">
        <v>0</v>
      </c>
    </row>
    <row r="47" spans="1:9" x14ac:dyDescent="0.3">
      <c r="A47" s="199" t="e">
        <f>IF(AND(E45&lt;&gt;"", A42&lt;&gt;""), A42+1, "")</f>
        <v>#REF!</v>
      </c>
      <c r="B47" s="419"/>
      <c r="C47" s="422"/>
      <c r="D47" s="197" t="s">
        <v>426</v>
      </c>
      <c r="E47" s="247">
        <v>10153</v>
      </c>
      <c r="F47" s="248">
        <v>460</v>
      </c>
      <c r="G47" s="248">
        <v>1697</v>
      </c>
      <c r="H47" s="273">
        <v>8916</v>
      </c>
      <c r="I47" s="274">
        <v>0</v>
      </c>
    </row>
    <row r="48" spans="1:9" x14ac:dyDescent="0.3">
      <c r="A48" s="199" t="e">
        <f>IF(AND(E45&lt;&gt;"", A43&lt;&gt;""), A43+1, "")</f>
        <v>#REF!</v>
      </c>
      <c r="B48" s="419"/>
      <c r="C48" s="422"/>
      <c r="D48" s="197" t="s">
        <v>424</v>
      </c>
      <c r="E48" s="247">
        <v>1280</v>
      </c>
      <c r="F48" s="248">
        <v>1280</v>
      </c>
      <c r="G48" s="248">
        <v>0</v>
      </c>
      <c r="H48" s="273">
        <v>2560</v>
      </c>
      <c r="I48" s="274">
        <v>0</v>
      </c>
    </row>
    <row r="49" spans="1:9" ht="15.75" customHeight="1" thickBot="1" x14ac:dyDescent="0.35">
      <c r="A49" s="199" t="e">
        <f>IF(AND(E45&lt;&gt;"", A44&lt;&gt;""), A44+1, "")</f>
        <v>#REF!</v>
      </c>
      <c r="B49" s="420"/>
      <c r="C49" s="404"/>
      <c r="D49" s="198" t="s">
        <v>450</v>
      </c>
      <c r="E49" s="251">
        <v>3977</v>
      </c>
      <c r="F49" s="252">
        <v>755</v>
      </c>
      <c r="G49" s="252">
        <v>0</v>
      </c>
      <c r="H49" s="275">
        <v>4732</v>
      </c>
      <c r="I49" s="276">
        <v>0</v>
      </c>
    </row>
    <row r="50" spans="1:9" x14ac:dyDescent="0.3">
      <c r="A50" s="199" t="e">
        <f>IF(AND(E50&lt;&gt;"", A45&lt;&gt;""), A45+1, "")</f>
        <v>#REF!</v>
      </c>
      <c r="B50" s="418">
        <v>46258</v>
      </c>
      <c r="C50" s="421">
        <f>B50</f>
        <v>46258</v>
      </c>
      <c r="D50" s="196" t="s">
        <v>418</v>
      </c>
      <c r="E50" s="243">
        <v>0</v>
      </c>
      <c r="F50" s="244">
        <v>0</v>
      </c>
      <c r="G50" s="244">
        <v>0</v>
      </c>
      <c r="H50" s="271">
        <v>0</v>
      </c>
      <c r="I50" s="272">
        <v>0</v>
      </c>
    </row>
    <row r="51" spans="1:9" x14ac:dyDescent="0.3">
      <c r="A51" s="199" t="e">
        <f>IF(AND(E50&lt;&gt;"", A46&lt;&gt;""), A46+1, "")</f>
        <v>#REF!</v>
      </c>
      <c r="B51" s="419"/>
      <c r="C51" s="422"/>
      <c r="D51" s="197" t="s">
        <v>420</v>
      </c>
      <c r="E51" s="247">
        <v>0</v>
      </c>
      <c r="F51" s="248">
        <v>0</v>
      </c>
      <c r="G51" s="248">
        <v>0</v>
      </c>
      <c r="H51" s="273">
        <v>0</v>
      </c>
      <c r="I51" s="274">
        <v>0</v>
      </c>
    </row>
    <row r="52" spans="1:9" x14ac:dyDescent="0.3">
      <c r="A52" s="199" t="e">
        <f>IF(AND(E50&lt;&gt;"", A47&lt;&gt;""), A47+1, "")</f>
        <v>#REF!</v>
      </c>
      <c r="B52" s="419"/>
      <c r="C52" s="422"/>
      <c r="D52" s="197" t="s">
        <v>426</v>
      </c>
      <c r="E52" s="247">
        <v>0</v>
      </c>
      <c r="F52" s="248">
        <v>0</v>
      </c>
      <c r="G52" s="248">
        <v>0</v>
      </c>
      <c r="H52" s="273">
        <v>0</v>
      </c>
      <c r="I52" s="274">
        <v>0</v>
      </c>
    </row>
    <row r="53" spans="1:9" x14ac:dyDescent="0.3">
      <c r="A53" s="199" t="e">
        <f>IF(AND(E50&lt;&gt;"", A48&lt;&gt;""), A48+1, "")</f>
        <v>#REF!</v>
      </c>
      <c r="B53" s="419"/>
      <c r="C53" s="422"/>
      <c r="D53" s="197" t="s">
        <v>424</v>
      </c>
      <c r="E53" s="247">
        <v>0</v>
      </c>
      <c r="F53" s="248">
        <v>0</v>
      </c>
      <c r="G53" s="248">
        <v>0</v>
      </c>
      <c r="H53" s="273">
        <v>0</v>
      </c>
      <c r="I53" s="274">
        <v>0</v>
      </c>
    </row>
    <row r="54" spans="1:9" ht="15.75" customHeight="1" thickBot="1" x14ac:dyDescent="0.35">
      <c r="A54" s="199" t="e">
        <f>IF(AND(E50&lt;&gt;"", A49&lt;&gt;""), A49+1, "")</f>
        <v>#REF!</v>
      </c>
      <c r="B54" s="420"/>
      <c r="C54" s="404"/>
      <c r="D54" s="198" t="s">
        <v>450</v>
      </c>
      <c r="E54" s="251">
        <v>0</v>
      </c>
      <c r="F54" s="252">
        <v>0</v>
      </c>
      <c r="G54" s="252">
        <v>0</v>
      </c>
      <c r="H54" s="275">
        <v>0</v>
      </c>
      <c r="I54" s="276">
        <v>0</v>
      </c>
    </row>
    <row r="55" spans="1:9" x14ac:dyDescent="0.3">
      <c r="A55" s="199" t="e">
        <f>IF(AND(E55&lt;&gt;"", A50&lt;&gt;""), A50+1, "")</f>
        <v>#REF!</v>
      </c>
      <c r="B55" s="418">
        <v>46259</v>
      </c>
      <c r="C55" s="421">
        <f>B55</f>
        <v>46259</v>
      </c>
      <c r="D55" s="196" t="s">
        <v>418</v>
      </c>
      <c r="E55" s="243">
        <v>0</v>
      </c>
      <c r="F55" s="244">
        <v>0</v>
      </c>
      <c r="G55" s="244">
        <v>0</v>
      </c>
      <c r="H55" s="271">
        <v>0</v>
      </c>
      <c r="I55" s="272">
        <v>0</v>
      </c>
    </row>
    <row r="56" spans="1:9" x14ac:dyDescent="0.3">
      <c r="A56" s="199" t="e">
        <f>IF(AND(E55&lt;&gt;"", A51&lt;&gt;""), A51+1, "")</f>
        <v>#REF!</v>
      </c>
      <c r="B56" s="419"/>
      <c r="C56" s="422"/>
      <c r="D56" s="197" t="s">
        <v>420</v>
      </c>
      <c r="E56" s="247">
        <v>0</v>
      </c>
      <c r="F56" s="248">
        <v>0</v>
      </c>
      <c r="G56" s="248">
        <v>0</v>
      </c>
      <c r="H56" s="273">
        <v>0</v>
      </c>
      <c r="I56" s="274">
        <v>0</v>
      </c>
    </row>
    <row r="57" spans="1:9" x14ac:dyDescent="0.3">
      <c r="A57" s="199" t="e">
        <f>IF(AND(E55&lt;&gt;"", A52&lt;&gt;""), A52+1, "")</f>
        <v>#REF!</v>
      </c>
      <c r="B57" s="419"/>
      <c r="C57" s="422"/>
      <c r="D57" s="197" t="s">
        <v>426</v>
      </c>
      <c r="E57" s="247">
        <v>0</v>
      </c>
      <c r="F57" s="248">
        <v>0</v>
      </c>
      <c r="G57" s="248">
        <v>0</v>
      </c>
      <c r="H57" s="273">
        <v>0</v>
      </c>
      <c r="I57" s="274">
        <v>0</v>
      </c>
    </row>
    <row r="58" spans="1:9" x14ac:dyDescent="0.3">
      <c r="A58" s="199" t="e">
        <f>IF(AND(E55&lt;&gt;"", A53&lt;&gt;""), A53+1, "")</f>
        <v>#REF!</v>
      </c>
      <c r="B58" s="419"/>
      <c r="C58" s="422"/>
      <c r="D58" s="197" t="s">
        <v>424</v>
      </c>
      <c r="E58" s="247">
        <v>0</v>
      </c>
      <c r="F58" s="248">
        <v>0</v>
      </c>
      <c r="G58" s="248">
        <v>0</v>
      </c>
      <c r="H58" s="273">
        <v>0</v>
      </c>
      <c r="I58" s="274">
        <v>0</v>
      </c>
    </row>
    <row r="59" spans="1:9" ht="15.75" customHeight="1" thickBot="1" x14ac:dyDescent="0.35">
      <c r="A59" s="199" t="e">
        <f>IF(AND(E55&lt;&gt;"", A54&lt;&gt;""), A54+1, "")</f>
        <v>#REF!</v>
      </c>
      <c r="B59" s="420"/>
      <c r="C59" s="404"/>
      <c r="D59" s="198" t="s">
        <v>450</v>
      </c>
      <c r="E59" s="251">
        <v>0</v>
      </c>
      <c r="F59" s="252">
        <v>0</v>
      </c>
      <c r="G59" s="252">
        <v>0</v>
      </c>
      <c r="H59" s="275">
        <v>0</v>
      </c>
      <c r="I59" s="276">
        <v>0</v>
      </c>
    </row>
    <row r="60" spans="1:9" x14ac:dyDescent="0.3">
      <c r="A60" s="199" t="e">
        <f>IF(AND(E60&lt;&gt;"", A55&lt;&gt;""), A55+1, "")</f>
        <v>#REF!</v>
      </c>
      <c r="B60" s="418">
        <v>46260</v>
      </c>
      <c r="C60" s="421">
        <f>B60</f>
        <v>46260</v>
      </c>
      <c r="D60" s="196" t="s">
        <v>418</v>
      </c>
      <c r="E60" s="243">
        <v>0</v>
      </c>
      <c r="F60" s="244">
        <v>0</v>
      </c>
      <c r="G60" s="244">
        <v>0</v>
      </c>
      <c r="H60" s="271">
        <v>0</v>
      </c>
      <c r="I60" s="272">
        <v>0</v>
      </c>
    </row>
    <row r="61" spans="1:9" x14ac:dyDescent="0.3">
      <c r="A61" s="199" t="e">
        <f>IF(AND(E60&lt;&gt;"", A56&lt;&gt;""), A56+1, "")</f>
        <v>#REF!</v>
      </c>
      <c r="B61" s="419"/>
      <c r="C61" s="422"/>
      <c r="D61" s="197" t="s">
        <v>420</v>
      </c>
      <c r="E61" s="247">
        <v>0</v>
      </c>
      <c r="F61" s="248">
        <v>0</v>
      </c>
      <c r="G61" s="248">
        <v>0</v>
      </c>
      <c r="H61" s="273">
        <v>0</v>
      </c>
      <c r="I61" s="274">
        <v>0</v>
      </c>
    </row>
    <row r="62" spans="1:9" x14ac:dyDescent="0.3">
      <c r="A62" s="199" t="e">
        <f>IF(AND(E60&lt;&gt;"", A57&lt;&gt;""), A57+1, "")</f>
        <v>#REF!</v>
      </c>
      <c r="B62" s="419"/>
      <c r="C62" s="422"/>
      <c r="D62" s="197" t="s">
        <v>426</v>
      </c>
      <c r="E62" s="247">
        <v>0</v>
      </c>
      <c r="F62" s="248">
        <v>0</v>
      </c>
      <c r="G62" s="248">
        <v>0</v>
      </c>
      <c r="H62" s="273">
        <v>0</v>
      </c>
      <c r="I62" s="274">
        <v>0</v>
      </c>
    </row>
    <row r="63" spans="1:9" x14ac:dyDescent="0.3">
      <c r="A63" s="199" t="e">
        <f>IF(AND(E60&lt;&gt;"", A58&lt;&gt;""), A58+1, "")</f>
        <v>#REF!</v>
      </c>
      <c r="B63" s="419"/>
      <c r="C63" s="422"/>
      <c r="D63" s="197" t="s">
        <v>424</v>
      </c>
      <c r="E63" s="247">
        <v>0</v>
      </c>
      <c r="F63" s="248">
        <v>0</v>
      </c>
      <c r="G63" s="248">
        <v>0</v>
      </c>
      <c r="H63" s="273">
        <v>0</v>
      </c>
      <c r="I63" s="274">
        <v>0</v>
      </c>
    </row>
    <row r="64" spans="1:9" ht="15.75" customHeight="1" thickBot="1" x14ac:dyDescent="0.35">
      <c r="A64" s="199" t="e">
        <f>IF(AND(E60&lt;&gt;"", A59&lt;&gt;""), A59+1, "")</f>
        <v>#REF!</v>
      </c>
      <c r="B64" s="420"/>
      <c r="C64" s="404"/>
      <c r="D64" s="198" t="s">
        <v>450</v>
      </c>
      <c r="E64" s="251">
        <v>0</v>
      </c>
      <c r="F64" s="252">
        <v>0</v>
      </c>
      <c r="G64" s="252">
        <v>0</v>
      </c>
      <c r="H64" s="275">
        <v>0</v>
      </c>
      <c r="I64" s="276">
        <v>0</v>
      </c>
    </row>
    <row r="65" spans="1:9" x14ac:dyDescent="0.3">
      <c r="A65" s="199" t="e">
        <f>IF(AND(E65&lt;&gt;"", A60&lt;&gt;""), A60+1, "")</f>
        <v>#REF!</v>
      </c>
      <c r="B65" s="418">
        <v>46261</v>
      </c>
      <c r="C65" s="421">
        <f>B65</f>
        <v>46261</v>
      </c>
      <c r="D65" s="196" t="s">
        <v>418</v>
      </c>
      <c r="E65" s="243">
        <v>0</v>
      </c>
      <c r="F65" s="244">
        <v>0</v>
      </c>
      <c r="G65" s="244">
        <v>0</v>
      </c>
      <c r="H65" s="271">
        <v>0</v>
      </c>
      <c r="I65" s="272">
        <v>0</v>
      </c>
    </row>
    <row r="66" spans="1:9" x14ac:dyDescent="0.3">
      <c r="A66" s="199" t="e">
        <f>IF(AND(E65&lt;&gt;"", A61&lt;&gt;""), A61+1, "")</f>
        <v>#REF!</v>
      </c>
      <c r="B66" s="419"/>
      <c r="C66" s="422"/>
      <c r="D66" s="197" t="s">
        <v>420</v>
      </c>
      <c r="E66" s="247">
        <v>0</v>
      </c>
      <c r="F66" s="248">
        <v>0</v>
      </c>
      <c r="G66" s="248">
        <v>0</v>
      </c>
      <c r="H66" s="273">
        <v>0</v>
      </c>
      <c r="I66" s="274">
        <v>0</v>
      </c>
    </row>
    <row r="67" spans="1:9" x14ac:dyDescent="0.3">
      <c r="A67" s="199" t="e">
        <f>IF(AND(E65&lt;&gt;"", A62&lt;&gt;""), A62+1, "")</f>
        <v>#REF!</v>
      </c>
      <c r="B67" s="419"/>
      <c r="C67" s="422"/>
      <c r="D67" s="197" t="s">
        <v>426</v>
      </c>
      <c r="E67" s="247">
        <v>0</v>
      </c>
      <c r="F67" s="248">
        <v>0</v>
      </c>
      <c r="G67" s="248">
        <v>0</v>
      </c>
      <c r="H67" s="273">
        <v>0</v>
      </c>
      <c r="I67" s="274">
        <v>0</v>
      </c>
    </row>
    <row r="68" spans="1:9" x14ac:dyDescent="0.3">
      <c r="A68" s="199" t="e">
        <f>IF(AND(E65&lt;&gt;"", A63&lt;&gt;""), A63+1, "")</f>
        <v>#REF!</v>
      </c>
      <c r="B68" s="419"/>
      <c r="C68" s="422"/>
      <c r="D68" s="197" t="s">
        <v>424</v>
      </c>
      <c r="E68" s="247">
        <v>0</v>
      </c>
      <c r="F68" s="248">
        <v>0</v>
      </c>
      <c r="G68" s="248">
        <v>0</v>
      </c>
      <c r="H68" s="273">
        <v>0</v>
      </c>
      <c r="I68" s="274">
        <v>0</v>
      </c>
    </row>
    <row r="69" spans="1:9" ht="15.75" customHeight="1" thickBot="1" x14ac:dyDescent="0.35">
      <c r="A69" s="199" t="e">
        <f>IF(AND(E65&lt;&gt;"", A64&lt;&gt;""), A64+1, "")</f>
        <v>#REF!</v>
      </c>
      <c r="B69" s="420"/>
      <c r="C69" s="404"/>
      <c r="D69" s="198" t="s">
        <v>450</v>
      </c>
      <c r="E69" s="251">
        <v>0</v>
      </c>
      <c r="F69" s="252">
        <v>0</v>
      </c>
      <c r="G69" s="252">
        <v>0</v>
      </c>
      <c r="H69" s="275">
        <v>0</v>
      </c>
      <c r="I69" s="276">
        <v>0</v>
      </c>
    </row>
    <row r="70" spans="1:9" x14ac:dyDescent="0.3">
      <c r="A70" s="199" t="e">
        <f>IF(AND(E70&lt;&gt;"", A65&lt;&gt;""), A65+1, "")</f>
        <v>#REF!</v>
      </c>
      <c r="B70" s="418">
        <v>46262</v>
      </c>
      <c r="C70" s="421">
        <f>B70</f>
        <v>46262</v>
      </c>
      <c r="D70" s="196" t="s">
        <v>418</v>
      </c>
      <c r="E70" s="243">
        <v>0</v>
      </c>
      <c r="F70" s="244">
        <v>0</v>
      </c>
      <c r="G70" s="244">
        <v>0</v>
      </c>
      <c r="H70" s="271">
        <v>0</v>
      </c>
      <c r="I70" s="272">
        <v>0</v>
      </c>
    </row>
    <row r="71" spans="1:9" x14ac:dyDescent="0.3">
      <c r="A71" s="199" t="e">
        <f>IF(AND(E70&lt;&gt;"", A66&lt;&gt;""), A66+1, "")</f>
        <v>#REF!</v>
      </c>
      <c r="B71" s="419"/>
      <c r="C71" s="422"/>
      <c r="D71" s="197" t="s">
        <v>420</v>
      </c>
      <c r="E71" s="247">
        <v>0</v>
      </c>
      <c r="F71" s="248">
        <v>0</v>
      </c>
      <c r="G71" s="248">
        <v>0</v>
      </c>
      <c r="H71" s="273">
        <v>0</v>
      </c>
      <c r="I71" s="274">
        <v>0</v>
      </c>
    </row>
    <row r="72" spans="1:9" x14ac:dyDescent="0.3">
      <c r="A72" s="199" t="e">
        <f>IF(AND(E70&lt;&gt;"", A67&lt;&gt;""), A67+1, "")</f>
        <v>#REF!</v>
      </c>
      <c r="B72" s="419"/>
      <c r="C72" s="422"/>
      <c r="D72" s="197" t="s">
        <v>426</v>
      </c>
      <c r="E72" s="247">
        <v>0</v>
      </c>
      <c r="F72" s="248">
        <v>0</v>
      </c>
      <c r="G72" s="248">
        <v>0</v>
      </c>
      <c r="H72" s="273">
        <v>0</v>
      </c>
      <c r="I72" s="274">
        <v>0</v>
      </c>
    </row>
    <row r="73" spans="1:9" x14ac:dyDescent="0.3">
      <c r="A73" s="199" t="e">
        <f>IF(AND(E70&lt;&gt;"", A68&lt;&gt;""), A68+1, "")</f>
        <v>#REF!</v>
      </c>
      <c r="B73" s="419"/>
      <c r="C73" s="422"/>
      <c r="D73" s="197" t="s">
        <v>424</v>
      </c>
      <c r="E73" s="247">
        <v>0</v>
      </c>
      <c r="F73" s="248">
        <v>0</v>
      </c>
      <c r="G73" s="248">
        <v>0</v>
      </c>
      <c r="H73" s="273">
        <v>0</v>
      </c>
      <c r="I73" s="274">
        <v>0</v>
      </c>
    </row>
    <row r="74" spans="1:9" ht="15.75" customHeight="1" thickBot="1" x14ac:dyDescent="0.35">
      <c r="A74" s="199" t="e">
        <f>IF(AND(E70&lt;&gt;"", A69&lt;&gt;""), A69+1, "")</f>
        <v>#REF!</v>
      </c>
      <c r="B74" s="420"/>
      <c r="C74" s="404"/>
      <c r="D74" s="198" t="s">
        <v>450</v>
      </c>
      <c r="E74" s="251">
        <v>0</v>
      </c>
      <c r="F74" s="252">
        <v>0</v>
      </c>
      <c r="G74" s="252">
        <v>0</v>
      </c>
      <c r="H74" s="275">
        <v>0</v>
      </c>
      <c r="I74" s="276">
        <v>0</v>
      </c>
    </row>
    <row r="75" spans="1:9" x14ac:dyDescent="0.3">
      <c r="A75" s="199" t="e">
        <f>IF(AND(E75&lt;&gt;"", A70&lt;&gt;""), A70+1, "")</f>
        <v>#REF!</v>
      </c>
      <c r="B75" s="418">
        <v>46263</v>
      </c>
      <c r="C75" s="421">
        <f>B75</f>
        <v>46263</v>
      </c>
      <c r="D75" s="196" t="s">
        <v>418</v>
      </c>
      <c r="E75" s="243">
        <v>0</v>
      </c>
      <c r="F75" s="244">
        <v>0</v>
      </c>
      <c r="G75" s="244">
        <v>0</v>
      </c>
      <c r="H75" s="271">
        <v>0</v>
      </c>
      <c r="I75" s="272">
        <v>0</v>
      </c>
    </row>
    <row r="76" spans="1:9" x14ac:dyDescent="0.3">
      <c r="A76" s="199" t="e">
        <f>IF(AND(E75&lt;&gt;"", A71&lt;&gt;""), A71+1, "")</f>
        <v>#REF!</v>
      </c>
      <c r="B76" s="419"/>
      <c r="C76" s="422"/>
      <c r="D76" s="197" t="s">
        <v>420</v>
      </c>
      <c r="E76" s="247">
        <v>0</v>
      </c>
      <c r="F76" s="248">
        <v>0</v>
      </c>
      <c r="G76" s="248">
        <v>0</v>
      </c>
      <c r="H76" s="273">
        <v>0</v>
      </c>
      <c r="I76" s="274">
        <v>0</v>
      </c>
    </row>
    <row r="77" spans="1:9" x14ac:dyDescent="0.3">
      <c r="A77" s="199" t="e">
        <f>IF(AND(E75&lt;&gt;"", A72&lt;&gt;""), A72+1, "")</f>
        <v>#REF!</v>
      </c>
      <c r="B77" s="419"/>
      <c r="C77" s="422"/>
      <c r="D77" s="197" t="s">
        <v>426</v>
      </c>
      <c r="E77" s="247">
        <v>0</v>
      </c>
      <c r="F77" s="248">
        <v>0</v>
      </c>
      <c r="G77" s="248">
        <v>0</v>
      </c>
      <c r="H77" s="273">
        <v>0</v>
      </c>
      <c r="I77" s="274">
        <v>0</v>
      </c>
    </row>
    <row r="78" spans="1:9" x14ac:dyDescent="0.3">
      <c r="A78" s="199" t="e">
        <f>IF(AND(E75&lt;&gt;"", A73&lt;&gt;""), A73+1, "")</f>
        <v>#REF!</v>
      </c>
      <c r="B78" s="419"/>
      <c r="C78" s="422"/>
      <c r="D78" s="197" t="s">
        <v>424</v>
      </c>
      <c r="E78" s="247">
        <v>0</v>
      </c>
      <c r="F78" s="248">
        <v>0</v>
      </c>
      <c r="G78" s="248">
        <v>0</v>
      </c>
      <c r="H78" s="273">
        <v>0</v>
      </c>
      <c r="I78" s="274">
        <v>0</v>
      </c>
    </row>
    <row r="79" spans="1:9" ht="15.75" customHeight="1" thickBot="1" x14ac:dyDescent="0.35">
      <c r="A79" s="199" t="e">
        <f>IF(AND(E75&lt;&gt;"", A74&lt;&gt;""), A74+1, "")</f>
        <v>#REF!</v>
      </c>
      <c r="B79" s="420"/>
      <c r="C79" s="404"/>
      <c r="D79" s="198" t="s">
        <v>450</v>
      </c>
      <c r="E79" s="251">
        <v>0</v>
      </c>
      <c r="F79" s="252">
        <v>0</v>
      </c>
      <c r="G79" s="252">
        <v>0</v>
      </c>
      <c r="H79" s="275">
        <v>0</v>
      </c>
      <c r="I79" s="276">
        <v>0</v>
      </c>
    </row>
    <row r="80" spans="1:9" x14ac:dyDescent="0.3">
      <c r="A80" s="199" t="e">
        <f>IF(AND(E80&lt;&gt;"", A75&lt;&gt;""), A75+1, "")</f>
        <v>#REF!</v>
      </c>
      <c r="B80" s="418">
        <v>46264</v>
      </c>
      <c r="C80" s="421">
        <f>B80</f>
        <v>46264</v>
      </c>
      <c r="D80" s="196" t="s">
        <v>418</v>
      </c>
      <c r="E80" s="243">
        <v>0</v>
      </c>
      <c r="F80" s="244">
        <v>0</v>
      </c>
      <c r="G80" s="244">
        <v>0</v>
      </c>
      <c r="H80" s="271">
        <v>0</v>
      </c>
      <c r="I80" s="272">
        <v>0</v>
      </c>
    </row>
    <row r="81" spans="1:9" x14ac:dyDescent="0.3">
      <c r="A81" s="199" t="e">
        <f>IF(AND(E80&lt;&gt;"", A76&lt;&gt;""), A76+1, "")</f>
        <v>#REF!</v>
      </c>
      <c r="B81" s="419"/>
      <c r="C81" s="422"/>
      <c r="D81" s="197" t="s">
        <v>420</v>
      </c>
      <c r="E81" s="247">
        <v>0</v>
      </c>
      <c r="F81" s="248">
        <v>0</v>
      </c>
      <c r="G81" s="248">
        <v>0</v>
      </c>
      <c r="H81" s="273">
        <v>0</v>
      </c>
      <c r="I81" s="274">
        <v>0</v>
      </c>
    </row>
    <row r="82" spans="1:9" x14ac:dyDescent="0.3">
      <c r="A82" s="199" t="e">
        <f>IF(AND(E80&lt;&gt;"", A77&lt;&gt;""), A77+1, "")</f>
        <v>#REF!</v>
      </c>
      <c r="B82" s="419"/>
      <c r="C82" s="422"/>
      <c r="D82" s="197" t="s">
        <v>426</v>
      </c>
      <c r="E82" s="247">
        <v>0</v>
      </c>
      <c r="F82" s="248">
        <v>0</v>
      </c>
      <c r="G82" s="248">
        <v>0</v>
      </c>
      <c r="H82" s="273">
        <v>0</v>
      </c>
      <c r="I82" s="274">
        <v>0</v>
      </c>
    </row>
    <row r="83" spans="1:9" x14ac:dyDescent="0.3">
      <c r="A83" s="199" t="e">
        <f>IF(AND(E80&lt;&gt;"", A78&lt;&gt;""), A78+1, "")</f>
        <v>#REF!</v>
      </c>
      <c r="B83" s="419"/>
      <c r="C83" s="422"/>
      <c r="D83" s="197" t="s">
        <v>424</v>
      </c>
      <c r="E83" s="247">
        <v>0</v>
      </c>
      <c r="F83" s="248">
        <v>0</v>
      </c>
      <c r="G83" s="248">
        <v>0</v>
      </c>
      <c r="H83" s="273">
        <v>0</v>
      </c>
      <c r="I83" s="274">
        <v>0</v>
      </c>
    </row>
    <row r="84" spans="1:9" ht="15.75" customHeight="1" thickBot="1" x14ac:dyDescent="0.35">
      <c r="A84" s="199" t="e">
        <f>IF(AND(E80&lt;&gt;"", A79&lt;&gt;""), A79+1, "")</f>
        <v>#REF!</v>
      </c>
      <c r="B84" s="420"/>
      <c r="C84" s="404"/>
      <c r="D84" s="198" t="s">
        <v>450</v>
      </c>
      <c r="E84" s="251">
        <v>0</v>
      </c>
      <c r="F84" s="252">
        <v>0</v>
      </c>
      <c r="G84" s="252">
        <v>0</v>
      </c>
      <c r="H84" s="275">
        <v>0</v>
      </c>
      <c r="I84" s="276">
        <v>0</v>
      </c>
    </row>
    <row r="85" spans="1:9" x14ac:dyDescent="0.3">
      <c r="A85" s="199" t="e">
        <f>IF(AND(E85&lt;&gt;"", A80&lt;&gt;""), A80+1, "")</f>
        <v>#REF!</v>
      </c>
      <c r="B85" s="418">
        <v>46265</v>
      </c>
      <c r="C85" s="421">
        <f>B85</f>
        <v>46265</v>
      </c>
      <c r="D85" s="196" t="s">
        <v>418</v>
      </c>
      <c r="E85" s="243">
        <v>0</v>
      </c>
      <c r="F85" s="244">
        <v>0</v>
      </c>
      <c r="G85" s="244">
        <v>0</v>
      </c>
      <c r="H85" s="271">
        <v>0</v>
      </c>
      <c r="I85" s="272">
        <v>0</v>
      </c>
    </row>
    <row r="86" spans="1:9" x14ac:dyDescent="0.3">
      <c r="A86" s="199" t="e">
        <f>IF(AND(E85&lt;&gt;"", A81&lt;&gt;""), A81+1, "")</f>
        <v>#REF!</v>
      </c>
      <c r="B86" s="419"/>
      <c r="C86" s="422"/>
      <c r="D86" s="197" t="s">
        <v>420</v>
      </c>
      <c r="E86" s="247">
        <v>0</v>
      </c>
      <c r="F86" s="248">
        <v>0</v>
      </c>
      <c r="G86" s="248">
        <v>0</v>
      </c>
      <c r="H86" s="273">
        <v>0</v>
      </c>
      <c r="I86" s="274">
        <v>0</v>
      </c>
    </row>
    <row r="87" spans="1:9" x14ac:dyDescent="0.3">
      <c r="A87" s="199" t="e">
        <f>IF(AND(E85&lt;&gt;"", A82&lt;&gt;""), A82+1, "")</f>
        <v>#REF!</v>
      </c>
      <c r="B87" s="419"/>
      <c r="C87" s="422"/>
      <c r="D87" s="197" t="s">
        <v>426</v>
      </c>
      <c r="E87" s="247">
        <v>0</v>
      </c>
      <c r="F87" s="248">
        <v>0</v>
      </c>
      <c r="G87" s="248">
        <v>0</v>
      </c>
      <c r="H87" s="273">
        <v>0</v>
      </c>
      <c r="I87" s="274">
        <v>0</v>
      </c>
    </row>
    <row r="88" spans="1:9" x14ac:dyDescent="0.3">
      <c r="A88" s="199" t="e">
        <f>IF(AND(E85&lt;&gt;"", A83&lt;&gt;""), A83+1, "")</f>
        <v>#REF!</v>
      </c>
      <c r="B88" s="419"/>
      <c r="C88" s="422"/>
      <c r="D88" s="197" t="s">
        <v>424</v>
      </c>
      <c r="E88" s="247">
        <v>0</v>
      </c>
      <c r="F88" s="248">
        <v>0</v>
      </c>
      <c r="G88" s="248">
        <v>0</v>
      </c>
      <c r="H88" s="273">
        <v>0</v>
      </c>
      <c r="I88" s="274">
        <v>0</v>
      </c>
    </row>
    <row r="89" spans="1:9" ht="15.75" customHeight="1" thickBot="1" x14ac:dyDescent="0.35">
      <c r="A89" s="199" t="e">
        <f>IF(AND(E85&lt;&gt;"", A84&lt;&gt;""), A84+1, "")</f>
        <v>#REF!</v>
      </c>
      <c r="B89" s="420"/>
      <c r="C89" s="404"/>
      <c r="D89" s="198" t="s">
        <v>450</v>
      </c>
      <c r="E89" s="251">
        <v>0</v>
      </c>
      <c r="F89" s="252">
        <v>0</v>
      </c>
      <c r="G89" s="252">
        <v>0</v>
      </c>
      <c r="H89" s="275">
        <v>0</v>
      </c>
      <c r="I89" s="276">
        <v>0</v>
      </c>
    </row>
    <row r="90" spans="1:9" x14ac:dyDescent="0.3">
      <c r="A90" s="199" t="e">
        <f>IF(AND(E90&lt;&gt;"", A85&lt;&gt;""), A85+1, "")</f>
        <v>#REF!</v>
      </c>
      <c r="B90" s="418">
        <v>46266</v>
      </c>
      <c r="C90" s="421">
        <f>B90</f>
        <v>46266</v>
      </c>
      <c r="D90" s="196" t="s">
        <v>418</v>
      </c>
      <c r="E90" s="243">
        <v>0</v>
      </c>
      <c r="F90" s="244">
        <v>0</v>
      </c>
      <c r="G90" s="244">
        <v>0</v>
      </c>
      <c r="H90" s="271">
        <v>0</v>
      </c>
      <c r="I90" s="272">
        <v>0</v>
      </c>
    </row>
    <row r="91" spans="1:9" x14ac:dyDescent="0.3">
      <c r="A91" s="199" t="e">
        <f>IF(AND(E90&lt;&gt;"", A86&lt;&gt;""), A86+1, "")</f>
        <v>#REF!</v>
      </c>
      <c r="B91" s="419"/>
      <c r="C91" s="422"/>
      <c r="D91" s="197" t="s">
        <v>420</v>
      </c>
      <c r="E91" s="247">
        <v>0</v>
      </c>
      <c r="F91" s="248">
        <v>0</v>
      </c>
      <c r="G91" s="248">
        <v>0</v>
      </c>
      <c r="H91" s="273">
        <v>0</v>
      </c>
      <c r="I91" s="274">
        <v>0</v>
      </c>
    </row>
    <row r="92" spans="1:9" x14ac:dyDescent="0.3">
      <c r="A92" s="199" t="e">
        <f>IF(AND(E90&lt;&gt;"", A87&lt;&gt;""), A87+1, "")</f>
        <v>#REF!</v>
      </c>
      <c r="B92" s="419"/>
      <c r="C92" s="422"/>
      <c r="D92" s="197" t="s">
        <v>426</v>
      </c>
      <c r="E92" s="247">
        <v>0</v>
      </c>
      <c r="F92" s="248">
        <v>0</v>
      </c>
      <c r="G92" s="248">
        <v>0</v>
      </c>
      <c r="H92" s="273">
        <v>0</v>
      </c>
      <c r="I92" s="274">
        <v>0</v>
      </c>
    </row>
    <row r="93" spans="1:9" x14ac:dyDescent="0.3">
      <c r="A93" s="199" t="e">
        <f>IF(AND(E90&lt;&gt;"", A88&lt;&gt;""), A88+1, "")</f>
        <v>#REF!</v>
      </c>
      <c r="B93" s="419"/>
      <c r="C93" s="422"/>
      <c r="D93" s="197" t="s">
        <v>424</v>
      </c>
      <c r="E93" s="247">
        <v>0</v>
      </c>
      <c r="F93" s="248">
        <v>0</v>
      </c>
      <c r="G93" s="248">
        <v>0</v>
      </c>
      <c r="H93" s="273">
        <v>0</v>
      </c>
      <c r="I93" s="274">
        <v>0</v>
      </c>
    </row>
    <row r="94" spans="1:9" ht="15.75" customHeight="1" thickBot="1" x14ac:dyDescent="0.35">
      <c r="A94" s="199" t="e">
        <f>IF(AND(E90&lt;&gt;"", A89&lt;&gt;""), A89+1, "")</f>
        <v>#REF!</v>
      </c>
      <c r="B94" s="420"/>
      <c r="C94" s="404"/>
      <c r="D94" s="198" t="s">
        <v>450</v>
      </c>
      <c r="E94" s="251">
        <v>0</v>
      </c>
      <c r="F94" s="252">
        <v>0</v>
      </c>
      <c r="G94" s="252">
        <v>0</v>
      </c>
      <c r="H94" s="275">
        <v>0</v>
      </c>
      <c r="I94" s="276">
        <v>0</v>
      </c>
    </row>
    <row r="95" spans="1:9" x14ac:dyDescent="0.3">
      <c r="A95" s="199" t="e">
        <f>IF(AND(E95&lt;&gt;"", A90&lt;&gt;""), A90+1, "")</f>
        <v>#REF!</v>
      </c>
      <c r="B95" s="418">
        <v>46267</v>
      </c>
      <c r="C95" s="421">
        <f>B95</f>
        <v>46267</v>
      </c>
      <c r="D95" s="196" t="s">
        <v>418</v>
      </c>
      <c r="E95" s="243">
        <v>0</v>
      </c>
      <c r="F95" s="244">
        <v>0</v>
      </c>
      <c r="G95" s="244">
        <v>0</v>
      </c>
      <c r="H95" s="271">
        <v>0</v>
      </c>
      <c r="I95" s="272">
        <v>0</v>
      </c>
    </row>
    <row r="96" spans="1:9" x14ac:dyDescent="0.3">
      <c r="A96" s="199" t="e">
        <f>IF(AND(E95&lt;&gt;"", A91&lt;&gt;""), A91+1, "")</f>
        <v>#REF!</v>
      </c>
      <c r="B96" s="419"/>
      <c r="C96" s="422"/>
      <c r="D96" s="197" t="s">
        <v>420</v>
      </c>
      <c r="E96" s="247">
        <v>0</v>
      </c>
      <c r="F96" s="248">
        <v>0</v>
      </c>
      <c r="G96" s="248">
        <v>0</v>
      </c>
      <c r="H96" s="273">
        <v>0</v>
      </c>
      <c r="I96" s="274">
        <v>0</v>
      </c>
    </row>
    <row r="97" spans="1:9" x14ac:dyDescent="0.3">
      <c r="A97" s="199" t="e">
        <f>IF(AND(E95&lt;&gt;"", A92&lt;&gt;""), A92+1, "")</f>
        <v>#REF!</v>
      </c>
      <c r="B97" s="419"/>
      <c r="C97" s="422"/>
      <c r="D97" s="197" t="s">
        <v>426</v>
      </c>
      <c r="E97" s="247">
        <v>0</v>
      </c>
      <c r="F97" s="248">
        <v>0</v>
      </c>
      <c r="G97" s="248">
        <v>0</v>
      </c>
      <c r="H97" s="273">
        <v>0</v>
      </c>
      <c r="I97" s="274">
        <v>0</v>
      </c>
    </row>
    <row r="98" spans="1:9" x14ac:dyDescent="0.3">
      <c r="A98" s="199" t="e">
        <f>IF(AND(E95&lt;&gt;"", A93&lt;&gt;""), A93+1, "")</f>
        <v>#REF!</v>
      </c>
      <c r="B98" s="419"/>
      <c r="C98" s="422"/>
      <c r="D98" s="197" t="s">
        <v>424</v>
      </c>
      <c r="E98" s="247">
        <v>0</v>
      </c>
      <c r="F98" s="248">
        <v>0</v>
      </c>
      <c r="G98" s="248">
        <v>0</v>
      </c>
      <c r="H98" s="273">
        <v>0</v>
      </c>
      <c r="I98" s="274">
        <v>0</v>
      </c>
    </row>
    <row r="99" spans="1:9" ht="15.75" customHeight="1" thickBot="1" x14ac:dyDescent="0.35">
      <c r="A99" s="199" t="e">
        <f>IF(AND(E95&lt;&gt;"", A94&lt;&gt;""), A94+1, "")</f>
        <v>#REF!</v>
      </c>
      <c r="B99" s="420"/>
      <c r="C99" s="404"/>
      <c r="D99" s="198" t="s">
        <v>450</v>
      </c>
      <c r="E99" s="251">
        <v>0</v>
      </c>
      <c r="F99" s="252">
        <v>0</v>
      </c>
      <c r="G99" s="252">
        <v>0</v>
      </c>
      <c r="H99" s="275">
        <v>0</v>
      </c>
      <c r="I99" s="276">
        <v>0</v>
      </c>
    </row>
    <row r="100" spans="1:9" x14ac:dyDescent="0.3">
      <c r="A100" s="199" t="e">
        <f>IF(AND(E100&lt;&gt;"", A95&lt;&gt;""), A95+1, "")</f>
        <v>#REF!</v>
      </c>
      <c r="B100" s="418">
        <v>46268</v>
      </c>
      <c r="C100" s="421">
        <f>B100</f>
        <v>46268</v>
      </c>
      <c r="D100" s="196" t="s">
        <v>418</v>
      </c>
      <c r="E100" s="243">
        <v>0</v>
      </c>
      <c r="F100" s="244">
        <v>0</v>
      </c>
      <c r="G100" s="244">
        <v>0</v>
      </c>
      <c r="H100" s="271">
        <v>0</v>
      </c>
      <c r="I100" s="272">
        <v>0</v>
      </c>
    </row>
    <row r="101" spans="1:9" x14ac:dyDescent="0.3">
      <c r="A101" s="199" t="e">
        <f>IF(AND(E100&lt;&gt;"", A96&lt;&gt;""), A96+1, "")</f>
        <v>#REF!</v>
      </c>
      <c r="B101" s="419"/>
      <c r="C101" s="422"/>
      <c r="D101" s="197" t="s">
        <v>420</v>
      </c>
      <c r="E101" s="247">
        <v>0</v>
      </c>
      <c r="F101" s="248">
        <v>0</v>
      </c>
      <c r="G101" s="248">
        <v>0</v>
      </c>
      <c r="H101" s="273">
        <v>0</v>
      </c>
      <c r="I101" s="274">
        <v>0</v>
      </c>
    </row>
    <row r="102" spans="1:9" x14ac:dyDescent="0.3">
      <c r="A102" s="199" t="e">
        <f>IF(AND(E100&lt;&gt;"", A97&lt;&gt;""), A97+1, "")</f>
        <v>#REF!</v>
      </c>
      <c r="B102" s="419"/>
      <c r="C102" s="422"/>
      <c r="D102" s="197" t="s">
        <v>426</v>
      </c>
      <c r="E102" s="247">
        <v>0</v>
      </c>
      <c r="F102" s="248">
        <v>0</v>
      </c>
      <c r="G102" s="248">
        <v>0</v>
      </c>
      <c r="H102" s="273">
        <v>0</v>
      </c>
      <c r="I102" s="274">
        <v>0</v>
      </c>
    </row>
    <row r="103" spans="1:9" x14ac:dyDescent="0.3">
      <c r="A103" s="199" t="e">
        <f>IF(AND(E100&lt;&gt;"", A98&lt;&gt;""), A98+1, "")</f>
        <v>#REF!</v>
      </c>
      <c r="B103" s="419"/>
      <c r="C103" s="422"/>
      <c r="D103" s="197" t="s">
        <v>424</v>
      </c>
      <c r="E103" s="247">
        <v>0</v>
      </c>
      <c r="F103" s="248">
        <v>0</v>
      </c>
      <c r="G103" s="248">
        <v>0</v>
      </c>
      <c r="H103" s="273">
        <v>0</v>
      </c>
      <c r="I103" s="274">
        <v>0</v>
      </c>
    </row>
    <row r="104" spans="1:9" ht="15.75" customHeight="1" thickBot="1" x14ac:dyDescent="0.35">
      <c r="A104" s="199" t="e">
        <f>IF(AND(E100&lt;&gt;"", A99&lt;&gt;""), A99+1, "")</f>
        <v>#REF!</v>
      </c>
      <c r="B104" s="420"/>
      <c r="C104" s="404"/>
      <c r="D104" s="198" t="s">
        <v>450</v>
      </c>
      <c r="E104" s="251">
        <v>0</v>
      </c>
      <c r="F104" s="252">
        <v>0</v>
      </c>
      <c r="G104" s="252">
        <v>0</v>
      </c>
      <c r="H104" s="275">
        <v>0</v>
      </c>
      <c r="I104" s="276">
        <v>0</v>
      </c>
    </row>
    <row r="105" spans="1:9" x14ac:dyDescent="0.3">
      <c r="A105" s="199" t="e">
        <f>IF(AND(E105&lt;&gt;"", A100&lt;&gt;""), A100+1, "")</f>
        <v>#REF!</v>
      </c>
      <c r="B105" s="418">
        <v>46269</v>
      </c>
      <c r="C105" s="421">
        <f>B105</f>
        <v>46269</v>
      </c>
      <c r="D105" s="196" t="s">
        <v>418</v>
      </c>
      <c r="E105" s="243">
        <v>0</v>
      </c>
      <c r="F105" s="244">
        <v>0</v>
      </c>
      <c r="G105" s="244">
        <v>0</v>
      </c>
      <c r="H105" s="271">
        <v>0</v>
      </c>
      <c r="I105" s="272">
        <v>0</v>
      </c>
    </row>
    <row r="106" spans="1:9" x14ac:dyDescent="0.3">
      <c r="A106" s="199" t="e">
        <f>IF(AND(E105&lt;&gt;"", A101&lt;&gt;""), A101+1, "")</f>
        <v>#REF!</v>
      </c>
      <c r="B106" s="419"/>
      <c r="C106" s="422"/>
      <c r="D106" s="197" t="s">
        <v>420</v>
      </c>
      <c r="E106" s="247">
        <v>0</v>
      </c>
      <c r="F106" s="248">
        <v>0</v>
      </c>
      <c r="G106" s="248">
        <v>0</v>
      </c>
      <c r="H106" s="273">
        <v>0</v>
      </c>
      <c r="I106" s="274">
        <v>0</v>
      </c>
    </row>
    <row r="107" spans="1:9" x14ac:dyDescent="0.3">
      <c r="A107" s="199" t="e">
        <f>IF(AND(E105&lt;&gt;"", A102&lt;&gt;""), A102+1, "")</f>
        <v>#REF!</v>
      </c>
      <c r="B107" s="419"/>
      <c r="C107" s="422"/>
      <c r="D107" s="197" t="s">
        <v>426</v>
      </c>
      <c r="E107" s="247">
        <v>0</v>
      </c>
      <c r="F107" s="248">
        <v>0</v>
      </c>
      <c r="G107" s="248">
        <v>0</v>
      </c>
      <c r="H107" s="273">
        <v>0</v>
      </c>
      <c r="I107" s="274">
        <v>0</v>
      </c>
    </row>
    <row r="108" spans="1:9" x14ac:dyDescent="0.3">
      <c r="A108" s="199" t="e">
        <f>IF(AND(E105&lt;&gt;"", A103&lt;&gt;""), A103+1, "")</f>
        <v>#REF!</v>
      </c>
      <c r="B108" s="419"/>
      <c r="C108" s="422"/>
      <c r="D108" s="197" t="s">
        <v>424</v>
      </c>
      <c r="E108" s="247">
        <v>0</v>
      </c>
      <c r="F108" s="248">
        <v>0</v>
      </c>
      <c r="G108" s="248">
        <v>0</v>
      </c>
      <c r="H108" s="273">
        <v>0</v>
      </c>
      <c r="I108" s="274">
        <v>0</v>
      </c>
    </row>
    <row r="109" spans="1:9" ht="15.75" customHeight="1" thickBot="1" x14ac:dyDescent="0.35">
      <c r="A109" s="199" t="e">
        <f>IF(AND(E105&lt;&gt;"", A104&lt;&gt;""), A104+1, "")</f>
        <v>#REF!</v>
      </c>
      <c r="B109" s="420"/>
      <c r="C109" s="404"/>
      <c r="D109" s="198" t="s">
        <v>450</v>
      </c>
      <c r="E109" s="251">
        <v>0</v>
      </c>
      <c r="F109" s="252">
        <v>0</v>
      </c>
      <c r="G109" s="252">
        <v>0</v>
      </c>
      <c r="H109" s="275">
        <v>0</v>
      </c>
      <c r="I109" s="276">
        <v>0</v>
      </c>
    </row>
    <row r="110" spans="1:9" x14ac:dyDescent="0.3">
      <c r="A110" s="199" t="e">
        <f>IF(AND(E110&lt;&gt;"", A105&lt;&gt;""), A105+1, "")</f>
        <v>#REF!</v>
      </c>
      <c r="B110" s="418">
        <v>46270</v>
      </c>
      <c r="C110" s="421">
        <f>B110</f>
        <v>46270</v>
      </c>
      <c r="D110" s="196" t="s">
        <v>418</v>
      </c>
      <c r="E110" s="243">
        <v>0</v>
      </c>
      <c r="F110" s="244">
        <v>0</v>
      </c>
      <c r="G110" s="244">
        <v>0</v>
      </c>
      <c r="H110" s="271">
        <v>0</v>
      </c>
      <c r="I110" s="272">
        <v>0</v>
      </c>
    </row>
    <row r="111" spans="1:9" x14ac:dyDescent="0.3">
      <c r="A111" s="199" t="e">
        <f>IF(AND(E110&lt;&gt;"", A106&lt;&gt;""), A106+1, "")</f>
        <v>#REF!</v>
      </c>
      <c r="B111" s="419"/>
      <c r="C111" s="422"/>
      <c r="D111" s="197" t="s">
        <v>420</v>
      </c>
      <c r="E111" s="247">
        <v>0</v>
      </c>
      <c r="F111" s="248">
        <v>0</v>
      </c>
      <c r="G111" s="248">
        <v>0</v>
      </c>
      <c r="H111" s="273">
        <v>0</v>
      </c>
      <c r="I111" s="274">
        <v>0</v>
      </c>
    </row>
    <row r="112" spans="1:9" x14ac:dyDescent="0.3">
      <c r="A112" s="199" t="e">
        <f>IF(AND(E110&lt;&gt;"", A107&lt;&gt;""), A107+1, "")</f>
        <v>#REF!</v>
      </c>
      <c r="B112" s="419"/>
      <c r="C112" s="422"/>
      <c r="D112" s="197" t="s">
        <v>426</v>
      </c>
      <c r="E112" s="247">
        <v>0</v>
      </c>
      <c r="F112" s="248">
        <v>0</v>
      </c>
      <c r="G112" s="248">
        <v>0</v>
      </c>
      <c r="H112" s="273">
        <v>0</v>
      </c>
      <c r="I112" s="274">
        <v>0</v>
      </c>
    </row>
    <row r="113" spans="1:9" x14ac:dyDescent="0.3">
      <c r="A113" s="199" t="e">
        <f>IF(AND(E110&lt;&gt;"", A108&lt;&gt;""), A108+1, "")</f>
        <v>#REF!</v>
      </c>
      <c r="B113" s="419"/>
      <c r="C113" s="422"/>
      <c r="D113" s="197" t="s">
        <v>424</v>
      </c>
      <c r="E113" s="247">
        <v>0</v>
      </c>
      <c r="F113" s="248">
        <v>0</v>
      </c>
      <c r="G113" s="248">
        <v>0</v>
      </c>
      <c r="H113" s="273">
        <v>0</v>
      </c>
      <c r="I113" s="274">
        <v>0</v>
      </c>
    </row>
    <row r="114" spans="1:9" ht="15.75" customHeight="1" thickBot="1" x14ac:dyDescent="0.35">
      <c r="A114" s="199" t="e">
        <f>IF(AND(E110&lt;&gt;"", A109&lt;&gt;""), A109+1, "")</f>
        <v>#REF!</v>
      </c>
      <c r="B114" s="420"/>
      <c r="C114" s="404"/>
      <c r="D114" s="198" t="s">
        <v>450</v>
      </c>
      <c r="E114" s="251">
        <v>0</v>
      </c>
      <c r="F114" s="252">
        <v>0</v>
      </c>
      <c r="G114" s="252">
        <v>0</v>
      </c>
      <c r="H114" s="275">
        <v>0</v>
      </c>
      <c r="I114" s="276">
        <v>0</v>
      </c>
    </row>
    <row r="115" spans="1:9" x14ac:dyDescent="0.3">
      <c r="A115" s="199" t="e">
        <f>IF(AND(E115&lt;&gt;"", A110&lt;&gt;""), A110+1, "")</f>
        <v>#REF!</v>
      </c>
      <c r="B115" s="418">
        <v>46271</v>
      </c>
      <c r="C115" s="421">
        <f>B115</f>
        <v>46271</v>
      </c>
      <c r="D115" s="196" t="s">
        <v>418</v>
      </c>
      <c r="E115" s="243">
        <v>0</v>
      </c>
      <c r="F115" s="244">
        <v>0</v>
      </c>
      <c r="G115" s="244">
        <v>0</v>
      </c>
      <c r="H115" s="271">
        <v>0</v>
      </c>
      <c r="I115" s="272">
        <v>0</v>
      </c>
    </row>
    <row r="116" spans="1:9" x14ac:dyDescent="0.3">
      <c r="A116" s="199" t="e">
        <f>IF(AND(E115&lt;&gt;"", A111&lt;&gt;""), A111+1, "")</f>
        <v>#REF!</v>
      </c>
      <c r="B116" s="419"/>
      <c r="C116" s="422"/>
      <c r="D116" s="197" t="s">
        <v>420</v>
      </c>
      <c r="E116" s="247">
        <v>0</v>
      </c>
      <c r="F116" s="248">
        <v>0</v>
      </c>
      <c r="G116" s="248">
        <v>0</v>
      </c>
      <c r="H116" s="273">
        <v>0</v>
      </c>
      <c r="I116" s="274">
        <v>0</v>
      </c>
    </row>
    <row r="117" spans="1:9" x14ac:dyDescent="0.3">
      <c r="A117" s="199" t="e">
        <f>IF(AND(E115&lt;&gt;"", A112&lt;&gt;""), A112+1, "")</f>
        <v>#REF!</v>
      </c>
      <c r="B117" s="419"/>
      <c r="C117" s="422"/>
      <c r="D117" s="197" t="s">
        <v>426</v>
      </c>
      <c r="E117" s="247">
        <v>0</v>
      </c>
      <c r="F117" s="248">
        <v>0</v>
      </c>
      <c r="G117" s="248">
        <v>0</v>
      </c>
      <c r="H117" s="273">
        <v>0</v>
      </c>
      <c r="I117" s="274">
        <v>0</v>
      </c>
    </row>
    <row r="118" spans="1:9" x14ac:dyDescent="0.3">
      <c r="A118" s="199" t="e">
        <f>IF(AND(E115&lt;&gt;"", A113&lt;&gt;""), A113+1, "")</f>
        <v>#REF!</v>
      </c>
      <c r="B118" s="419"/>
      <c r="C118" s="422"/>
      <c r="D118" s="197" t="s">
        <v>424</v>
      </c>
      <c r="E118" s="247">
        <v>0</v>
      </c>
      <c r="F118" s="248">
        <v>0</v>
      </c>
      <c r="G118" s="248">
        <v>0</v>
      </c>
      <c r="H118" s="273">
        <v>0</v>
      </c>
      <c r="I118" s="274">
        <v>0</v>
      </c>
    </row>
    <row r="119" spans="1:9" ht="15.75" customHeight="1" thickBot="1" x14ac:dyDescent="0.35">
      <c r="A119" s="199" t="e">
        <f>IF(AND(E115&lt;&gt;"", A114&lt;&gt;""), A114+1, "")</f>
        <v>#REF!</v>
      </c>
      <c r="B119" s="420"/>
      <c r="C119" s="404"/>
      <c r="D119" s="198" t="s">
        <v>450</v>
      </c>
      <c r="E119" s="251">
        <v>0</v>
      </c>
      <c r="F119" s="252">
        <v>0</v>
      </c>
      <c r="G119" s="252">
        <v>0</v>
      </c>
      <c r="H119" s="275">
        <v>0</v>
      </c>
      <c r="I119" s="276">
        <v>0</v>
      </c>
    </row>
    <row r="120" spans="1:9" x14ac:dyDescent="0.3">
      <c r="A120" s="199" t="e">
        <f>IF(AND(E120&lt;&gt;"", A115&lt;&gt;""), A115+1, "")</f>
        <v>#REF!</v>
      </c>
      <c r="B120" s="418">
        <v>46272</v>
      </c>
      <c r="C120" s="421">
        <f>B120</f>
        <v>46272</v>
      </c>
      <c r="D120" s="196" t="s">
        <v>418</v>
      </c>
      <c r="E120" s="243">
        <v>0</v>
      </c>
      <c r="F120" s="244">
        <v>0</v>
      </c>
      <c r="G120" s="244">
        <v>0</v>
      </c>
      <c r="H120" s="271">
        <v>0</v>
      </c>
      <c r="I120" s="272">
        <v>0</v>
      </c>
    </row>
    <row r="121" spans="1:9" x14ac:dyDescent="0.3">
      <c r="A121" s="199" t="e">
        <f>IF(AND(E120&lt;&gt;"", A116&lt;&gt;""), A116+1, "")</f>
        <v>#REF!</v>
      </c>
      <c r="B121" s="419"/>
      <c r="C121" s="422"/>
      <c r="D121" s="197" t="s">
        <v>420</v>
      </c>
      <c r="E121" s="247">
        <v>0</v>
      </c>
      <c r="F121" s="248">
        <v>0</v>
      </c>
      <c r="G121" s="248">
        <v>0</v>
      </c>
      <c r="H121" s="273">
        <v>0</v>
      </c>
      <c r="I121" s="274">
        <v>0</v>
      </c>
    </row>
    <row r="122" spans="1:9" x14ac:dyDescent="0.3">
      <c r="A122" s="199" t="e">
        <f>IF(AND(E120&lt;&gt;"", A117&lt;&gt;""), A117+1, "")</f>
        <v>#REF!</v>
      </c>
      <c r="B122" s="419"/>
      <c r="C122" s="422"/>
      <c r="D122" s="197" t="s">
        <v>426</v>
      </c>
      <c r="E122" s="247">
        <v>0</v>
      </c>
      <c r="F122" s="248">
        <v>0</v>
      </c>
      <c r="G122" s="248">
        <v>0</v>
      </c>
      <c r="H122" s="273">
        <v>0</v>
      </c>
      <c r="I122" s="274">
        <v>0</v>
      </c>
    </row>
    <row r="123" spans="1:9" x14ac:dyDescent="0.3">
      <c r="A123" s="199" t="e">
        <f>IF(AND(E120&lt;&gt;"", A118&lt;&gt;""), A118+1, "")</f>
        <v>#REF!</v>
      </c>
      <c r="B123" s="419"/>
      <c r="C123" s="422"/>
      <c r="D123" s="197" t="s">
        <v>424</v>
      </c>
      <c r="E123" s="247">
        <v>0</v>
      </c>
      <c r="F123" s="248">
        <v>0</v>
      </c>
      <c r="G123" s="248">
        <v>0</v>
      </c>
      <c r="H123" s="273">
        <v>0</v>
      </c>
      <c r="I123" s="274">
        <v>0</v>
      </c>
    </row>
    <row r="124" spans="1:9" ht="15.75" customHeight="1" thickBot="1" x14ac:dyDescent="0.35">
      <c r="A124" s="199" t="e">
        <f>IF(AND(E120&lt;&gt;"", A119&lt;&gt;""), A119+1, "")</f>
        <v>#REF!</v>
      </c>
      <c r="B124" s="420"/>
      <c r="C124" s="404"/>
      <c r="D124" s="198" t="s">
        <v>450</v>
      </c>
      <c r="E124" s="251">
        <v>0</v>
      </c>
      <c r="F124" s="252">
        <v>0</v>
      </c>
      <c r="G124" s="252">
        <v>0</v>
      </c>
      <c r="H124" s="275">
        <v>0</v>
      </c>
      <c r="I124" s="276">
        <v>0</v>
      </c>
    </row>
    <row r="125" spans="1:9" x14ac:dyDescent="0.3">
      <c r="A125" s="199" t="e">
        <f>IF(AND(E125&lt;&gt;"", A120&lt;&gt;""), A120+1, "")</f>
        <v>#REF!</v>
      </c>
      <c r="B125" s="418">
        <v>46273</v>
      </c>
      <c r="C125" s="421">
        <f>B125</f>
        <v>46273</v>
      </c>
      <c r="D125" s="196" t="s">
        <v>418</v>
      </c>
      <c r="E125" s="243">
        <v>0</v>
      </c>
      <c r="F125" s="244">
        <v>0</v>
      </c>
      <c r="G125" s="244">
        <v>0</v>
      </c>
      <c r="H125" s="271">
        <v>0</v>
      </c>
      <c r="I125" s="272">
        <v>0</v>
      </c>
    </row>
    <row r="126" spans="1:9" x14ac:dyDescent="0.3">
      <c r="A126" s="199" t="e">
        <f>IF(AND(E125&lt;&gt;"", A121&lt;&gt;""), A121+1, "")</f>
        <v>#REF!</v>
      </c>
      <c r="B126" s="419"/>
      <c r="C126" s="422"/>
      <c r="D126" s="197" t="s">
        <v>420</v>
      </c>
      <c r="E126" s="247">
        <v>0</v>
      </c>
      <c r="F126" s="248">
        <v>0</v>
      </c>
      <c r="G126" s="248">
        <v>0</v>
      </c>
      <c r="H126" s="273">
        <v>0</v>
      </c>
      <c r="I126" s="274">
        <v>0</v>
      </c>
    </row>
    <row r="127" spans="1:9" x14ac:dyDescent="0.3">
      <c r="A127" s="199" t="e">
        <f>IF(AND(E125&lt;&gt;"", A122&lt;&gt;""), A122+1, "")</f>
        <v>#REF!</v>
      </c>
      <c r="B127" s="419"/>
      <c r="C127" s="422"/>
      <c r="D127" s="197" t="s">
        <v>426</v>
      </c>
      <c r="E127" s="247">
        <v>0</v>
      </c>
      <c r="F127" s="248">
        <v>0</v>
      </c>
      <c r="G127" s="248">
        <v>0</v>
      </c>
      <c r="H127" s="273">
        <v>0</v>
      </c>
      <c r="I127" s="274">
        <v>0</v>
      </c>
    </row>
    <row r="128" spans="1:9" x14ac:dyDescent="0.3">
      <c r="A128" s="199" t="e">
        <f>IF(AND(E125&lt;&gt;"", A123&lt;&gt;""), A123+1, "")</f>
        <v>#REF!</v>
      </c>
      <c r="B128" s="419"/>
      <c r="C128" s="422"/>
      <c r="D128" s="197" t="s">
        <v>424</v>
      </c>
      <c r="E128" s="247">
        <v>0</v>
      </c>
      <c r="F128" s="248">
        <v>0</v>
      </c>
      <c r="G128" s="248">
        <v>0</v>
      </c>
      <c r="H128" s="273">
        <v>0</v>
      </c>
      <c r="I128" s="274">
        <v>0</v>
      </c>
    </row>
    <row r="129" spans="1:9" ht="15.75" customHeight="1" thickBot="1" x14ac:dyDescent="0.35">
      <c r="A129" s="199" t="e">
        <f>IF(AND(E125&lt;&gt;"", A124&lt;&gt;""), A124+1, "")</f>
        <v>#REF!</v>
      </c>
      <c r="B129" s="420"/>
      <c r="C129" s="404"/>
      <c r="D129" s="198" t="s">
        <v>450</v>
      </c>
      <c r="E129" s="251">
        <v>0</v>
      </c>
      <c r="F129" s="252">
        <v>0</v>
      </c>
      <c r="G129" s="252">
        <v>0</v>
      </c>
      <c r="H129" s="275">
        <v>0</v>
      </c>
      <c r="I129" s="276">
        <v>0</v>
      </c>
    </row>
    <row r="130" spans="1:9" x14ac:dyDescent="0.3">
      <c r="A130" s="199" t="e">
        <f>IF(AND(E130&lt;&gt;"", A125&lt;&gt;""), A125+1, "")</f>
        <v>#REF!</v>
      </c>
      <c r="B130" s="418">
        <v>46274</v>
      </c>
      <c r="C130" s="421">
        <f>B130</f>
        <v>46274</v>
      </c>
      <c r="D130" s="196" t="s">
        <v>418</v>
      </c>
      <c r="E130" s="243">
        <v>0</v>
      </c>
      <c r="F130" s="244">
        <v>0</v>
      </c>
      <c r="G130" s="244">
        <v>0</v>
      </c>
      <c r="H130" s="271">
        <v>0</v>
      </c>
      <c r="I130" s="272">
        <v>0</v>
      </c>
    </row>
    <row r="131" spans="1:9" x14ac:dyDescent="0.3">
      <c r="A131" s="199" t="e">
        <f>IF(AND(E130&lt;&gt;"", A126&lt;&gt;""), A126+1, "")</f>
        <v>#REF!</v>
      </c>
      <c r="B131" s="419"/>
      <c r="C131" s="422"/>
      <c r="D131" s="197" t="s">
        <v>420</v>
      </c>
      <c r="E131" s="247">
        <v>0</v>
      </c>
      <c r="F131" s="248">
        <v>0</v>
      </c>
      <c r="G131" s="248">
        <v>0</v>
      </c>
      <c r="H131" s="273">
        <v>0</v>
      </c>
      <c r="I131" s="274">
        <v>0</v>
      </c>
    </row>
    <row r="132" spans="1:9" x14ac:dyDescent="0.3">
      <c r="A132" s="199" t="e">
        <f>IF(AND(E130&lt;&gt;"", A127&lt;&gt;""), A127+1, "")</f>
        <v>#REF!</v>
      </c>
      <c r="B132" s="419"/>
      <c r="C132" s="422"/>
      <c r="D132" s="197" t="s">
        <v>426</v>
      </c>
      <c r="E132" s="247">
        <v>0</v>
      </c>
      <c r="F132" s="248">
        <v>0</v>
      </c>
      <c r="G132" s="248">
        <v>0</v>
      </c>
      <c r="H132" s="273">
        <v>0</v>
      </c>
      <c r="I132" s="274">
        <v>0</v>
      </c>
    </row>
    <row r="133" spans="1:9" x14ac:dyDescent="0.3">
      <c r="A133" s="199" t="e">
        <f>IF(AND(E130&lt;&gt;"", A128&lt;&gt;""), A128+1, "")</f>
        <v>#REF!</v>
      </c>
      <c r="B133" s="419"/>
      <c r="C133" s="422"/>
      <c r="D133" s="197" t="s">
        <v>424</v>
      </c>
      <c r="E133" s="247">
        <v>0</v>
      </c>
      <c r="F133" s="248">
        <v>0</v>
      </c>
      <c r="G133" s="248">
        <v>0</v>
      </c>
      <c r="H133" s="273">
        <v>0</v>
      </c>
      <c r="I133" s="274">
        <v>0</v>
      </c>
    </row>
    <row r="134" spans="1:9" ht="15.75" customHeight="1" thickBot="1" x14ac:dyDescent="0.35">
      <c r="A134" s="199" t="e">
        <f>IF(AND(E130&lt;&gt;"", A129&lt;&gt;""), A129+1, "")</f>
        <v>#REF!</v>
      </c>
      <c r="B134" s="420"/>
      <c r="C134" s="404"/>
      <c r="D134" s="198" t="s">
        <v>450</v>
      </c>
      <c r="E134" s="251">
        <v>0</v>
      </c>
      <c r="F134" s="252">
        <v>0</v>
      </c>
      <c r="G134" s="252">
        <v>0</v>
      </c>
      <c r="H134" s="275">
        <v>0</v>
      </c>
      <c r="I134" s="276">
        <v>0</v>
      </c>
    </row>
    <row r="135" spans="1:9" x14ac:dyDescent="0.3">
      <c r="A135" s="199" t="e">
        <f>IF(AND(E135&lt;&gt;"", A130&lt;&gt;""), A130+1, "")</f>
        <v>#REF!</v>
      </c>
      <c r="B135" s="418">
        <v>46275</v>
      </c>
      <c r="C135" s="421">
        <f>B135</f>
        <v>46275</v>
      </c>
      <c r="D135" s="196" t="s">
        <v>418</v>
      </c>
      <c r="E135" s="243">
        <v>0</v>
      </c>
      <c r="F135" s="244">
        <v>0</v>
      </c>
      <c r="G135" s="244">
        <v>0</v>
      </c>
      <c r="H135" s="271">
        <v>0</v>
      </c>
      <c r="I135" s="272">
        <v>0</v>
      </c>
    </row>
    <row r="136" spans="1:9" x14ac:dyDescent="0.3">
      <c r="A136" s="199" t="e">
        <f>IF(AND(E135&lt;&gt;"", A131&lt;&gt;""), A131+1, "")</f>
        <v>#REF!</v>
      </c>
      <c r="B136" s="419"/>
      <c r="C136" s="422"/>
      <c r="D136" s="197" t="s">
        <v>420</v>
      </c>
      <c r="E136" s="247">
        <v>0</v>
      </c>
      <c r="F136" s="248">
        <v>0</v>
      </c>
      <c r="G136" s="248">
        <v>0</v>
      </c>
      <c r="H136" s="273">
        <v>0</v>
      </c>
      <c r="I136" s="274">
        <v>0</v>
      </c>
    </row>
    <row r="137" spans="1:9" x14ac:dyDescent="0.3">
      <c r="A137" s="199" t="e">
        <f>IF(AND(E135&lt;&gt;"", A132&lt;&gt;""), A132+1, "")</f>
        <v>#REF!</v>
      </c>
      <c r="B137" s="419"/>
      <c r="C137" s="422"/>
      <c r="D137" s="197" t="s">
        <v>426</v>
      </c>
      <c r="E137" s="247">
        <v>0</v>
      </c>
      <c r="F137" s="248">
        <v>0</v>
      </c>
      <c r="G137" s="248">
        <v>0</v>
      </c>
      <c r="H137" s="273">
        <v>0</v>
      </c>
      <c r="I137" s="274">
        <v>0</v>
      </c>
    </row>
    <row r="138" spans="1:9" x14ac:dyDescent="0.3">
      <c r="A138" s="199" t="e">
        <f>IF(AND(E135&lt;&gt;"", A133&lt;&gt;""), A133+1, "")</f>
        <v>#REF!</v>
      </c>
      <c r="B138" s="419"/>
      <c r="C138" s="422"/>
      <c r="D138" s="197" t="s">
        <v>424</v>
      </c>
      <c r="E138" s="247">
        <v>0</v>
      </c>
      <c r="F138" s="248">
        <v>0</v>
      </c>
      <c r="G138" s="248">
        <v>0</v>
      </c>
      <c r="H138" s="273">
        <v>0</v>
      </c>
      <c r="I138" s="274">
        <v>0</v>
      </c>
    </row>
    <row r="139" spans="1:9" ht="15.75" customHeight="1" thickBot="1" x14ac:dyDescent="0.35">
      <c r="A139" s="199" t="e">
        <f>IF(AND(E135&lt;&gt;"", A134&lt;&gt;""), A134+1, "")</f>
        <v>#REF!</v>
      </c>
      <c r="B139" s="420"/>
      <c r="C139" s="404"/>
      <c r="D139" s="198" t="s">
        <v>450</v>
      </c>
      <c r="E139" s="251">
        <v>0</v>
      </c>
      <c r="F139" s="252">
        <v>0</v>
      </c>
      <c r="G139" s="252">
        <v>0</v>
      </c>
      <c r="H139" s="275">
        <v>0</v>
      </c>
      <c r="I139" s="276">
        <v>0</v>
      </c>
    </row>
    <row r="140" spans="1:9" x14ac:dyDescent="0.3">
      <c r="A140" s="199" t="e">
        <f>IF(AND(E140&lt;&gt;"", A135&lt;&gt;""), A135+1, "")</f>
        <v>#REF!</v>
      </c>
      <c r="B140" s="418">
        <v>46276</v>
      </c>
      <c r="C140" s="421">
        <f>B140</f>
        <v>46276</v>
      </c>
      <c r="D140" s="196" t="s">
        <v>418</v>
      </c>
      <c r="E140" s="243">
        <v>0</v>
      </c>
      <c r="F140" s="244">
        <v>0</v>
      </c>
      <c r="G140" s="244">
        <v>0</v>
      </c>
      <c r="H140" s="271">
        <v>0</v>
      </c>
      <c r="I140" s="272">
        <v>0</v>
      </c>
    </row>
    <row r="141" spans="1:9" x14ac:dyDescent="0.3">
      <c r="A141" s="199" t="e">
        <f>IF(AND(E140&lt;&gt;"", A136&lt;&gt;""), A136+1, "")</f>
        <v>#REF!</v>
      </c>
      <c r="B141" s="419"/>
      <c r="C141" s="422"/>
      <c r="D141" s="197" t="s">
        <v>420</v>
      </c>
      <c r="E141" s="247">
        <v>0</v>
      </c>
      <c r="F141" s="248">
        <v>0</v>
      </c>
      <c r="G141" s="248">
        <v>0</v>
      </c>
      <c r="H141" s="273">
        <v>0</v>
      </c>
      <c r="I141" s="274">
        <v>0</v>
      </c>
    </row>
    <row r="142" spans="1:9" x14ac:dyDescent="0.3">
      <c r="A142" s="199" t="e">
        <f>IF(AND(E140&lt;&gt;"", A137&lt;&gt;""), A137+1, "")</f>
        <v>#REF!</v>
      </c>
      <c r="B142" s="419"/>
      <c r="C142" s="422"/>
      <c r="D142" s="197" t="s">
        <v>426</v>
      </c>
      <c r="E142" s="247">
        <v>0</v>
      </c>
      <c r="F142" s="248">
        <v>0</v>
      </c>
      <c r="G142" s="248">
        <v>0</v>
      </c>
      <c r="H142" s="273">
        <v>0</v>
      </c>
      <c r="I142" s="274">
        <v>0</v>
      </c>
    </row>
    <row r="143" spans="1:9" x14ac:dyDescent="0.3">
      <c r="A143" s="199" t="e">
        <f>IF(AND(E140&lt;&gt;"", A138&lt;&gt;""), A138+1, "")</f>
        <v>#REF!</v>
      </c>
      <c r="B143" s="419"/>
      <c r="C143" s="422"/>
      <c r="D143" s="197" t="s">
        <v>424</v>
      </c>
      <c r="E143" s="247">
        <v>0</v>
      </c>
      <c r="F143" s="248">
        <v>0</v>
      </c>
      <c r="G143" s="248">
        <v>0</v>
      </c>
      <c r="H143" s="273">
        <v>0</v>
      </c>
      <c r="I143" s="274">
        <v>0</v>
      </c>
    </row>
    <row r="144" spans="1:9" ht="15.75" customHeight="1" thickBot="1" x14ac:dyDescent="0.35">
      <c r="A144" s="199" t="e">
        <f>IF(AND(E140&lt;&gt;"", A139&lt;&gt;""), A139+1, "")</f>
        <v>#REF!</v>
      </c>
      <c r="B144" s="420"/>
      <c r="C144" s="404"/>
      <c r="D144" s="198" t="s">
        <v>450</v>
      </c>
      <c r="E144" s="251">
        <v>0</v>
      </c>
      <c r="F144" s="252">
        <v>0</v>
      </c>
      <c r="G144" s="252">
        <v>0</v>
      </c>
      <c r="H144" s="275">
        <v>0</v>
      </c>
      <c r="I144" s="276">
        <v>0</v>
      </c>
    </row>
    <row r="145" spans="1:9" x14ac:dyDescent="0.3">
      <c r="A145" s="199" t="e">
        <f>IF(AND(E145&lt;&gt;"", A140&lt;&gt;""), A140+1, "")</f>
        <v>#REF!</v>
      </c>
      <c r="B145" s="418">
        <v>46277</v>
      </c>
      <c r="C145" s="421">
        <f>B145</f>
        <v>46277</v>
      </c>
      <c r="D145" s="196" t="s">
        <v>418</v>
      </c>
      <c r="E145" s="243">
        <v>0</v>
      </c>
      <c r="F145" s="244">
        <v>0</v>
      </c>
      <c r="G145" s="244">
        <v>0</v>
      </c>
      <c r="H145" s="271">
        <v>0</v>
      </c>
      <c r="I145" s="272">
        <v>0</v>
      </c>
    </row>
    <row r="146" spans="1:9" x14ac:dyDescent="0.3">
      <c r="A146" s="199" t="e">
        <f>IF(AND(E145&lt;&gt;"", A141&lt;&gt;""), A141+1, "")</f>
        <v>#REF!</v>
      </c>
      <c r="B146" s="419"/>
      <c r="C146" s="422"/>
      <c r="D146" s="197" t="s">
        <v>420</v>
      </c>
      <c r="E146" s="247">
        <v>0</v>
      </c>
      <c r="F146" s="248">
        <v>0</v>
      </c>
      <c r="G146" s="248">
        <v>0</v>
      </c>
      <c r="H146" s="273">
        <v>0</v>
      </c>
      <c r="I146" s="274">
        <v>0</v>
      </c>
    </row>
    <row r="147" spans="1:9" x14ac:dyDescent="0.3">
      <c r="A147" s="199" t="e">
        <f>IF(AND(E145&lt;&gt;"", A142&lt;&gt;""), A142+1, "")</f>
        <v>#REF!</v>
      </c>
      <c r="B147" s="419"/>
      <c r="C147" s="422"/>
      <c r="D147" s="197" t="s">
        <v>426</v>
      </c>
      <c r="E147" s="247">
        <v>0</v>
      </c>
      <c r="F147" s="248">
        <v>0</v>
      </c>
      <c r="G147" s="248">
        <v>0</v>
      </c>
      <c r="H147" s="273">
        <v>0</v>
      </c>
      <c r="I147" s="274">
        <v>0</v>
      </c>
    </row>
    <row r="148" spans="1:9" x14ac:dyDescent="0.3">
      <c r="A148" s="199" t="e">
        <f>IF(AND(E145&lt;&gt;"", A143&lt;&gt;""), A143+1, "")</f>
        <v>#REF!</v>
      </c>
      <c r="B148" s="419"/>
      <c r="C148" s="422"/>
      <c r="D148" s="197" t="s">
        <v>424</v>
      </c>
      <c r="E148" s="247">
        <v>0</v>
      </c>
      <c r="F148" s="248">
        <v>0</v>
      </c>
      <c r="G148" s="248">
        <v>0</v>
      </c>
      <c r="H148" s="273">
        <v>0</v>
      </c>
      <c r="I148" s="274">
        <v>0</v>
      </c>
    </row>
    <row r="149" spans="1:9" ht="15.75" customHeight="1" thickBot="1" x14ac:dyDescent="0.35">
      <c r="A149" s="199" t="e">
        <f>IF(AND(E145&lt;&gt;"", A144&lt;&gt;""), A144+1, "")</f>
        <v>#REF!</v>
      </c>
      <c r="B149" s="420"/>
      <c r="C149" s="404"/>
      <c r="D149" s="198" t="s">
        <v>450</v>
      </c>
      <c r="E149" s="251">
        <v>0</v>
      </c>
      <c r="F149" s="252">
        <v>0</v>
      </c>
      <c r="G149" s="252">
        <v>0</v>
      </c>
      <c r="H149" s="275">
        <v>0</v>
      </c>
      <c r="I149" s="276">
        <v>0</v>
      </c>
    </row>
    <row r="150" spans="1:9" x14ac:dyDescent="0.3">
      <c r="A150" s="199" t="e">
        <f>IF(AND(E150&lt;&gt;"", A145&lt;&gt;""), A145+1, "")</f>
        <v>#REF!</v>
      </c>
      <c r="B150" s="418">
        <v>46278</v>
      </c>
      <c r="C150" s="421">
        <f>B150</f>
        <v>46278</v>
      </c>
      <c r="D150" s="196" t="s">
        <v>418</v>
      </c>
      <c r="E150" s="243">
        <v>0</v>
      </c>
      <c r="F150" s="244">
        <v>0</v>
      </c>
      <c r="G150" s="244">
        <v>0</v>
      </c>
      <c r="H150" s="271">
        <v>0</v>
      </c>
      <c r="I150" s="272">
        <v>0</v>
      </c>
    </row>
    <row r="151" spans="1:9" x14ac:dyDescent="0.3">
      <c r="A151" s="199" t="e">
        <f>IF(AND(E150&lt;&gt;"", A146&lt;&gt;""), A146+1, "")</f>
        <v>#REF!</v>
      </c>
      <c r="B151" s="419"/>
      <c r="C151" s="422"/>
      <c r="D151" s="197" t="s">
        <v>420</v>
      </c>
      <c r="E151" s="247">
        <v>0</v>
      </c>
      <c r="F151" s="248">
        <v>0</v>
      </c>
      <c r="G151" s="248">
        <v>0</v>
      </c>
      <c r="H151" s="273">
        <v>0</v>
      </c>
      <c r="I151" s="274">
        <v>0</v>
      </c>
    </row>
    <row r="152" spans="1:9" x14ac:dyDescent="0.3">
      <c r="A152" s="199" t="e">
        <f>IF(AND(E150&lt;&gt;"", A147&lt;&gt;""), A147+1, "")</f>
        <v>#REF!</v>
      </c>
      <c r="B152" s="419"/>
      <c r="C152" s="422"/>
      <c r="D152" s="197" t="s">
        <v>426</v>
      </c>
      <c r="E152" s="247">
        <v>0</v>
      </c>
      <c r="F152" s="248">
        <v>0</v>
      </c>
      <c r="G152" s="248">
        <v>0</v>
      </c>
      <c r="H152" s="273">
        <v>0</v>
      </c>
      <c r="I152" s="274">
        <v>0</v>
      </c>
    </row>
    <row r="153" spans="1:9" x14ac:dyDescent="0.3">
      <c r="A153" s="199" t="e">
        <f>IF(AND(E150&lt;&gt;"", A148&lt;&gt;""), A148+1, "")</f>
        <v>#REF!</v>
      </c>
      <c r="B153" s="419"/>
      <c r="C153" s="422"/>
      <c r="D153" s="197" t="s">
        <v>424</v>
      </c>
      <c r="E153" s="247">
        <v>0</v>
      </c>
      <c r="F153" s="248">
        <v>0</v>
      </c>
      <c r="G153" s="248">
        <v>0</v>
      </c>
      <c r="H153" s="273">
        <v>0</v>
      </c>
      <c r="I153" s="274">
        <v>0</v>
      </c>
    </row>
    <row r="154" spans="1:9" ht="15.75" customHeight="1" thickBot="1" x14ac:dyDescent="0.35">
      <c r="A154" s="199" t="e">
        <f>IF(AND(E150&lt;&gt;"", A149&lt;&gt;""), A149+1, "")</f>
        <v>#REF!</v>
      </c>
      <c r="B154" s="420"/>
      <c r="C154" s="404"/>
      <c r="D154" s="198" t="s">
        <v>450</v>
      </c>
      <c r="E154" s="251">
        <v>0</v>
      </c>
      <c r="F154" s="252">
        <v>0</v>
      </c>
      <c r="G154" s="252">
        <v>0</v>
      </c>
      <c r="H154" s="275">
        <v>0</v>
      </c>
      <c r="I154" s="276">
        <v>0</v>
      </c>
    </row>
    <row r="155" spans="1:9" x14ac:dyDescent="0.3">
      <c r="A155" s="199" t="e">
        <f>IF(AND(E155&lt;&gt;"", A150&lt;&gt;""), A150+1, "")</f>
        <v>#REF!</v>
      </c>
      <c r="B155" s="418">
        <v>46279</v>
      </c>
      <c r="C155" s="421">
        <f>B155</f>
        <v>46279</v>
      </c>
      <c r="D155" s="196" t="s">
        <v>418</v>
      </c>
      <c r="E155" s="243">
        <v>0</v>
      </c>
      <c r="F155" s="244">
        <v>0</v>
      </c>
      <c r="G155" s="244">
        <v>0</v>
      </c>
      <c r="H155" s="271">
        <v>0</v>
      </c>
      <c r="I155" s="272">
        <v>0</v>
      </c>
    </row>
    <row r="156" spans="1:9" x14ac:dyDescent="0.3">
      <c r="A156" s="199" t="e">
        <f>IF(AND(E155&lt;&gt;"", A151&lt;&gt;""), A151+1, "")</f>
        <v>#REF!</v>
      </c>
      <c r="B156" s="419"/>
      <c r="C156" s="422"/>
      <c r="D156" s="197" t="s">
        <v>420</v>
      </c>
      <c r="E156" s="247">
        <v>0</v>
      </c>
      <c r="F156" s="248">
        <v>0</v>
      </c>
      <c r="G156" s="248">
        <v>0</v>
      </c>
      <c r="H156" s="273">
        <v>0</v>
      </c>
      <c r="I156" s="274">
        <v>0</v>
      </c>
    </row>
    <row r="157" spans="1:9" x14ac:dyDescent="0.3">
      <c r="A157" s="199" t="e">
        <f>IF(AND(E155&lt;&gt;"", A152&lt;&gt;""), A152+1, "")</f>
        <v>#REF!</v>
      </c>
      <c r="B157" s="419"/>
      <c r="C157" s="422"/>
      <c r="D157" s="197" t="s">
        <v>426</v>
      </c>
      <c r="E157" s="247">
        <v>0</v>
      </c>
      <c r="F157" s="248">
        <v>0</v>
      </c>
      <c r="G157" s="248">
        <v>0</v>
      </c>
      <c r="H157" s="273">
        <v>0</v>
      </c>
      <c r="I157" s="274">
        <v>0</v>
      </c>
    </row>
    <row r="158" spans="1:9" x14ac:dyDescent="0.3">
      <c r="A158" s="199" t="e">
        <f>IF(AND(E155&lt;&gt;"", A153&lt;&gt;""), A153+1, "")</f>
        <v>#REF!</v>
      </c>
      <c r="B158" s="419"/>
      <c r="C158" s="422"/>
      <c r="D158" s="197" t="s">
        <v>424</v>
      </c>
      <c r="E158" s="247">
        <v>0</v>
      </c>
      <c r="F158" s="248">
        <v>0</v>
      </c>
      <c r="G158" s="248">
        <v>0</v>
      </c>
      <c r="H158" s="273">
        <v>0</v>
      </c>
      <c r="I158" s="274">
        <v>0</v>
      </c>
    </row>
    <row r="159" spans="1:9" ht="15.75" customHeight="1" thickBot="1" x14ac:dyDescent="0.35">
      <c r="A159" s="199" t="e">
        <f>IF(AND(E155&lt;&gt;"", A154&lt;&gt;""), A154+1, "")</f>
        <v>#REF!</v>
      </c>
      <c r="B159" s="420"/>
      <c r="C159" s="404"/>
      <c r="D159" s="198" t="s">
        <v>450</v>
      </c>
      <c r="E159" s="251">
        <v>0</v>
      </c>
      <c r="F159" s="252">
        <v>0</v>
      </c>
      <c r="G159" s="252">
        <v>0</v>
      </c>
      <c r="H159" s="275">
        <v>0</v>
      </c>
      <c r="I159" s="276">
        <v>0</v>
      </c>
    </row>
    <row r="160" spans="1:9" x14ac:dyDescent="0.3">
      <c r="A160" s="199" t="e">
        <f>IF(AND(E160&lt;&gt;"", A155&lt;&gt;""), A155+1, "")</f>
        <v>#REF!</v>
      </c>
      <c r="B160" s="418">
        <v>46280</v>
      </c>
      <c r="C160" s="421">
        <f>B160</f>
        <v>46280</v>
      </c>
      <c r="D160" s="196" t="s">
        <v>418</v>
      </c>
      <c r="E160" s="243">
        <v>0</v>
      </c>
      <c r="F160" s="244">
        <v>0</v>
      </c>
      <c r="G160" s="244">
        <v>0</v>
      </c>
      <c r="H160" s="271">
        <v>0</v>
      </c>
      <c r="I160" s="272">
        <v>0</v>
      </c>
    </row>
    <row r="161" spans="1:9" x14ac:dyDescent="0.3">
      <c r="A161" s="199" t="e">
        <f>IF(AND(E160&lt;&gt;"", A156&lt;&gt;""), A156+1, "")</f>
        <v>#REF!</v>
      </c>
      <c r="B161" s="419"/>
      <c r="C161" s="422"/>
      <c r="D161" s="197" t="s">
        <v>420</v>
      </c>
      <c r="E161" s="247">
        <v>0</v>
      </c>
      <c r="F161" s="248">
        <v>0</v>
      </c>
      <c r="G161" s="248">
        <v>0</v>
      </c>
      <c r="H161" s="273">
        <v>0</v>
      </c>
      <c r="I161" s="274">
        <v>0</v>
      </c>
    </row>
    <row r="162" spans="1:9" x14ac:dyDescent="0.3">
      <c r="A162" s="199" t="e">
        <f>IF(AND(E160&lt;&gt;"", A157&lt;&gt;""), A157+1, "")</f>
        <v>#REF!</v>
      </c>
      <c r="B162" s="419"/>
      <c r="C162" s="422"/>
      <c r="D162" s="197" t="s">
        <v>426</v>
      </c>
      <c r="E162" s="247">
        <v>0</v>
      </c>
      <c r="F162" s="248">
        <v>0</v>
      </c>
      <c r="G162" s="248">
        <v>0</v>
      </c>
      <c r="H162" s="273">
        <v>0</v>
      </c>
      <c r="I162" s="274">
        <v>0</v>
      </c>
    </row>
    <row r="163" spans="1:9" x14ac:dyDescent="0.3">
      <c r="A163" s="199" t="e">
        <f>IF(AND(E160&lt;&gt;"", A158&lt;&gt;""), A158+1, "")</f>
        <v>#REF!</v>
      </c>
      <c r="B163" s="419"/>
      <c r="C163" s="422"/>
      <c r="D163" s="197" t="s">
        <v>424</v>
      </c>
      <c r="E163" s="247">
        <v>0</v>
      </c>
      <c r="F163" s="248">
        <v>0</v>
      </c>
      <c r="G163" s="248">
        <v>0</v>
      </c>
      <c r="H163" s="273">
        <v>0</v>
      </c>
      <c r="I163" s="274">
        <v>0</v>
      </c>
    </row>
    <row r="164" spans="1:9" ht="15.75" customHeight="1" thickBot="1" x14ac:dyDescent="0.35">
      <c r="A164" s="199" t="e">
        <f>IF(AND(E160&lt;&gt;"", A159&lt;&gt;""), A159+1, "")</f>
        <v>#REF!</v>
      </c>
      <c r="B164" s="420"/>
      <c r="C164" s="404"/>
      <c r="D164" s="198" t="s">
        <v>450</v>
      </c>
      <c r="E164" s="251">
        <v>0</v>
      </c>
      <c r="F164" s="252">
        <v>0</v>
      </c>
      <c r="G164" s="252">
        <v>0</v>
      </c>
      <c r="H164" s="275">
        <v>0</v>
      </c>
      <c r="I164" s="276">
        <v>0</v>
      </c>
    </row>
    <row r="165" spans="1:9" x14ac:dyDescent="0.3">
      <c r="A165" s="199" t="e">
        <f>IF(AND(E165&lt;&gt;"", A160&lt;&gt;""), A160+1, "")</f>
        <v>#REF!</v>
      </c>
      <c r="B165" s="418">
        <v>46281</v>
      </c>
      <c r="C165" s="421">
        <f>B165</f>
        <v>46281</v>
      </c>
      <c r="D165" s="196" t="s">
        <v>418</v>
      </c>
      <c r="E165" s="243">
        <v>0</v>
      </c>
      <c r="F165" s="244">
        <v>0</v>
      </c>
      <c r="G165" s="244">
        <v>0</v>
      </c>
      <c r="H165" s="271">
        <v>0</v>
      </c>
      <c r="I165" s="272">
        <v>0</v>
      </c>
    </row>
    <row r="166" spans="1:9" x14ac:dyDescent="0.3">
      <c r="A166" s="199" t="e">
        <f>IF(AND(E165&lt;&gt;"", A161&lt;&gt;""), A161+1, "")</f>
        <v>#REF!</v>
      </c>
      <c r="B166" s="419"/>
      <c r="C166" s="422"/>
      <c r="D166" s="197" t="s">
        <v>420</v>
      </c>
      <c r="E166" s="247">
        <v>0</v>
      </c>
      <c r="F166" s="248">
        <v>0</v>
      </c>
      <c r="G166" s="248">
        <v>0</v>
      </c>
      <c r="H166" s="273">
        <v>0</v>
      </c>
      <c r="I166" s="274">
        <v>0</v>
      </c>
    </row>
    <row r="167" spans="1:9" x14ac:dyDescent="0.3">
      <c r="A167" s="199" t="e">
        <f>IF(AND(E165&lt;&gt;"", A162&lt;&gt;""), A162+1, "")</f>
        <v>#REF!</v>
      </c>
      <c r="B167" s="419"/>
      <c r="C167" s="422"/>
      <c r="D167" s="197" t="s">
        <v>426</v>
      </c>
      <c r="E167" s="247">
        <v>0</v>
      </c>
      <c r="F167" s="248">
        <v>0</v>
      </c>
      <c r="G167" s="248">
        <v>0</v>
      </c>
      <c r="H167" s="273">
        <v>0</v>
      </c>
      <c r="I167" s="274">
        <v>0</v>
      </c>
    </row>
    <row r="168" spans="1:9" x14ac:dyDescent="0.3">
      <c r="A168" s="199" t="e">
        <f>IF(AND(E165&lt;&gt;"", A163&lt;&gt;""), A163+1, "")</f>
        <v>#REF!</v>
      </c>
      <c r="B168" s="419"/>
      <c r="C168" s="422"/>
      <c r="D168" s="197" t="s">
        <v>424</v>
      </c>
      <c r="E168" s="247">
        <v>0</v>
      </c>
      <c r="F168" s="248">
        <v>0</v>
      </c>
      <c r="G168" s="248">
        <v>0</v>
      </c>
      <c r="H168" s="273">
        <v>0</v>
      </c>
      <c r="I168" s="274">
        <v>0</v>
      </c>
    </row>
    <row r="169" spans="1:9" ht="15.75" customHeight="1" thickBot="1" x14ac:dyDescent="0.35">
      <c r="A169" s="199" t="e">
        <f>IF(AND(E165&lt;&gt;"", A164&lt;&gt;""), A164+1, "")</f>
        <v>#REF!</v>
      </c>
      <c r="B169" s="420"/>
      <c r="C169" s="404"/>
      <c r="D169" s="198" t="s">
        <v>450</v>
      </c>
      <c r="E169" s="251">
        <v>0</v>
      </c>
      <c r="F169" s="252">
        <v>0</v>
      </c>
      <c r="G169" s="252">
        <v>0</v>
      </c>
      <c r="H169" s="275">
        <v>0</v>
      </c>
      <c r="I169" s="276">
        <v>0</v>
      </c>
    </row>
    <row r="170" spans="1:9" x14ac:dyDescent="0.3">
      <c r="A170" s="199" t="e">
        <f>IF(AND(E170&lt;&gt;"", A165&lt;&gt;""), A165+1, "")</f>
        <v>#REF!</v>
      </c>
      <c r="B170" s="418">
        <v>46282</v>
      </c>
      <c r="C170" s="421">
        <f>B170</f>
        <v>46282</v>
      </c>
      <c r="D170" s="196" t="s">
        <v>418</v>
      </c>
      <c r="E170" s="243">
        <v>0</v>
      </c>
      <c r="F170" s="244">
        <v>0</v>
      </c>
      <c r="G170" s="244">
        <v>0</v>
      </c>
      <c r="H170" s="271">
        <v>0</v>
      </c>
      <c r="I170" s="272">
        <v>0</v>
      </c>
    </row>
    <row r="171" spans="1:9" x14ac:dyDescent="0.3">
      <c r="A171" s="199" t="e">
        <f>IF(AND(E170&lt;&gt;"", A166&lt;&gt;""), A166+1, "")</f>
        <v>#REF!</v>
      </c>
      <c r="B171" s="419"/>
      <c r="C171" s="422"/>
      <c r="D171" s="197" t="s">
        <v>420</v>
      </c>
      <c r="E171" s="247">
        <v>0</v>
      </c>
      <c r="F171" s="248">
        <v>0</v>
      </c>
      <c r="G171" s="248">
        <v>0</v>
      </c>
      <c r="H171" s="273">
        <v>0</v>
      </c>
      <c r="I171" s="274">
        <v>0</v>
      </c>
    </row>
    <row r="172" spans="1:9" x14ac:dyDescent="0.3">
      <c r="A172" s="199" t="e">
        <f>IF(AND(E170&lt;&gt;"", A167&lt;&gt;""), A167+1, "")</f>
        <v>#REF!</v>
      </c>
      <c r="B172" s="419"/>
      <c r="C172" s="422"/>
      <c r="D172" s="197" t="s">
        <v>426</v>
      </c>
      <c r="E172" s="247">
        <v>0</v>
      </c>
      <c r="F172" s="248">
        <v>0</v>
      </c>
      <c r="G172" s="248">
        <v>0</v>
      </c>
      <c r="H172" s="273">
        <v>0</v>
      </c>
      <c r="I172" s="274">
        <v>0</v>
      </c>
    </row>
    <row r="173" spans="1:9" x14ac:dyDescent="0.3">
      <c r="A173" s="199" t="e">
        <f>IF(AND(E170&lt;&gt;"", A168&lt;&gt;""), A168+1, "")</f>
        <v>#REF!</v>
      </c>
      <c r="B173" s="419"/>
      <c r="C173" s="422"/>
      <c r="D173" s="197" t="s">
        <v>424</v>
      </c>
      <c r="E173" s="247">
        <v>0</v>
      </c>
      <c r="F173" s="248">
        <v>0</v>
      </c>
      <c r="G173" s="248">
        <v>0</v>
      </c>
      <c r="H173" s="273">
        <v>0</v>
      </c>
      <c r="I173" s="274">
        <v>0</v>
      </c>
    </row>
    <row r="174" spans="1:9" ht="15.75" customHeight="1" thickBot="1" x14ac:dyDescent="0.35">
      <c r="A174" s="199" t="e">
        <f>IF(AND(E170&lt;&gt;"", A169&lt;&gt;""), A169+1, "")</f>
        <v>#REF!</v>
      </c>
      <c r="B174" s="420"/>
      <c r="C174" s="404"/>
      <c r="D174" s="198" t="s">
        <v>450</v>
      </c>
      <c r="E174" s="251">
        <v>0</v>
      </c>
      <c r="F174" s="252">
        <v>0</v>
      </c>
      <c r="G174" s="252">
        <v>0</v>
      </c>
      <c r="H174" s="275">
        <v>0</v>
      </c>
      <c r="I174" s="276">
        <v>0</v>
      </c>
    </row>
    <row r="175" spans="1:9" x14ac:dyDescent="0.3">
      <c r="A175" s="199" t="e">
        <f>IF(AND(E175&lt;&gt;"", A170&lt;&gt;""), A170+1, "")</f>
        <v>#REF!</v>
      </c>
      <c r="B175" s="418">
        <v>46283</v>
      </c>
      <c r="C175" s="421">
        <f>B175</f>
        <v>46283</v>
      </c>
      <c r="D175" s="196" t="s">
        <v>418</v>
      </c>
      <c r="E175" s="243">
        <v>0</v>
      </c>
      <c r="F175" s="244">
        <v>0</v>
      </c>
      <c r="G175" s="244">
        <v>0</v>
      </c>
      <c r="H175" s="271">
        <v>0</v>
      </c>
      <c r="I175" s="272">
        <v>0</v>
      </c>
    </row>
    <row r="176" spans="1:9" x14ac:dyDescent="0.3">
      <c r="A176" s="199" t="e">
        <f>IF(AND(E175&lt;&gt;"", A171&lt;&gt;""), A171+1, "")</f>
        <v>#REF!</v>
      </c>
      <c r="B176" s="419"/>
      <c r="C176" s="422"/>
      <c r="D176" s="197" t="s">
        <v>420</v>
      </c>
      <c r="E176" s="247">
        <v>0</v>
      </c>
      <c r="F176" s="248">
        <v>0</v>
      </c>
      <c r="G176" s="248">
        <v>0</v>
      </c>
      <c r="H176" s="273">
        <v>0</v>
      </c>
      <c r="I176" s="274">
        <v>0</v>
      </c>
    </row>
    <row r="177" spans="1:9" x14ac:dyDescent="0.3">
      <c r="A177" s="199" t="e">
        <f>IF(AND(E175&lt;&gt;"", A172&lt;&gt;""), A172+1, "")</f>
        <v>#REF!</v>
      </c>
      <c r="B177" s="419"/>
      <c r="C177" s="422"/>
      <c r="D177" s="197" t="s">
        <v>426</v>
      </c>
      <c r="E177" s="247">
        <v>0</v>
      </c>
      <c r="F177" s="248">
        <v>0</v>
      </c>
      <c r="G177" s="248">
        <v>0</v>
      </c>
      <c r="H177" s="273">
        <v>0</v>
      </c>
      <c r="I177" s="274">
        <v>0</v>
      </c>
    </row>
    <row r="178" spans="1:9" x14ac:dyDescent="0.3">
      <c r="A178" s="199" t="e">
        <f>IF(AND(E175&lt;&gt;"", A173&lt;&gt;""), A173+1, "")</f>
        <v>#REF!</v>
      </c>
      <c r="B178" s="419"/>
      <c r="C178" s="422"/>
      <c r="D178" s="197" t="s">
        <v>424</v>
      </c>
      <c r="E178" s="247">
        <v>0</v>
      </c>
      <c r="F178" s="248">
        <v>0</v>
      </c>
      <c r="G178" s="248">
        <v>0</v>
      </c>
      <c r="H178" s="273">
        <v>0</v>
      </c>
      <c r="I178" s="274">
        <v>0</v>
      </c>
    </row>
    <row r="179" spans="1:9" ht="15.75" customHeight="1" thickBot="1" x14ac:dyDescent="0.35">
      <c r="A179" s="199" t="e">
        <f>IF(AND(E175&lt;&gt;"", A174&lt;&gt;""), A174+1, "")</f>
        <v>#REF!</v>
      </c>
      <c r="B179" s="420"/>
      <c r="C179" s="404"/>
      <c r="D179" s="198" t="s">
        <v>450</v>
      </c>
      <c r="E179" s="251">
        <v>0</v>
      </c>
      <c r="F179" s="252">
        <v>0</v>
      </c>
      <c r="G179" s="252">
        <v>0</v>
      </c>
      <c r="H179" s="275">
        <v>0</v>
      </c>
      <c r="I179" s="276">
        <v>0</v>
      </c>
    </row>
    <row r="180" spans="1:9" x14ac:dyDescent="0.3">
      <c r="A180" s="199" t="e">
        <f>IF(AND(E180&lt;&gt;"", A175&lt;&gt;""), A175+1, "")</f>
        <v>#REF!</v>
      </c>
      <c r="B180" s="418">
        <v>46284</v>
      </c>
      <c r="C180" s="421">
        <f>B180</f>
        <v>46284</v>
      </c>
      <c r="D180" s="196" t="s">
        <v>418</v>
      </c>
      <c r="E180" s="243">
        <v>0</v>
      </c>
      <c r="F180" s="244">
        <v>0</v>
      </c>
      <c r="G180" s="244">
        <v>0</v>
      </c>
      <c r="H180" s="271">
        <v>0</v>
      </c>
      <c r="I180" s="272">
        <v>0</v>
      </c>
    </row>
    <row r="181" spans="1:9" x14ac:dyDescent="0.3">
      <c r="A181" s="199" t="e">
        <f>IF(AND(E180&lt;&gt;"", A176&lt;&gt;""), A176+1, "")</f>
        <v>#REF!</v>
      </c>
      <c r="B181" s="419"/>
      <c r="C181" s="422"/>
      <c r="D181" s="197" t="s">
        <v>420</v>
      </c>
      <c r="E181" s="247">
        <v>0</v>
      </c>
      <c r="F181" s="248">
        <v>0</v>
      </c>
      <c r="G181" s="248">
        <v>0</v>
      </c>
      <c r="H181" s="273">
        <v>0</v>
      </c>
      <c r="I181" s="274">
        <v>0</v>
      </c>
    </row>
    <row r="182" spans="1:9" x14ac:dyDescent="0.3">
      <c r="A182" s="199" t="e">
        <f>IF(AND(E180&lt;&gt;"", A177&lt;&gt;""), A177+1, "")</f>
        <v>#REF!</v>
      </c>
      <c r="B182" s="419"/>
      <c r="C182" s="422"/>
      <c r="D182" s="197" t="s">
        <v>426</v>
      </c>
      <c r="E182" s="247">
        <v>0</v>
      </c>
      <c r="F182" s="248">
        <v>0</v>
      </c>
      <c r="G182" s="248">
        <v>0</v>
      </c>
      <c r="H182" s="273">
        <v>0</v>
      </c>
      <c r="I182" s="274">
        <v>0</v>
      </c>
    </row>
    <row r="183" spans="1:9" x14ac:dyDescent="0.3">
      <c r="A183" s="199" t="e">
        <f>IF(AND(E180&lt;&gt;"", A178&lt;&gt;""), A178+1, "")</f>
        <v>#REF!</v>
      </c>
      <c r="B183" s="419"/>
      <c r="C183" s="422"/>
      <c r="D183" s="197" t="s">
        <v>424</v>
      </c>
      <c r="E183" s="247">
        <v>0</v>
      </c>
      <c r="F183" s="248">
        <v>0</v>
      </c>
      <c r="G183" s="248">
        <v>0</v>
      </c>
      <c r="H183" s="273">
        <v>0</v>
      </c>
      <c r="I183" s="274">
        <v>0</v>
      </c>
    </row>
    <row r="184" spans="1:9" ht="15.75" customHeight="1" thickBot="1" x14ac:dyDescent="0.35">
      <c r="A184" s="199" t="e">
        <f>IF(AND(E180&lt;&gt;"", A179&lt;&gt;""), A179+1, "")</f>
        <v>#REF!</v>
      </c>
      <c r="B184" s="420"/>
      <c r="C184" s="404"/>
      <c r="D184" s="198" t="s">
        <v>450</v>
      </c>
      <c r="E184" s="251">
        <v>0</v>
      </c>
      <c r="F184" s="252">
        <v>0</v>
      </c>
      <c r="G184" s="252">
        <v>0</v>
      </c>
      <c r="H184" s="275">
        <v>0</v>
      </c>
      <c r="I184" s="276">
        <v>0</v>
      </c>
    </row>
    <row r="185" spans="1:9" x14ac:dyDescent="0.3">
      <c r="A185" s="199" t="e">
        <f>IF(AND(E185&lt;&gt;"", A180&lt;&gt;""), A180+1, "")</f>
        <v>#REF!</v>
      </c>
      <c r="B185" s="418">
        <v>46285</v>
      </c>
      <c r="C185" s="421">
        <f>B185</f>
        <v>46285</v>
      </c>
      <c r="D185" s="196" t="s">
        <v>418</v>
      </c>
      <c r="E185" s="243">
        <v>0</v>
      </c>
      <c r="F185" s="244">
        <v>0</v>
      </c>
      <c r="G185" s="244">
        <v>0</v>
      </c>
      <c r="H185" s="271">
        <v>0</v>
      </c>
      <c r="I185" s="272">
        <v>0</v>
      </c>
    </row>
    <row r="186" spans="1:9" x14ac:dyDescent="0.3">
      <c r="A186" s="199" t="e">
        <f>IF(AND(E185&lt;&gt;"", A181&lt;&gt;""), A181+1, "")</f>
        <v>#REF!</v>
      </c>
      <c r="B186" s="419"/>
      <c r="C186" s="422"/>
      <c r="D186" s="197" t="s">
        <v>420</v>
      </c>
      <c r="E186" s="247">
        <v>0</v>
      </c>
      <c r="F186" s="248">
        <v>0</v>
      </c>
      <c r="G186" s="248">
        <v>0</v>
      </c>
      <c r="H186" s="273">
        <v>0</v>
      </c>
      <c r="I186" s="274">
        <v>0</v>
      </c>
    </row>
    <row r="187" spans="1:9" x14ac:dyDescent="0.3">
      <c r="A187" s="199" t="e">
        <f>IF(AND(E185&lt;&gt;"", A182&lt;&gt;""), A182+1, "")</f>
        <v>#REF!</v>
      </c>
      <c r="B187" s="419"/>
      <c r="C187" s="422"/>
      <c r="D187" s="197" t="s">
        <v>426</v>
      </c>
      <c r="E187" s="247">
        <v>0</v>
      </c>
      <c r="F187" s="248">
        <v>0</v>
      </c>
      <c r="G187" s="248">
        <v>0</v>
      </c>
      <c r="H187" s="273">
        <v>0</v>
      </c>
      <c r="I187" s="274">
        <v>0</v>
      </c>
    </row>
    <row r="188" spans="1:9" x14ac:dyDescent="0.3">
      <c r="A188" s="199" t="e">
        <f>IF(AND(E185&lt;&gt;"", A183&lt;&gt;""), A183+1, "")</f>
        <v>#REF!</v>
      </c>
      <c r="B188" s="419"/>
      <c r="C188" s="422"/>
      <c r="D188" s="197" t="s">
        <v>424</v>
      </c>
      <c r="E188" s="247">
        <v>0</v>
      </c>
      <c r="F188" s="248">
        <v>0</v>
      </c>
      <c r="G188" s="248">
        <v>0</v>
      </c>
      <c r="H188" s="273">
        <v>0</v>
      </c>
      <c r="I188" s="274">
        <v>0</v>
      </c>
    </row>
    <row r="189" spans="1:9" ht="15.75" customHeight="1" thickBot="1" x14ac:dyDescent="0.35">
      <c r="A189" s="199" t="e">
        <f>IF(AND(E185&lt;&gt;"", A184&lt;&gt;""), A184+1, "")</f>
        <v>#REF!</v>
      </c>
      <c r="B189" s="420"/>
      <c r="C189" s="404"/>
      <c r="D189" s="198" t="s">
        <v>450</v>
      </c>
      <c r="E189" s="251">
        <v>0</v>
      </c>
      <c r="F189" s="252">
        <v>0</v>
      </c>
      <c r="G189" s="252">
        <v>0</v>
      </c>
      <c r="H189" s="275">
        <v>0</v>
      </c>
      <c r="I189" s="276">
        <v>0</v>
      </c>
    </row>
    <row r="190" spans="1:9" x14ac:dyDescent="0.3">
      <c r="A190" s="199" t="e">
        <f>IF(AND(E190&lt;&gt;"", A185&lt;&gt;""), A185+1, "")</f>
        <v>#REF!</v>
      </c>
      <c r="B190" s="418">
        <v>46286</v>
      </c>
      <c r="C190" s="421">
        <f>B190</f>
        <v>46286</v>
      </c>
      <c r="D190" s="196" t="s">
        <v>418</v>
      </c>
      <c r="E190" s="243">
        <v>0</v>
      </c>
      <c r="F190" s="244">
        <v>0</v>
      </c>
      <c r="G190" s="244">
        <v>0</v>
      </c>
      <c r="H190" s="271">
        <v>0</v>
      </c>
      <c r="I190" s="272">
        <v>0</v>
      </c>
    </row>
    <row r="191" spans="1:9" x14ac:dyDescent="0.3">
      <c r="A191" s="199" t="e">
        <f>IF(AND(E190&lt;&gt;"", A186&lt;&gt;""), A186+1, "")</f>
        <v>#REF!</v>
      </c>
      <c r="B191" s="419"/>
      <c r="C191" s="422"/>
      <c r="D191" s="197" t="s">
        <v>420</v>
      </c>
      <c r="E191" s="247">
        <v>0</v>
      </c>
      <c r="F191" s="248">
        <v>0</v>
      </c>
      <c r="G191" s="248">
        <v>0</v>
      </c>
      <c r="H191" s="273">
        <v>0</v>
      </c>
      <c r="I191" s="274">
        <v>0</v>
      </c>
    </row>
    <row r="192" spans="1:9" x14ac:dyDescent="0.3">
      <c r="A192" s="199" t="e">
        <f>IF(AND(E190&lt;&gt;"", A187&lt;&gt;""), A187+1, "")</f>
        <v>#REF!</v>
      </c>
      <c r="B192" s="419"/>
      <c r="C192" s="422"/>
      <c r="D192" s="197" t="s">
        <v>426</v>
      </c>
      <c r="E192" s="247">
        <v>0</v>
      </c>
      <c r="F192" s="248">
        <v>0</v>
      </c>
      <c r="G192" s="248">
        <v>0</v>
      </c>
      <c r="H192" s="273">
        <v>0</v>
      </c>
      <c r="I192" s="274">
        <v>0</v>
      </c>
    </row>
    <row r="193" spans="1:9" x14ac:dyDescent="0.3">
      <c r="A193" s="199" t="e">
        <f>IF(AND(E190&lt;&gt;"", A188&lt;&gt;""), A188+1, "")</f>
        <v>#REF!</v>
      </c>
      <c r="B193" s="419"/>
      <c r="C193" s="422"/>
      <c r="D193" s="197" t="s">
        <v>424</v>
      </c>
      <c r="E193" s="247">
        <v>0</v>
      </c>
      <c r="F193" s="248">
        <v>0</v>
      </c>
      <c r="G193" s="248">
        <v>0</v>
      </c>
      <c r="H193" s="273">
        <v>0</v>
      </c>
      <c r="I193" s="274">
        <v>0</v>
      </c>
    </row>
    <row r="194" spans="1:9" ht="15.75" customHeight="1" thickBot="1" x14ac:dyDescent="0.35">
      <c r="A194" s="199" t="e">
        <f>IF(AND(E190&lt;&gt;"", A189&lt;&gt;""), A189+1, "")</f>
        <v>#REF!</v>
      </c>
      <c r="B194" s="420"/>
      <c r="C194" s="404"/>
      <c r="D194" s="198" t="s">
        <v>450</v>
      </c>
      <c r="E194" s="251">
        <v>0</v>
      </c>
      <c r="F194" s="252">
        <v>0</v>
      </c>
      <c r="G194" s="252">
        <v>0</v>
      </c>
      <c r="H194" s="275">
        <v>0</v>
      </c>
      <c r="I194" s="276">
        <v>0</v>
      </c>
    </row>
    <row r="195" spans="1:9" x14ac:dyDescent="0.3">
      <c r="A195" s="199" t="e">
        <f>IF(AND(E195&lt;&gt;"", A190&lt;&gt;""), A190+1, "")</f>
        <v>#REF!</v>
      </c>
      <c r="B195" s="418">
        <v>46287</v>
      </c>
      <c r="C195" s="421">
        <f>B195</f>
        <v>46287</v>
      </c>
      <c r="D195" s="196" t="s">
        <v>418</v>
      </c>
      <c r="E195" s="243">
        <v>0</v>
      </c>
      <c r="F195" s="244">
        <v>0</v>
      </c>
      <c r="G195" s="244">
        <v>0</v>
      </c>
      <c r="H195" s="271">
        <v>0</v>
      </c>
      <c r="I195" s="272">
        <v>0</v>
      </c>
    </row>
    <row r="196" spans="1:9" x14ac:dyDescent="0.3">
      <c r="A196" s="199" t="e">
        <f>IF(AND(E195&lt;&gt;"", A191&lt;&gt;""), A191+1, "")</f>
        <v>#REF!</v>
      </c>
      <c r="B196" s="419"/>
      <c r="C196" s="422"/>
      <c r="D196" s="197" t="s">
        <v>420</v>
      </c>
      <c r="E196" s="247">
        <v>0</v>
      </c>
      <c r="F196" s="248">
        <v>0</v>
      </c>
      <c r="G196" s="248">
        <v>0</v>
      </c>
      <c r="H196" s="273">
        <v>0</v>
      </c>
      <c r="I196" s="274">
        <v>0</v>
      </c>
    </row>
    <row r="197" spans="1:9" x14ac:dyDescent="0.3">
      <c r="A197" s="199" t="e">
        <f>IF(AND(E195&lt;&gt;"", A192&lt;&gt;""), A192+1, "")</f>
        <v>#REF!</v>
      </c>
      <c r="B197" s="419"/>
      <c r="C197" s="422"/>
      <c r="D197" s="197" t="s">
        <v>426</v>
      </c>
      <c r="E197" s="247">
        <v>0</v>
      </c>
      <c r="F197" s="248">
        <v>0</v>
      </c>
      <c r="G197" s="248">
        <v>0</v>
      </c>
      <c r="H197" s="273">
        <v>0</v>
      </c>
      <c r="I197" s="274">
        <v>0</v>
      </c>
    </row>
    <row r="198" spans="1:9" x14ac:dyDescent="0.3">
      <c r="A198" s="199" t="e">
        <f>IF(AND(E195&lt;&gt;"", A193&lt;&gt;""), A193+1, "")</f>
        <v>#REF!</v>
      </c>
      <c r="B198" s="419"/>
      <c r="C198" s="422"/>
      <c r="D198" s="197" t="s">
        <v>424</v>
      </c>
      <c r="E198" s="247">
        <v>0</v>
      </c>
      <c r="F198" s="248">
        <v>0</v>
      </c>
      <c r="G198" s="248">
        <v>0</v>
      </c>
      <c r="H198" s="273">
        <v>0</v>
      </c>
      <c r="I198" s="274">
        <v>0</v>
      </c>
    </row>
    <row r="199" spans="1:9" ht="15.75" customHeight="1" thickBot="1" x14ac:dyDescent="0.35">
      <c r="A199" s="199" t="e">
        <f>IF(AND(E195&lt;&gt;"", A194&lt;&gt;""), A194+1, "")</f>
        <v>#REF!</v>
      </c>
      <c r="B199" s="420"/>
      <c r="C199" s="404"/>
      <c r="D199" s="198" t="s">
        <v>450</v>
      </c>
      <c r="E199" s="251">
        <v>0</v>
      </c>
      <c r="F199" s="252">
        <v>0</v>
      </c>
      <c r="G199" s="252">
        <v>0</v>
      </c>
      <c r="H199" s="275">
        <v>0</v>
      </c>
      <c r="I199" s="276">
        <v>0</v>
      </c>
    </row>
    <row r="200" spans="1:9" x14ac:dyDescent="0.3">
      <c r="A200" s="199" t="e">
        <f>IF(AND(E200&lt;&gt;"", A195&lt;&gt;""), A195+1, "")</f>
        <v>#REF!</v>
      </c>
      <c r="B200" s="418">
        <v>46288</v>
      </c>
      <c r="C200" s="421">
        <f>B200</f>
        <v>46288</v>
      </c>
      <c r="D200" s="196" t="s">
        <v>418</v>
      </c>
      <c r="E200" s="243">
        <v>0</v>
      </c>
      <c r="F200" s="244">
        <v>0</v>
      </c>
      <c r="G200" s="244">
        <v>0</v>
      </c>
      <c r="H200" s="271">
        <v>0</v>
      </c>
      <c r="I200" s="272">
        <v>0</v>
      </c>
    </row>
    <row r="201" spans="1:9" x14ac:dyDescent="0.3">
      <c r="A201" s="199" t="e">
        <f>IF(AND(E200&lt;&gt;"", A196&lt;&gt;""), A196+1, "")</f>
        <v>#REF!</v>
      </c>
      <c r="B201" s="419"/>
      <c r="C201" s="422"/>
      <c r="D201" s="197" t="s">
        <v>420</v>
      </c>
      <c r="E201" s="247">
        <v>0</v>
      </c>
      <c r="F201" s="248">
        <v>0</v>
      </c>
      <c r="G201" s="248">
        <v>0</v>
      </c>
      <c r="H201" s="273">
        <v>0</v>
      </c>
      <c r="I201" s="274">
        <v>0</v>
      </c>
    </row>
    <row r="202" spans="1:9" x14ac:dyDescent="0.3">
      <c r="A202" s="199" t="e">
        <f>IF(AND(E200&lt;&gt;"", A197&lt;&gt;""), A197+1, "")</f>
        <v>#REF!</v>
      </c>
      <c r="B202" s="419"/>
      <c r="C202" s="422"/>
      <c r="D202" s="197" t="s">
        <v>426</v>
      </c>
      <c r="E202" s="247">
        <v>0</v>
      </c>
      <c r="F202" s="248">
        <v>0</v>
      </c>
      <c r="G202" s="248">
        <v>0</v>
      </c>
      <c r="H202" s="273">
        <v>0</v>
      </c>
      <c r="I202" s="274">
        <v>0</v>
      </c>
    </row>
    <row r="203" spans="1:9" x14ac:dyDescent="0.3">
      <c r="A203" s="199" t="e">
        <f>IF(AND(E200&lt;&gt;"", A198&lt;&gt;""), A198+1, "")</f>
        <v>#REF!</v>
      </c>
      <c r="B203" s="419"/>
      <c r="C203" s="422"/>
      <c r="D203" s="197" t="s">
        <v>424</v>
      </c>
      <c r="E203" s="247">
        <v>0</v>
      </c>
      <c r="F203" s="248">
        <v>0</v>
      </c>
      <c r="G203" s="248">
        <v>0</v>
      </c>
      <c r="H203" s="273">
        <v>0</v>
      </c>
      <c r="I203" s="274">
        <v>0</v>
      </c>
    </row>
    <row r="204" spans="1:9" ht="15.75" customHeight="1" thickBot="1" x14ac:dyDescent="0.35">
      <c r="A204" s="199" t="e">
        <f>IF(AND(E200&lt;&gt;"", A199&lt;&gt;""), A199+1, "")</f>
        <v>#REF!</v>
      </c>
      <c r="B204" s="420"/>
      <c r="C204" s="404"/>
      <c r="D204" s="198" t="s">
        <v>450</v>
      </c>
      <c r="E204" s="251">
        <v>0</v>
      </c>
      <c r="F204" s="252">
        <v>0</v>
      </c>
      <c r="G204" s="252">
        <v>0</v>
      </c>
      <c r="H204" s="275">
        <v>0</v>
      </c>
      <c r="I204" s="276">
        <v>0</v>
      </c>
    </row>
    <row r="205" spans="1:9" x14ac:dyDescent="0.3">
      <c r="A205" s="199" t="e">
        <f>IF(AND(E205&lt;&gt;"", A200&lt;&gt;""), A200+1, "")</f>
        <v>#REF!</v>
      </c>
      <c r="B205" s="418">
        <v>46289</v>
      </c>
      <c r="C205" s="421">
        <f>B205</f>
        <v>46289</v>
      </c>
      <c r="D205" s="196" t="s">
        <v>418</v>
      </c>
      <c r="E205" s="243">
        <v>0</v>
      </c>
      <c r="F205" s="244">
        <v>0</v>
      </c>
      <c r="G205" s="244">
        <v>0</v>
      </c>
      <c r="H205" s="271">
        <v>0</v>
      </c>
      <c r="I205" s="272">
        <v>0</v>
      </c>
    </row>
    <row r="206" spans="1:9" x14ac:dyDescent="0.3">
      <c r="A206" s="199" t="e">
        <f>IF(AND(E205&lt;&gt;"", A201&lt;&gt;""), A201+1, "")</f>
        <v>#REF!</v>
      </c>
      <c r="B206" s="419"/>
      <c r="C206" s="422"/>
      <c r="D206" s="197" t="s">
        <v>420</v>
      </c>
      <c r="E206" s="247">
        <v>0</v>
      </c>
      <c r="F206" s="248">
        <v>0</v>
      </c>
      <c r="G206" s="248">
        <v>0</v>
      </c>
      <c r="H206" s="273">
        <v>0</v>
      </c>
      <c r="I206" s="274">
        <v>0</v>
      </c>
    </row>
    <row r="207" spans="1:9" x14ac:dyDescent="0.3">
      <c r="A207" s="199" t="e">
        <f>IF(AND(E205&lt;&gt;"", A202&lt;&gt;""), A202+1, "")</f>
        <v>#REF!</v>
      </c>
      <c r="B207" s="419"/>
      <c r="C207" s="422"/>
      <c r="D207" s="197" t="s">
        <v>426</v>
      </c>
      <c r="E207" s="247">
        <v>0</v>
      </c>
      <c r="F207" s="248">
        <v>0</v>
      </c>
      <c r="G207" s="248">
        <v>0</v>
      </c>
      <c r="H207" s="273">
        <v>0</v>
      </c>
      <c r="I207" s="274">
        <v>0</v>
      </c>
    </row>
    <row r="208" spans="1:9" x14ac:dyDescent="0.3">
      <c r="A208" s="199" t="e">
        <f>IF(AND(E205&lt;&gt;"", A203&lt;&gt;""), A203+1, "")</f>
        <v>#REF!</v>
      </c>
      <c r="B208" s="419"/>
      <c r="C208" s="422"/>
      <c r="D208" s="197" t="s">
        <v>424</v>
      </c>
      <c r="E208" s="247">
        <v>0</v>
      </c>
      <c r="F208" s="248">
        <v>0</v>
      </c>
      <c r="G208" s="248">
        <v>0</v>
      </c>
      <c r="H208" s="273">
        <v>0</v>
      </c>
      <c r="I208" s="274">
        <v>0</v>
      </c>
    </row>
    <row r="209" spans="1:9" ht="15.75" customHeight="1" thickBot="1" x14ac:dyDescent="0.35">
      <c r="A209" s="199" t="e">
        <f>IF(AND(E205&lt;&gt;"", A204&lt;&gt;""), A204+1, "")</f>
        <v>#REF!</v>
      </c>
      <c r="B209" s="420"/>
      <c r="C209" s="404"/>
      <c r="D209" s="198" t="s">
        <v>450</v>
      </c>
      <c r="E209" s="251">
        <v>0</v>
      </c>
      <c r="F209" s="252">
        <v>0</v>
      </c>
      <c r="G209" s="252">
        <v>0</v>
      </c>
      <c r="H209" s="275">
        <v>0</v>
      </c>
      <c r="I209" s="276">
        <v>0</v>
      </c>
    </row>
    <row r="210" spans="1:9" x14ac:dyDescent="0.3">
      <c r="A210" s="199" t="e">
        <f>IF(AND(E210&lt;&gt;"", A205&lt;&gt;""), A205+1, "")</f>
        <v>#REF!</v>
      </c>
      <c r="B210" s="418">
        <v>46290</v>
      </c>
      <c r="C210" s="421">
        <f>B210</f>
        <v>46290</v>
      </c>
      <c r="D210" s="196" t="s">
        <v>418</v>
      </c>
      <c r="E210" s="243">
        <v>0</v>
      </c>
      <c r="F210" s="244">
        <v>0</v>
      </c>
      <c r="G210" s="244">
        <v>0</v>
      </c>
      <c r="H210" s="271">
        <v>0</v>
      </c>
      <c r="I210" s="272">
        <v>0</v>
      </c>
    </row>
    <row r="211" spans="1:9" x14ac:dyDescent="0.3">
      <c r="A211" s="199" t="e">
        <f>IF(AND(E210&lt;&gt;"", A206&lt;&gt;""), A206+1, "")</f>
        <v>#REF!</v>
      </c>
      <c r="B211" s="419"/>
      <c r="C211" s="422"/>
      <c r="D211" s="197" t="s">
        <v>420</v>
      </c>
      <c r="E211" s="247">
        <v>0</v>
      </c>
      <c r="F211" s="248">
        <v>0</v>
      </c>
      <c r="G211" s="248">
        <v>0</v>
      </c>
      <c r="H211" s="273">
        <v>0</v>
      </c>
      <c r="I211" s="274">
        <v>0</v>
      </c>
    </row>
    <row r="212" spans="1:9" x14ac:dyDescent="0.3">
      <c r="A212" s="199" t="e">
        <f>IF(AND(E210&lt;&gt;"", A207&lt;&gt;""), A207+1, "")</f>
        <v>#REF!</v>
      </c>
      <c r="B212" s="419"/>
      <c r="C212" s="422"/>
      <c r="D212" s="197" t="s">
        <v>426</v>
      </c>
      <c r="E212" s="247">
        <v>0</v>
      </c>
      <c r="F212" s="248">
        <v>0</v>
      </c>
      <c r="G212" s="248">
        <v>0</v>
      </c>
      <c r="H212" s="273">
        <v>0</v>
      </c>
      <c r="I212" s="274">
        <v>0</v>
      </c>
    </row>
    <row r="213" spans="1:9" x14ac:dyDescent="0.3">
      <c r="A213" s="199" t="e">
        <f>IF(AND(E210&lt;&gt;"", A208&lt;&gt;""), A208+1, "")</f>
        <v>#REF!</v>
      </c>
      <c r="B213" s="419"/>
      <c r="C213" s="422"/>
      <c r="D213" s="197" t="s">
        <v>424</v>
      </c>
      <c r="E213" s="247">
        <v>0</v>
      </c>
      <c r="F213" s="248">
        <v>0</v>
      </c>
      <c r="G213" s="248">
        <v>0</v>
      </c>
      <c r="H213" s="273">
        <v>0</v>
      </c>
      <c r="I213" s="274">
        <v>0</v>
      </c>
    </row>
    <row r="214" spans="1:9" ht="15.75" customHeight="1" thickBot="1" x14ac:dyDescent="0.35">
      <c r="A214" s="199" t="e">
        <f>IF(AND(E210&lt;&gt;"", A209&lt;&gt;""), A209+1, "")</f>
        <v>#REF!</v>
      </c>
      <c r="B214" s="420"/>
      <c r="C214" s="404"/>
      <c r="D214" s="198" t="s">
        <v>450</v>
      </c>
      <c r="E214" s="251">
        <v>0</v>
      </c>
      <c r="F214" s="252">
        <v>0</v>
      </c>
      <c r="G214" s="252">
        <v>0</v>
      </c>
      <c r="H214" s="275">
        <v>0</v>
      </c>
      <c r="I214" s="276">
        <v>0</v>
      </c>
    </row>
    <row r="215" spans="1:9" x14ac:dyDescent="0.3">
      <c r="A215" s="199" t="e">
        <f>IF(AND(E215&lt;&gt;"", A210&lt;&gt;""), A210+1, "")</f>
        <v>#REF!</v>
      </c>
      <c r="B215" s="418">
        <v>46291</v>
      </c>
      <c r="C215" s="421">
        <f>B215</f>
        <v>46291</v>
      </c>
      <c r="D215" s="196" t="s">
        <v>418</v>
      </c>
      <c r="E215" s="243">
        <v>0</v>
      </c>
      <c r="F215" s="244">
        <v>0</v>
      </c>
      <c r="G215" s="244">
        <v>0</v>
      </c>
      <c r="H215" s="271">
        <v>0</v>
      </c>
      <c r="I215" s="272">
        <v>0</v>
      </c>
    </row>
    <row r="216" spans="1:9" x14ac:dyDescent="0.3">
      <c r="A216" s="199" t="e">
        <f>IF(AND(E215&lt;&gt;"", A211&lt;&gt;""), A211+1, "")</f>
        <v>#REF!</v>
      </c>
      <c r="B216" s="419"/>
      <c r="C216" s="422"/>
      <c r="D216" s="197" t="s">
        <v>420</v>
      </c>
      <c r="E216" s="247">
        <v>0</v>
      </c>
      <c r="F216" s="248">
        <v>0</v>
      </c>
      <c r="G216" s="248">
        <v>0</v>
      </c>
      <c r="H216" s="273">
        <v>0</v>
      </c>
      <c r="I216" s="274">
        <v>0</v>
      </c>
    </row>
    <row r="217" spans="1:9" x14ac:dyDescent="0.3">
      <c r="A217" s="199" t="e">
        <f>IF(AND(E215&lt;&gt;"", A212&lt;&gt;""), A212+1, "")</f>
        <v>#REF!</v>
      </c>
      <c r="B217" s="419"/>
      <c r="C217" s="422"/>
      <c r="D217" s="197" t="s">
        <v>426</v>
      </c>
      <c r="E217" s="247">
        <v>0</v>
      </c>
      <c r="F217" s="248">
        <v>0</v>
      </c>
      <c r="G217" s="248">
        <v>0</v>
      </c>
      <c r="H217" s="273">
        <v>0</v>
      </c>
      <c r="I217" s="274">
        <v>0</v>
      </c>
    </row>
    <row r="218" spans="1:9" x14ac:dyDescent="0.3">
      <c r="A218" s="199" t="e">
        <f>IF(AND(E215&lt;&gt;"", A213&lt;&gt;""), A213+1, "")</f>
        <v>#REF!</v>
      </c>
      <c r="B218" s="419"/>
      <c r="C218" s="422"/>
      <c r="D218" s="197" t="s">
        <v>424</v>
      </c>
      <c r="E218" s="247">
        <v>0</v>
      </c>
      <c r="F218" s="248">
        <v>0</v>
      </c>
      <c r="G218" s="248">
        <v>0</v>
      </c>
      <c r="H218" s="273">
        <v>0</v>
      </c>
      <c r="I218" s="274">
        <v>0</v>
      </c>
    </row>
    <row r="219" spans="1:9" ht="15.75" customHeight="1" thickBot="1" x14ac:dyDescent="0.35">
      <c r="A219" s="199" t="e">
        <f>IF(AND(E215&lt;&gt;"", A214&lt;&gt;""), A214+1, "")</f>
        <v>#REF!</v>
      </c>
      <c r="B219" s="420"/>
      <c r="C219" s="404"/>
      <c r="D219" s="198" t="s">
        <v>450</v>
      </c>
      <c r="E219" s="251">
        <v>0</v>
      </c>
      <c r="F219" s="252">
        <v>0</v>
      </c>
      <c r="G219" s="252">
        <v>0</v>
      </c>
      <c r="H219" s="275">
        <v>0</v>
      </c>
      <c r="I219" s="276">
        <v>0</v>
      </c>
    </row>
    <row r="220" spans="1:9" x14ac:dyDescent="0.3">
      <c r="A220" s="199" t="e">
        <f>IF(AND(E220&lt;&gt;"", A215&lt;&gt;""), A215+1, "")</f>
        <v>#REF!</v>
      </c>
      <c r="B220" s="418">
        <v>46292</v>
      </c>
      <c r="C220" s="421">
        <f>B220</f>
        <v>46292</v>
      </c>
      <c r="D220" s="196" t="s">
        <v>418</v>
      </c>
      <c r="E220" s="243">
        <v>0</v>
      </c>
      <c r="F220" s="244">
        <v>0</v>
      </c>
      <c r="G220" s="244">
        <v>0</v>
      </c>
      <c r="H220" s="271">
        <v>0</v>
      </c>
      <c r="I220" s="272">
        <v>0</v>
      </c>
    </row>
    <row r="221" spans="1:9" x14ac:dyDescent="0.3">
      <c r="A221" s="199" t="e">
        <f>IF(AND(E220&lt;&gt;"", A216&lt;&gt;""), A216+1, "")</f>
        <v>#REF!</v>
      </c>
      <c r="B221" s="419"/>
      <c r="C221" s="422"/>
      <c r="D221" s="197" t="s">
        <v>420</v>
      </c>
      <c r="E221" s="247">
        <v>0</v>
      </c>
      <c r="F221" s="248">
        <v>0</v>
      </c>
      <c r="G221" s="248">
        <v>0</v>
      </c>
      <c r="H221" s="273">
        <v>0</v>
      </c>
      <c r="I221" s="274">
        <v>0</v>
      </c>
    </row>
    <row r="222" spans="1:9" x14ac:dyDescent="0.3">
      <c r="A222" s="199" t="e">
        <f>IF(AND(E220&lt;&gt;"", A217&lt;&gt;""), A217+1, "")</f>
        <v>#REF!</v>
      </c>
      <c r="B222" s="419"/>
      <c r="C222" s="422"/>
      <c r="D222" s="197" t="s">
        <v>426</v>
      </c>
      <c r="E222" s="247">
        <v>0</v>
      </c>
      <c r="F222" s="248">
        <v>0</v>
      </c>
      <c r="G222" s="248">
        <v>0</v>
      </c>
      <c r="H222" s="273">
        <v>0</v>
      </c>
      <c r="I222" s="274">
        <v>0</v>
      </c>
    </row>
    <row r="223" spans="1:9" x14ac:dyDescent="0.3">
      <c r="A223" s="199" t="e">
        <f>IF(AND(E220&lt;&gt;"", A218&lt;&gt;""), A218+1, "")</f>
        <v>#REF!</v>
      </c>
      <c r="B223" s="419"/>
      <c r="C223" s="422"/>
      <c r="D223" s="197" t="s">
        <v>424</v>
      </c>
      <c r="E223" s="247">
        <v>0</v>
      </c>
      <c r="F223" s="248">
        <v>0</v>
      </c>
      <c r="G223" s="248">
        <v>0</v>
      </c>
      <c r="H223" s="273">
        <v>0</v>
      </c>
      <c r="I223" s="274">
        <v>0</v>
      </c>
    </row>
    <row r="224" spans="1:9" ht="15.75" customHeight="1" thickBot="1" x14ac:dyDescent="0.35">
      <c r="A224" s="199" t="e">
        <f>IF(AND(E220&lt;&gt;"", A219&lt;&gt;""), A219+1, "")</f>
        <v>#REF!</v>
      </c>
      <c r="B224" s="420"/>
      <c r="C224" s="404"/>
      <c r="D224" s="198" t="s">
        <v>450</v>
      </c>
      <c r="E224" s="251">
        <v>0</v>
      </c>
      <c r="F224" s="252">
        <v>0</v>
      </c>
      <c r="G224" s="252">
        <v>0</v>
      </c>
      <c r="H224" s="275">
        <v>0</v>
      </c>
      <c r="I224" s="276">
        <v>0</v>
      </c>
    </row>
    <row r="225" spans="1:9" x14ac:dyDescent="0.3">
      <c r="A225" s="199" t="e">
        <f>IF(AND(E225&lt;&gt;"", A220&lt;&gt;""), A220+1, "")</f>
        <v>#REF!</v>
      </c>
      <c r="B225" s="418">
        <v>46293</v>
      </c>
      <c r="C225" s="421">
        <f>B225</f>
        <v>46293</v>
      </c>
      <c r="D225" s="196" t="s">
        <v>418</v>
      </c>
      <c r="E225" s="243">
        <v>0</v>
      </c>
      <c r="F225" s="244">
        <v>0</v>
      </c>
      <c r="G225" s="244">
        <v>0</v>
      </c>
      <c r="H225" s="271">
        <v>0</v>
      </c>
      <c r="I225" s="272">
        <v>0</v>
      </c>
    </row>
    <row r="226" spans="1:9" x14ac:dyDescent="0.3">
      <c r="A226" s="199" t="e">
        <f>IF(AND(E225&lt;&gt;"", A221&lt;&gt;""), A221+1, "")</f>
        <v>#REF!</v>
      </c>
      <c r="B226" s="419"/>
      <c r="C226" s="422"/>
      <c r="D226" s="197" t="s">
        <v>420</v>
      </c>
      <c r="E226" s="247">
        <v>0</v>
      </c>
      <c r="F226" s="248">
        <v>0</v>
      </c>
      <c r="G226" s="248">
        <v>0</v>
      </c>
      <c r="H226" s="273">
        <v>0</v>
      </c>
      <c r="I226" s="274">
        <v>0</v>
      </c>
    </row>
    <row r="227" spans="1:9" x14ac:dyDescent="0.3">
      <c r="A227" s="199" t="e">
        <f>IF(AND(E225&lt;&gt;"", A222&lt;&gt;""), A222+1, "")</f>
        <v>#REF!</v>
      </c>
      <c r="B227" s="419"/>
      <c r="C227" s="422"/>
      <c r="D227" s="197" t="s">
        <v>426</v>
      </c>
      <c r="E227" s="247">
        <v>0</v>
      </c>
      <c r="F227" s="248">
        <v>0</v>
      </c>
      <c r="G227" s="248">
        <v>0</v>
      </c>
      <c r="H227" s="273">
        <v>0</v>
      </c>
      <c r="I227" s="274">
        <v>0</v>
      </c>
    </row>
    <row r="228" spans="1:9" x14ac:dyDescent="0.3">
      <c r="A228" s="199" t="e">
        <f>IF(AND(E225&lt;&gt;"", A223&lt;&gt;""), A223+1, "")</f>
        <v>#REF!</v>
      </c>
      <c r="B228" s="419"/>
      <c r="C228" s="422"/>
      <c r="D228" s="197" t="s">
        <v>424</v>
      </c>
      <c r="E228" s="247">
        <v>0</v>
      </c>
      <c r="F228" s="248">
        <v>0</v>
      </c>
      <c r="G228" s="248">
        <v>0</v>
      </c>
      <c r="H228" s="273">
        <v>0</v>
      </c>
      <c r="I228" s="274">
        <v>0</v>
      </c>
    </row>
    <row r="229" spans="1:9" ht="15.75" customHeight="1" thickBot="1" x14ac:dyDescent="0.35">
      <c r="A229" s="199" t="e">
        <f>IF(AND(E225&lt;&gt;"", A224&lt;&gt;""), A224+1, "")</f>
        <v>#REF!</v>
      </c>
      <c r="B229" s="420"/>
      <c r="C229" s="404"/>
      <c r="D229" s="198" t="s">
        <v>450</v>
      </c>
      <c r="E229" s="251">
        <v>0</v>
      </c>
      <c r="F229" s="252">
        <v>0</v>
      </c>
      <c r="G229" s="252">
        <v>0</v>
      </c>
      <c r="H229" s="275">
        <v>0</v>
      </c>
      <c r="I229" s="276">
        <v>0</v>
      </c>
    </row>
    <row r="230" spans="1:9" x14ac:dyDescent="0.3">
      <c r="A230" s="199" t="e">
        <f>IF(AND(E230&lt;&gt;"", A225&lt;&gt;""), A225+1, "")</f>
        <v>#REF!</v>
      </c>
      <c r="B230" s="418">
        <v>46294</v>
      </c>
      <c r="C230" s="421">
        <f>B230</f>
        <v>46294</v>
      </c>
      <c r="D230" s="196" t="s">
        <v>418</v>
      </c>
      <c r="E230" s="243">
        <v>0</v>
      </c>
      <c r="F230" s="244">
        <v>0</v>
      </c>
      <c r="G230" s="244">
        <v>0</v>
      </c>
      <c r="H230" s="271">
        <v>0</v>
      </c>
      <c r="I230" s="272">
        <v>0</v>
      </c>
    </row>
    <row r="231" spans="1:9" x14ac:dyDescent="0.3">
      <c r="A231" s="199" t="e">
        <f>IF(AND(E230&lt;&gt;"", A226&lt;&gt;""), A226+1, "")</f>
        <v>#REF!</v>
      </c>
      <c r="B231" s="419"/>
      <c r="C231" s="422"/>
      <c r="D231" s="197" t="s">
        <v>420</v>
      </c>
      <c r="E231" s="247">
        <v>0</v>
      </c>
      <c r="F231" s="248">
        <v>0</v>
      </c>
      <c r="G231" s="248">
        <v>0</v>
      </c>
      <c r="H231" s="273">
        <v>0</v>
      </c>
      <c r="I231" s="274">
        <v>0</v>
      </c>
    </row>
    <row r="232" spans="1:9" x14ac:dyDescent="0.3">
      <c r="A232" s="199" t="e">
        <f>IF(AND(E230&lt;&gt;"", A227&lt;&gt;""), A227+1, "")</f>
        <v>#REF!</v>
      </c>
      <c r="B232" s="419"/>
      <c r="C232" s="422"/>
      <c r="D232" s="197" t="s">
        <v>426</v>
      </c>
      <c r="E232" s="247">
        <v>0</v>
      </c>
      <c r="F232" s="248">
        <v>0</v>
      </c>
      <c r="G232" s="248">
        <v>0</v>
      </c>
      <c r="H232" s="273">
        <v>0</v>
      </c>
      <c r="I232" s="274">
        <v>0</v>
      </c>
    </row>
    <row r="233" spans="1:9" x14ac:dyDescent="0.3">
      <c r="A233" s="199" t="e">
        <f>IF(AND(E230&lt;&gt;"", A228&lt;&gt;""), A228+1, "")</f>
        <v>#REF!</v>
      </c>
      <c r="B233" s="419"/>
      <c r="C233" s="422"/>
      <c r="D233" s="197" t="s">
        <v>424</v>
      </c>
      <c r="E233" s="247">
        <v>0</v>
      </c>
      <c r="F233" s="248">
        <v>0</v>
      </c>
      <c r="G233" s="248">
        <v>0</v>
      </c>
      <c r="H233" s="273">
        <v>0</v>
      </c>
      <c r="I233" s="274">
        <v>0</v>
      </c>
    </row>
    <row r="234" spans="1:9" ht="15.75" customHeight="1" thickBot="1" x14ac:dyDescent="0.35">
      <c r="A234" s="199" t="e">
        <f>IF(AND(E230&lt;&gt;"", A229&lt;&gt;""), A229+1, "")</f>
        <v>#REF!</v>
      </c>
      <c r="B234" s="420"/>
      <c r="C234" s="404"/>
      <c r="D234" s="198" t="s">
        <v>450</v>
      </c>
      <c r="E234" s="251">
        <v>0</v>
      </c>
      <c r="F234" s="252">
        <v>0</v>
      </c>
      <c r="G234" s="252">
        <v>0</v>
      </c>
      <c r="H234" s="275">
        <v>0</v>
      </c>
      <c r="I234" s="276">
        <v>0</v>
      </c>
    </row>
    <row r="235" spans="1:9" x14ac:dyDescent="0.3">
      <c r="A235" s="199" t="e">
        <f>IF(AND(E235&lt;&gt;"", A230&lt;&gt;""), A230+1, "")</f>
        <v>#REF!</v>
      </c>
      <c r="B235" s="418">
        <v>46295</v>
      </c>
      <c r="C235" s="421">
        <f>B235</f>
        <v>46295</v>
      </c>
      <c r="D235" s="196" t="s">
        <v>418</v>
      </c>
      <c r="E235" s="243">
        <v>0</v>
      </c>
      <c r="F235" s="244">
        <v>0</v>
      </c>
      <c r="G235" s="244">
        <v>0</v>
      </c>
      <c r="H235" s="271">
        <v>0</v>
      </c>
      <c r="I235" s="272">
        <v>0</v>
      </c>
    </row>
    <row r="236" spans="1:9" x14ac:dyDescent="0.3">
      <c r="A236" s="199" t="e">
        <f>IF(AND(E235&lt;&gt;"", A231&lt;&gt;""), A231+1, "")</f>
        <v>#REF!</v>
      </c>
      <c r="B236" s="419"/>
      <c r="C236" s="422"/>
      <c r="D236" s="197" t="s">
        <v>420</v>
      </c>
      <c r="E236" s="247">
        <v>0</v>
      </c>
      <c r="F236" s="248">
        <v>0</v>
      </c>
      <c r="G236" s="248">
        <v>0</v>
      </c>
      <c r="H236" s="273">
        <v>0</v>
      </c>
      <c r="I236" s="274">
        <v>0</v>
      </c>
    </row>
    <row r="237" spans="1:9" x14ac:dyDescent="0.3">
      <c r="A237" s="199" t="e">
        <f>IF(AND(E235&lt;&gt;"", A232&lt;&gt;""), A232+1, "")</f>
        <v>#REF!</v>
      </c>
      <c r="B237" s="419"/>
      <c r="C237" s="422"/>
      <c r="D237" s="197" t="s">
        <v>426</v>
      </c>
      <c r="E237" s="247">
        <v>0</v>
      </c>
      <c r="F237" s="248">
        <v>0</v>
      </c>
      <c r="G237" s="248">
        <v>0</v>
      </c>
      <c r="H237" s="273">
        <v>0</v>
      </c>
      <c r="I237" s="274">
        <v>0</v>
      </c>
    </row>
    <row r="238" spans="1:9" x14ac:dyDescent="0.3">
      <c r="A238" s="199" t="e">
        <f>IF(AND(E235&lt;&gt;"", A233&lt;&gt;""), A233+1, "")</f>
        <v>#REF!</v>
      </c>
      <c r="B238" s="419"/>
      <c r="C238" s="422"/>
      <c r="D238" s="197" t="s">
        <v>424</v>
      </c>
      <c r="E238" s="247">
        <v>0</v>
      </c>
      <c r="F238" s="248">
        <v>0</v>
      </c>
      <c r="G238" s="248">
        <v>0</v>
      </c>
      <c r="H238" s="273">
        <v>0</v>
      </c>
      <c r="I238" s="274">
        <v>0</v>
      </c>
    </row>
    <row r="239" spans="1:9" ht="15.75" customHeight="1" thickBot="1" x14ac:dyDescent="0.35">
      <c r="A239" s="199" t="e">
        <f>IF(AND(E235&lt;&gt;"", A234&lt;&gt;""), A234+1, "")</f>
        <v>#REF!</v>
      </c>
      <c r="B239" s="420"/>
      <c r="C239" s="404"/>
      <c r="D239" s="198" t="s">
        <v>450</v>
      </c>
      <c r="E239" s="251">
        <v>0</v>
      </c>
      <c r="F239" s="252">
        <v>0</v>
      </c>
      <c r="G239" s="252">
        <v>0</v>
      </c>
      <c r="H239" s="275">
        <v>0</v>
      </c>
      <c r="I239" s="276">
        <v>0</v>
      </c>
    </row>
    <row r="240" spans="1:9" x14ac:dyDescent="0.3">
      <c r="A240" s="199" t="e">
        <f>IF(AND(E240&lt;&gt;"", A235&lt;&gt;""), A235+1, "")</f>
        <v>#REF!</v>
      </c>
      <c r="B240" s="418">
        <v>46296</v>
      </c>
      <c r="C240" s="421">
        <f>B240</f>
        <v>46296</v>
      </c>
      <c r="D240" s="196" t="s">
        <v>418</v>
      </c>
      <c r="E240" s="243">
        <v>0</v>
      </c>
      <c r="F240" s="244">
        <v>0</v>
      </c>
      <c r="G240" s="244">
        <v>0</v>
      </c>
      <c r="H240" s="271">
        <v>0</v>
      </c>
      <c r="I240" s="272">
        <v>0</v>
      </c>
    </row>
    <row r="241" spans="1:9" x14ac:dyDescent="0.3">
      <c r="A241" s="199" t="e">
        <f>IF(AND(E240&lt;&gt;"", A236&lt;&gt;""), A236+1, "")</f>
        <v>#REF!</v>
      </c>
      <c r="B241" s="419"/>
      <c r="C241" s="422"/>
      <c r="D241" s="197" t="s">
        <v>420</v>
      </c>
      <c r="E241" s="247">
        <v>0</v>
      </c>
      <c r="F241" s="248">
        <v>0</v>
      </c>
      <c r="G241" s="248">
        <v>0</v>
      </c>
      <c r="H241" s="273">
        <v>0</v>
      </c>
      <c r="I241" s="274">
        <v>0</v>
      </c>
    </row>
    <row r="242" spans="1:9" x14ac:dyDescent="0.3">
      <c r="A242" s="199" t="e">
        <f>IF(AND(E240&lt;&gt;"", A237&lt;&gt;""), A237+1, "")</f>
        <v>#REF!</v>
      </c>
      <c r="B242" s="419"/>
      <c r="C242" s="422"/>
      <c r="D242" s="197" t="s">
        <v>426</v>
      </c>
      <c r="E242" s="247">
        <v>0</v>
      </c>
      <c r="F242" s="248">
        <v>0</v>
      </c>
      <c r="G242" s="248">
        <v>0</v>
      </c>
      <c r="H242" s="273">
        <v>0</v>
      </c>
      <c r="I242" s="274">
        <v>0</v>
      </c>
    </row>
    <row r="243" spans="1:9" x14ac:dyDescent="0.3">
      <c r="A243" s="199" t="e">
        <f>IF(AND(E240&lt;&gt;"", A238&lt;&gt;""), A238+1, "")</f>
        <v>#REF!</v>
      </c>
      <c r="B243" s="419"/>
      <c r="C243" s="422"/>
      <c r="D243" s="197" t="s">
        <v>424</v>
      </c>
      <c r="E243" s="247">
        <v>0</v>
      </c>
      <c r="F243" s="248">
        <v>0</v>
      </c>
      <c r="G243" s="248">
        <v>0</v>
      </c>
      <c r="H243" s="273">
        <v>0</v>
      </c>
      <c r="I243" s="274">
        <v>0</v>
      </c>
    </row>
    <row r="244" spans="1:9" ht="15.75" customHeight="1" thickBot="1" x14ac:dyDescent="0.35">
      <c r="A244" s="199" t="e">
        <f>IF(AND(E240&lt;&gt;"", A239&lt;&gt;""), A239+1, "")</f>
        <v>#REF!</v>
      </c>
      <c r="B244" s="420"/>
      <c r="C244" s="404"/>
      <c r="D244" s="198" t="s">
        <v>450</v>
      </c>
      <c r="E244" s="251">
        <v>0</v>
      </c>
      <c r="F244" s="252">
        <v>0</v>
      </c>
      <c r="G244" s="252">
        <v>0</v>
      </c>
      <c r="H244" s="275">
        <v>0</v>
      </c>
      <c r="I244" s="276">
        <v>0</v>
      </c>
    </row>
    <row r="245" spans="1:9" x14ac:dyDescent="0.3">
      <c r="A245" s="199" t="e">
        <f>IF(AND(E245&lt;&gt;"", A240&lt;&gt;""), A240+1, "")</f>
        <v>#REF!</v>
      </c>
      <c r="B245" s="418">
        <v>46297</v>
      </c>
      <c r="C245" s="421">
        <f>B245</f>
        <v>46297</v>
      </c>
      <c r="D245" s="196" t="s">
        <v>418</v>
      </c>
      <c r="E245" s="243">
        <v>0</v>
      </c>
      <c r="F245" s="244">
        <v>0</v>
      </c>
      <c r="G245" s="244">
        <v>0</v>
      </c>
      <c r="H245" s="271">
        <v>0</v>
      </c>
      <c r="I245" s="272">
        <v>0</v>
      </c>
    </row>
    <row r="246" spans="1:9" x14ac:dyDescent="0.3">
      <c r="A246" s="199" t="e">
        <f>IF(AND(E245&lt;&gt;"", A241&lt;&gt;""), A241+1, "")</f>
        <v>#REF!</v>
      </c>
      <c r="B246" s="419"/>
      <c r="C246" s="422"/>
      <c r="D246" s="197" t="s">
        <v>420</v>
      </c>
      <c r="E246" s="247">
        <v>0</v>
      </c>
      <c r="F246" s="248">
        <v>0</v>
      </c>
      <c r="G246" s="248">
        <v>0</v>
      </c>
      <c r="H246" s="273">
        <v>0</v>
      </c>
      <c r="I246" s="274">
        <v>0</v>
      </c>
    </row>
    <row r="247" spans="1:9" x14ac:dyDescent="0.3">
      <c r="A247" s="199" t="e">
        <f>IF(AND(E245&lt;&gt;"", A242&lt;&gt;""), A242+1, "")</f>
        <v>#REF!</v>
      </c>
      <c r="B247" s="419"/>
      <c r="C247" s="422"/>
      <c r="D247" s="197" t="s">
        <v>426</v>
      </c>
      <c r="E247" s="247">
        <v>0</v>
      </c>
      <c r="F247" s="248">
        <v>0</v>
      </c>
      <c r="G247" s="248">
        <v>0</v>
      </c>
      <c r="H247" s="273">
        <v>0</v>
      </c>
      <c r="I247" s="274">
        <v>0</v>
      </c>
    </row>
    <row r="248" spans="1:9" x14ac:dyDescent="0.3">
      <c r="A248" s="199" t="e">
        <f>IF(AND(E245&lt;&gt;"", A243&lt;&gt;""), A243+1, "")</f>
        <v>#REF!</v>
      </c>
      <c r="B248" s="419"/>
      <c r="C248" s="422"/>
      <c r="D248" s="197" t="s">
        <v>424</v>
      </c>
      <c r="E248" s="247">
        <v>0</v>
      </c>
      <c r="F248" s="248">
        <v>0</v>
      </c>
      <c r="G248" s="248">
        <v>0</v>
      </c>
      <c r="H248" s="273">
        <v>0</v>
      </c>
      <c r="I248" s="274">
        <v>0</v>
      </c>
    </row>
    <row r="249" spans="1:9" ht="15.75" customHeight="1" thickBot="1" x14ac:dyDescent="0.35">
      <c r="A249" s="199" t="e">
        <f>IF(AND(E245&lt;&gt;"", A244&lt;&gt;""), A244+1, "")</f>
        <v>#REF!</v>
      </c>
      <c r="B249" s="420"/>
      <c r="C249" s="404"/>
      <c r="D249" s="198" t="s">
        <v>450</v>
      </c>
      <c r="E249" s="251">
        <v>0</v>
      </c>
      <c r="F249" s="252">
        <v>0</v>
      </c>
      <c r="G249" s="252">
        <v>0</v>
      </c>
      <c r="H249" s="275">
        <v>0</v>
      </c>
      <c r="I249" s="276">
        <v>0</v>
      </c>
    </row>
    <row r="250" spans="1:9" x14ac:dyDescent="0.3">
      <c r="A250" s="199" t="e">
        <f>IF(AND(E250&lt;&gt;"", A245&lt;&gt;""), A245+1, "")</f>
        <v>#REF!</v>
      </c>
      <c r="B250" s="418">
        <v>46298</v>
      </c>
      <c r="C250" s="421">
        <f>B250</f>
        <v>46298</v>
      </c>
      <c r="D250" s="196" t="s">
        <v>418</v>
      </c>
      <c r="E250" s="243">
        <v>0</v>
      </c>
      <c r="F250" s="244">
        <v>0</v>
      </c>
      <c r="G250" s="244">
        <v>0</v>
      </c>
      <c r="H250" s="271">
        <v>0</v>
      </c>
      <c r="I250" s="272">
        <v>0</v>
      </c>
    </row>
    <row r="251" spans="1:9" x14ac:dyDescent="0.3">
      <c r="A251" s="199" t="e">
        <f>IF(AND(E250&lt;&gt;"", A246&lt;&gt;""), A246+1, "")</f>
        <v>#REF!</v>
      </c>
      <c r="B251" s="419"/>
      <c r="C251" s="422"/>
      <c r="D251" s="197" t="s">
        <v>420</v>
      </c>
      <c r="E251" s="247">
        <v>0</v>
      </c>
      <c r="F251" s="248">
        <v>0</v>
      </c>
      <c r="G251" s="248">
        <v>0</v>
      </c>
      <c r="H251" s="273">
        <v>0</v>
      </c>
      <c r="I251" s="274">
        <v>0</v>
      </c>
    </row>
    <row r="252" spans="1:9" x14ac:dyDescent="0.3">
      <c r="A252" s="199" t="e">
        <f>IF(AND(E250&lt;&gt;"", A247&lt;&gt;""), A247+1, "")</f>
        <v>#REF!</v>
      </c>
      <c r="B252" s="419"/>
      <c r="C252" s="422"/>
      <c r="D252" s="197" t="s">
        <v>426</v>
      </c>
      <c r="E252" s="247">
        <v>0</v>
      </c>
      <c r="F252" s="248">
        <v>0</v>
      </c>
      <c r="G252" s="248">
        <v>0</v>
      </c>
      <c r="H252" s="273">
        <v>0</v>
      </c>
      <c r="I252" s="274">
        <v>0</v>
      </c>
    </row>
    <row r="253" spans="1:9" x14ac:dyDescent="0.3">
      <c r="A253" s="199" t="e">
        <f>IF(AND(E250&lt;&gt;"", A248&lt;&gt;""), A248+1, "")</f>
        <v>#REF!</v>
      </c>
      <c r="B253" s="419"/>
      <c r="C253" s="422"/>
      <c r="D253" s="197" t="s">
        <v>424</v>
      </c>
      <c r="E253" s="247">
        <v>0</v>
      </c>
      <c r="F253" s="248">
        <v>0</v>
      </c>
      <c r="G253" s="248">
        <v>0</v>
      </c>
      <c r="H253" s="273">
        <v>0</v>
      </c>
      <c r="I253" s="274">
        <v>0</v>
      </c>
    </row>
    <row r="254" spans="1:9" ht="15.75" customHeight="1" thickBot="1" x14ac:dyDescent="0.35">
      <c r="A254" s="199" t="e">
        <f>IF(AND(E250&lt;&gt;"", A249&lt;&gt;""), A249+1, "")</f>
        <v>#REF!</v>
      </c>
      <c r="B254" s="420"/>
      <c r="C254" s="404"/>
      <c r="D254" s="198" t="s">
        <v>450</v>
      </c>
      <c r="E254" s="251">
        <v>0</v>
      </c>
      <c r="F254" s="252">
        <v>0</v>
      </c>
      <c r="G254" s="252">
        <v>0</v>
      </c>
      <c r="H254" s="275">
        <v>0</v>
      </c>
      <c r="I254" s="276">
        <v>0</v>
      </c>
    </row>
    <row r="255" spans="1:9" x14ac:dyDescent="0.3">
      <c r="A255" s="199" t="e">
        <f>IF(AND(E255&lt;&gt;"", A250&lt;&gt;""), A250+1, "")</f>
        <v>#REF!</v>
      </c>
      <c r="B255" s="418">
        <v>46299</v>
      </c>
      <c r="C255" s="421">
        <f>B255</f>
        <v>46299</v>
      </c>
      <c r="D255" s="196" t="s">
        <v>418</v>
      </c>
      <c r="E255" s="243">
        <v>0</v>
      </c>
      <c r="F255" s="244">
        <v>0</v>
      </c>
      <c r="G255" s="244">
        <v>0</v>
      </c>
      <c r="H255" s="271">
        <v>0</v>
      </c>
      <c r="I255" s="272">
        <v>0</v>
      </c>
    </row>
    <row r="256" spans="1:9" x14ac:dyDescent="0.3">
      <c r="A256" s="199" t="e">
        <f>IF(AND(E255&lt;&gt;"", A251&lt;&gt;""), A251+1, "")</f>
        <v>#REF!</v>
      </c>
      <c r="B256" s="419"/>
      <c r="C256" s="422"/>
      <c r="D256" s="197" t="s">
        <v>420</v>
      </c>
      <c r="E256" s="247">
        <v>0</v>
      </c>
      <c r="F256" s="248">
        <v>0</v>
      </c>
      <c r="G256" s="248">
        <v>0</v>
      </c>
      <c r="H256" s="273">
        <v>0</v>
      </c>
      <c r="I256" s="274">
        <v>0</v>
      </c>
    </row>
    <row r="257" spans="1:9" x14ac:dyDescent="0.3">
      <c r="A257" s="199" t="e">
        <f>IF(AND(E255&lt;&gt;"", A252&lt;&gt;""), A252+1, "")</f>
        <v>#REF!</v>
      </c>
      <c r="B257" s="419"/>
      <c r="C257" s="422"/>
      <c r="D257" s="197" t="s">
        <v>426</v>
      </c>
      <c r="E257" s="247">
        <v>0</v>
      </c>
      <c r="F257" s="248">
        <v>0</v>
      </c>
      <c r="G257" s="248">
        <v>0</v>
      </c>
      <c r="H257" s="273">
        <v>0</v>
      </c>
      <c r="I257" s="274">
        <v>0</v>
      </c>
    </row>
    <row r="258" spans="1:9" x14ac:dyDescent="0.3">
      <c r="A258" s="199" t="e">
        <f>IF(AND(E255&lt;&gt;"", A253&lt;&gt;""), A253+1, "")</f>
        <v>#REF!</v>
      </c>
      <c r="B258" s="419"/>
      <c r="C258" s="422"/>
      <c r="D258" s="197" t="s">
        <v>424</v>
      </c>
      <c r="E258" s="247">
        <v>0</v>
      </c>
      <c r="F258" s="248">
        <v>0</v>
      </c>
      <c r="G258" s="248">
        <v>0</v>
      </c>
      <c r="H258" s="273">
        <v>0</v>
      </c>
      <c r="I258" s="274">
        <v>0</v>
      </c>
    </row>
    <row r="259" spans="1:9" ht="15.75" customHeight="1" thickBot="1" x14ac:dyDescent="0.35">
      <c r="A259" s="199" t="e">
        <f>IF(AND(E255&lt;&gt;"", A254&lt;&gt;""), A254+1, "")</f>
        <v>#REF!</v>
      </c>
      <c r="B259" s="420"/>
      <c r="C259" s="404"/>
      <c r="D259" s="198" t="s">
        <v>450</v>
      </c>
      <c r="E259" s="251">
        <v>0</v>
      </c>
      <c r="F259" s="252">
        <v>0</v>
      </c>
      <c r="G259" s="252">
        <v>0</v>
      </c>
      <c r="H259" s="275">
        <v>0</v>
      </c>
      <c r="I259" s="276">
        <v>0</v>
      </c>
    </row>
    <row r="260" spans="1:9" x14ac:dyDescent="0.3">
      <c r="A260" s="199" t="e">
        <f>IF(AND(E260&lt;&gt;"", A255&lt;&gt;""), A255+1, "")</f>
        <v>#REF!</v>
      </c>
      <c r="B260" s="418">
        <v>46300</v>
      </c>
      <c r="C260" s="421">
        <f>B260</f>
        <v>46300</v>
      </c>
      <c r="D260" s="196" t="s">
        <v>418</v>
      </c>
      <c r="E260" s="243">
        <v>0</v>
      </c>
      <c r="F260" s="244">
        <v>0</v>
      </c>
      <c r="G260" s="244">
        <v>0</v>
      </c>
      <c r="H260" s="271">
        <v>0</v>
      </c>
      <c r="I260" s="272">
        <v>0</v>
      </c>
    </row>
    <row r="261" spans="1:9" x14ac:dyDescent="0.3">
      <c r="A261" s="199" t="e">
        <f>IF(AND(E260&lt;&gt;"", A256&lt;&gt;""), A256+1, "")</f>
        <v>#REF!</v>
      </c>
      <c r="B261" s="419"/>
      <c r="C261" s="422"/>
      <c r="D261" s="197" t="s">
        <v>420</v>
      </c>
      <c r="E261" s="247">
        <v>0</v>
      </c>
      <c r="F261" s="248">
        <v>0</v>
      </c>
      <c r="G261" s="248">
        <v>0</v>
      </c>
      <c r="H261" s="273">
        <v>0</v>
      </c>
      <c r="I261" s="274">
        <v>0</v>
      </c>
    </row>
    <row r="262" spans="1:9" x14ac:dyDescent="0.3">
      <c r="A262" s="199" t="e">
        <f>IF(AND(E260&lt;&gt;"", A257&lt;&gt;""), A257+1, "")</f>
        <v>#REF!</v>
      </c>
      <c r="B262" s="419"/>
      <c r="C262" s="422"/>
      <c r="D262" s="197" t="s">
        <v>426</v>
      </c>
      <c r="E262" s="247">
        <v>0</v>
      </c>
      <c r="F262" s="248">
        <v>0</v>
      </c>
      <c r="G262" s="248">
        <v>0</v>
      </c>
      <c r="H262" s="273">
        <v>0</v>
      </c>
      <c r="I262" s="274">
        <v>0</v>
      </c>
    </row>
    <row r="263" spans="1:9" x14ac:dyDescent="0.3">
      <c r="A263" s="199" t="e">
        <f>IF(AND(E260&lt;&gt;"", A258&lt;&gt;""), A258+1, "")</f>
        <v>#REF!</v>
      </c>
      <c r="B263" s="419"/>
      <c r="C263" s="422"/>
      <c r="D263" s="197" t="s">
        <v>424</v>
      </c>
      <c r="E263" s="247">
        <v>0</v>
      </c>
      <c r="F263" s="248">
        <v>0</v>
      </c>
      <c r="G263" s="248">
        <v>0</v>
      </c>
      <c r="H263" s="273">
        <v>0</v>
      </c>
      <c r="I263" s="274">
        <v>0</v>
      </c>
    </row>
    <row r="264" spans="1:9" ht="15.75" customHeight="1" thickBot="1" x14ac:dyDescent="0.35">
      <c r="A264" s="199" t="e">
        <f>IF(AND(E260&lt;&gt;"", A259&lt;&gt;""), A259+1, "")</f>
        <v>#REF!</v>
      </c>
      <c r="B264" s="420"/>
      <c r="C264" s="404"/>
      <c r="D264" s="198" t="s">
        <v>450</v>
      </c>
      <c r="E264" s="251">
        <v>0</v>
      </c>
      <c r="F264" s="252">
        <v>0</v>
      </c>
      <c r="G264" s="252">
        <v>0</v>
      </c>
      <c r="H264" s="275">
        <v>0</v>
      </c>
      <c r="I264" s="276">
        <v>0</v>
      </c>
    </row>
    <row r="265" spans="1:9" x14ac:dyDescent="0.3">
      <c r="A265" s="199" t="e">
        <f>IF(AND(E265&lt;&gt;"", A260&lt;&gt;""), A260+1, "")</f>
        <v>#REF!</v>
      </c>
      <c r="B265" s="418">
        <v>46301</v>
      </c>
      <c r="C265" s="421">
        <f>B265</f>
        <v>46301</v>
      </c>
      <c r="D265" s="196" t="s">
        <v>418</v>
      </c>
      <c r="E265" s="243">
        <v>0</v>
      </c>
      <c r="F265" s="244">
        <v>0</v>
      </c>
      <c r="G265" s="244">
        <v>0</v>
      </c>
      <c r="H265" s="271">
        <v>0</v>
      </c>
      <c r="I265" s="272">
        <v>0</v>
      </c>
    </row>
    <row r="266" spans="1:9" x14ac:dyDescent="0.3">
      <c r="A266" s="199" t="e">
        <f>IF(AND(E265&lt;&gt;"", A261&lt;&gt;""), A261+1, "")</f>
        <v>#REF!</v>
      </c>
      <c r="B266" s="419"/>
      <c r="C266" s="422"/>
      <c r="D266" s="197" t="s">
        <v>420</v>
      </c>
      <c r="E266" s="247">
        <v>0</v>
      </c>
      <c r="F266" s="248">
        <v>0</v>
      </c>
      <c r="G266" s="248">
        <v>0</v>
      </c>
      <c r="H266" s="273">
        <v>0</v>
      </c>
      <c r="I266" s="274">
        <v>0</v>
      </c>
    </row>
    <row r="267" spans="1:9" x14ac:dyDescent="0.3">
      <c r="A267" s="199" t="e">
        <f>IF(AND(E265&lt;&gt;"", A262&lt;&gt;""), A262+1, "")</f>
        <v>#REF!</v>
      </c>
      <c r="B267" s="419"/>
      <c r="C267" s="422"/>
      <c r="D267" s="197" t="s">
        <v>426</v>
      </c>
      <c r="E267" s="247">
        <v>0</v>
      </c>
      <c r="F267" s="248">
        <v>0</v>
      </c>
      <c r="G267" s="248">
        <v>0</v>
      </c>
      <c r="H267" s="273">
        <v>0</v>
      </c>
      <c r="I267" s="274">
        <v>0</v>
      </c>
    </row>
    <row r="268" spans="1:9" x14ac:dyDescent="0.3">
      <c r="A268" s="199" t="e">
        <f>IF(AND(E265&lt;&gt;"", A263&lt;&gt;""), A263+1, "")</f>
        <v>#REF!</v>
      </c>
      <c r="B268" s="419"/>
      <c r="C268" s="422"/>
      <c r="D268" s="197" t="s">
        <v>424</v>
      </c>
      <c r="E268" s="247">
        <v>0</v>
      </c>
      <c r="F268" s="248">
        <v>0</v>
      </c>
      <c r="G268" s="248">
        <v>0</v>
      </c>
      <c r="H268" s="273">
        <v>0</v>
      </c>
      <c r="I268" s="274">
        <v>0</v>
      </c>
    </row>
    <row r="269" spans="1:9" ht="15.75" customHeight="1" thickBot="1" x14ac:dyDescent="0.35">
      <c r="A269" s="199" t="e">
        <f>IF(AND(E265&lt;&gt;"", A264&lt;&gt;""), A264+1, "")</f>
        <v>#REF!</v>
      </c>
      <c r="B269" s="420"/>
      <c r="C269" s="404"/>
      <c r="D269" s="198" t="s">
        <v>450</v>
      </c>
      <c r="E269" s="251">
        <v>0</v>
      </c>
      <c r="F269" s="252">
        <v>0</v>
      </c>
      <c r="G269" s="252">
        <v>0</v>
      </c>
      <c r="H269" s="275">
        <v>0</v>
      </c>
      <c r="I269" s="276">
        <v>0</v>
      </c>
    </row>
    <row r="270" spans="1:9" x14ac:dyDescent="0.3">
      <c r="A270" s="199" t="e">
        <f>IF(AND(E270&lt;&gt;"", A265&lt;&gt;""), A265+1, "")</f>
        <v>#REF!</v>
      </c>
      <c r="B270" s="418">
        <v>46302</v>
      </c>
      <c r="C270" s="421">
        <f>B270</f>
        <v>46302</v>
      </c>
      <c r="D270" s="196" t="s">
        <v>418</v>
      </c>
      <c r="E270" s="243">
        <v>0</v>
      </c>
      <c r="F270" s="244">
        <v>0</v>
      </c>
      <c r="G270" s="244">
        <v>0</v>
      </c>
      <c r="H270" s="271">
        <v>0</v>
      </c>
      <c r="I270" s="272">
        <v>0</v>
      </c>
    </row>
    <row r="271" spans="1:9" x14ac:dyDescent="0.3">
      <c r="A271" s="199" t="e">
        <f>IF(AND(E270&lt;&gt;"", A266&lt;&gt;""), A266+1, "")</f>
        <v>#REF!</v>
      </c>
      <c r="B271" s="419"/>
      <c r="C271" s="422"/>
      <c r="D271" s="197" t="s">
        <v>420</v>
      </c>
      <c r="E271" s="247">
        <v>0</v>
      </c>
      <c r="F271" s="248">
        <v>0</v>
      </c>
      <c r="G271" s="248">
        <v>0</v>
      </c>
      <c r="H271" s="273">
        <v>0</v>
      </c>
      <c r="I271" s="274">
        <v>0</v>
      </c>
    </row>
    <row r="272" spans="1:9" x14ac:dyDescent="0.3">
      <c r="A272" s="199" t="e">
        <f>IF(AND(E270&lt;&gt;"", A267&lt;&gt;""), A267+1, "")</f>
        <v>#REF!</v>
      </c>
      <c r="B272" s="419"/>
      <c r="C272" s="422"/>
      <c r="D272" s="197" t="s">
        <v>426</v>
      </c>
      <c r="E272" s="247">
        <v>0</v>
      </c>
      <c r="F272" s="248">
        <v>0</v>
      </c>
      <c r="G272" s="248">
        <v>0</v>
      </c>
      <c r="H272" s="273">
        <v>0</v>
      </c>
      <c r="I272" s="274">
        <v>0</v>
      </c>
    </row>
    <row r="273" spans="1:9" x14ac:dyDescent="0.3">
      <c r="A273" s="199" t="e">
        <f>IF(AND(E270&lt;&gt;"", A268&lt;&gt;""), A268+1, "")</f>
        <v>#REF!</v>
      </c>
      <c r="B273" s="419"/>
      <c r="C273" s="422"/>
      <c r="D273" s="197" t="s">
        <v>424</v>
      </c>
      <c r="E273" s="247">
        <v>0</v>
      </c>
      <c r="F273" s="248">
        <v>0</v>
      </c>
      <c r="G273" s="248">
        <v>0</v>
      </c>
      <c r="H273" s="273">
        <v>0</v>
      </c>
      <c r="I273" s="274">
        <v>0</v>
      </c>
    </row>
    <row r="274" spans="1:9" ht="15.75" customHeight="1" thickBot="1" x14ac:dyDescent="0.35">
      <c r="A274" s="199" t="e">
        <f>IF(AND(E270&lt;&gt;"", A269&lt;&gt;""), A269+1, "")</f>
        <v>#REF!</v>
      </c>
      <c r="B274" s="420"/>
      <c r="C274" s="404"/>
      <c r="D274" s="198" t="s">
        <v>450</v>
      </c>
      <c r="E274" s="251">
        <v>0</v>
      </c>
      <c r="F274" s="252">
        <v>0</v>
      </c>
      <c r="G274" s="252">
        <v>0</v>
      </c>
      <c r="H274" s="275">
        <v>0</v>
      </c>
      <c r="I274" s="276">
        <v>0</v>
      </c>
    </row>
    <row r="275" spans="1:9" x14ac:dyDescent="0.3">
      <c r="A275" s="199" t="e">
        <f>IF(AND(E275&lt;&gt;"", A270&lt;&gt;""), A270+1, "")</f>
        <v>#REF!</v>
      </c>
      <c r="B275" s="418">
        <v>46303</v>
      </c>
      <c r="C275" s="421">
        <f>B275</f>
        <v>46303</v>
      </c>
      <c r="D275" s="196" t="s">
        <v>418</v>
      </c>
      <c r="E275" s="243">
        <v>0</v>
      </c>
      <c r="F275" s="244">
        <v>0</v>
      </c>
      <c r="G275" s="244">
        <v>0</v>
      </c>
      <c r="H275" s="271">
        <v>0</v>
      </c>
      <c r="I275" s="272">
        <v>0</v>
      </c>
    </row>
    <row r="276" spans="1:9" x14ac:dyDescent="0.3">
      <c r="A276" s="199" t="e">
        <f>IF(AND(E275&lt;&gt;"", A271&lt;&gt;""), A271+1, "")</f>
        <v>#REF!</v>
      </c>
      <c r="B276" s="419"/>
      <c r="C276" s="422"/>
      <c r="D276" s="197" t="s">
        <v>420</v>
      </c>
      <c r="E276" s="247">
        <v>0</v>
      </c>
      <c r="F276" s="248">
        <v>0</v>
      </c>
      <c r="G276" s="248">
        <v>0</v>
      </c>
      <c r="H276" s="273">
        <v>0</v>
      </c>
      <c r="I276" s="274">
        <v>0</v>
      </c>
    </row>
    <row r="277" spans="1:9" x14ac:dyDescent="0.3">
      <c r="A277" s="199" t="e">
        <f>IF(AND(E275&lt;&gt;"", A272&lt;&gt;""), A272+1, "")</f>
        <v>#REF!</v>
      </c>
      <c r="B277" s="419"/>
      <c r="C277" s="422"/>
      <c r="D277" s="197" t="s">
        <v>426</v>
      </c>
      <c r="E277" s="247">
        <v>0</v>
      </c>
      <c r="F277" s="248">
        <v>0</v>
      </c>
      <c r="G277" s="248">
        <v>0</v>
      </c>
      <c r="H277" s="273">
        <v>0</v>
      </c>
      <c r="I277" s="274">
        <v>0</v>
      </c>
    </row>
    <row r="278" spans="1:9" x14ac:dyDescent="0.3">
      <c r="A278" s="199" t="e">
        <f>IF(AND(E275&lt;&gt;"", A273&lt;&gt;""), A273+1, "")</f>
        <v>#REF!</v>
      </c>
      <c r="B278" s="419"/>
      <c r="C278" s="422"/>
      <c r="D278" s="197" t="s">
        <v>424</v>
      </c>
      <c r="E278" s="247">
        <v>0</v>
      </c>
      <c r="F278" s="248">
        <v>0</v>
      </c>
      <c r="G278" s="248">
        <v>0</v>
      </c>
      <c r="H278" s="273">
        <v>0</v>
      </c>
      <c r="I278" s="274">
        <v>0</v>
      </c>
    </row>
    <row r="279" spans="1:9" ht="15.75" customHeight="1" thickBot="1" x14ac:dyDescent="0.35">
      <c r="A279" s="199" t="e">
        <f>IF(AND(E275&lt;&gt;"", A274&lt;&gt;""), A274+1, "")</f>
        <v>#REF!</v>
      </c>
      <c r="B279" s="420"/>
      <c r="C279" s="404"/>
      <c r="D279" s="198" t="s">
        <v>450</v>
      </c>
      <c r="E279" s="251">
        <v>0</v>
      </c>
      <c r="F279" s="252">
        <v>0</v>
      </c>
      <c r="G279" s="252">
        <v>0</v>
      </c>
      <c r="H279" s="275">
        <v>0</v>
      </c>
      <c r="I279" s="276">
        <v>0</v>
      </c>
    </row>
    <row r="280" spans="1:9" x14ac:dyDescent="0.3">
      <c r="A280" s="199" t="e">
        <f>IF(AND(E280&lt;&gt;"", A275&lt;&gt;""), A275+1, "")</f>
        <v>#REF!</v>
      </c>
      <c r="B280" s="418">
        <v>46304</v>
      </c>
      <c r="C280" s="421">
        <f>B280</f>
        <v>46304</v>
      </c>
      <c r="D280" s="196" t="s">
        <v>418</v>
      </c>
      <c r="E280" s="243">
        <v>0</v>
      </c>
      <c r="F280" s="244">
        <v>0</v>
      </c>
      <c r="G280" s="244">
        <v>0</v>
      </c>
      <c r="H280" s="271">
        <v>0</v>
      </c>
      <c r="I280" s="272">
        <v>0</v>
      </c>
    </row>
    <row r="281" spans="1:9" x14ac:dyDescent="0.3">
      <c r="A281" s="199" t="e">
        <f>IF(AND(E280&lt;&gt;"", A276&lt;&gt;""), A276+1, "")</f>
        <v>#REF!</v>
      </c>
      <c r="B281" s="419"/>
      <c r="C281" s="422"/>
      <c r="D281" s="197" t="s">
        <v>420</v>
      </c>
      <c r="E281" s="247">
        <v>0</v>
      </c>
      <c r="F281" s="248">
        <v>0</v>
      </c>
      <c r="G281" s="248">
        <v>0</v>
      </c>
      <c r="H281" s="273">
        <v>0</v>
      </c>
      <c r="I281" s="274">
        <v>0</v>
      </c>
    </row>
    <row r="282" spans="1:9" x14ac:dyDescent="0.3">
      <c r="A282" s="199" t="e">
        <f>IF(AND(E280&lt;&gt;"", A277&lt;&gt;""), A277+1, "")</f>
        <v>#REF!</v>
      </c>
      <c r="B282" s="419"/>
      <c r="C282" s="422"/>
      <c r="D282" s="197" t="s">
        <v>426</v>
      </c>
      <c r="E282" s="247">
        <v>0</v>
      </c>
      <c r="F282" s="248">
        <v>0</v>
      </c>
      <c r="G282" s="248">
        <v>0</v>
      </c>
      <c r="H282" s="273">
        <v>0</v>
      </c>
      <c r="I282" s="274">
        <v>0</v>
      </c>
    </row>
    <row r="283" spans="1:9" x14ac:dyDescent="0.3">
      <c r="A283" s="199" t="e">
        <f>IF(AND(E280&lt;&gt;"", A278&lt;&gt;""), A278+1, "")</f>
        <v>#REF!</v>
      </c>
      <c r="B283" s="419"/>
      <c r="C283" s="422"/>
      <c r="D283" s="197" t="s">
        <v>424</v>
      </c>
      <c r="E283" s="247">
        <v>0</v>
      </c>
      <c r="F283" s="248">
        <v>0</v>
      </c>
      <c r="G283" s="248">
        <v>0</v>
      </c>
      <c r="H283" s="273">
        <v>0</v>
      </c>
      <c r="I283" s="274">
        <v>0</v>
      </c>
    </row>
    <row r="284" spans="1:9" ht="15.75" customHeight="1" thickBot="1" x14ac:dyDescent="0.35">
      <c r="A284" s="199" t="e">
        <f>IF(AND(E280&lt;&gt;"", A279&lt;&gt;""), A279+1, "")</f>
        <v>#REF!</v>
      </c>
      <c r="B284" s="420"/>
      <c r="C284" s="404"/>
      <c r="D284" s="198" t="s">
        <v>450</v>
      </c>
      <c r="E284" s="251">
        <v>0</v>
      </c>
      <c r="F284" s="252">
        <v>0</v>
      </c>
      <c r="G284" s="252">
        <v>0</v>
      </c>
      <c r="H284" s="275">
        <v>0</v>
      </c>
      <c r="I284" s="276">
        <v>0</v>
      </c>
    </row>
    <row r="285" spans="1:9" x14ac:dyDescent="0.3">
      <c r="A285" s="199" t="e">
        <f>IF(AND(E285&lt;&gt;"", A280&lt;&gt;""), A280+1, "")</f>
        <v>#REF!</v>
      </c>
      <c r="B285" s="418">
        <v>46305</v>
      </c>
      <c r="C285" s="421">
        <f>B285</f>
        <v>46305</v>
      </c>
      <c r="D285" s="196" t="s">
        <v>418</v>
      </c>
      <c r="E285" s="243">
        <v>0</v>
      </c>
      <c r="F285" s="244">
        <v>0</v>
      </c>
      <c r="G285" s="244">
        <v>0</v>
      </c>
      <c r="H285" s="271">
        <v>0</v>
      </c>
      <c r="I285" s="272">
        <v>0</v>
      </c>
    </row>
    <row r="286" spans="1:9" x14ac:dyDescent="0.3">
      <c r="A286" s="199" t="e">
        <f>IF(AND(E285&lt;&gt;"", A281&lt;&gt;""), A281+1, "")</f>
        <v>#REF!</v>
      </c>
      <c r="B286" s="419"/>
      <c r="C286" s="422"/>
      <c r="D286" s="197" t="s">
        <v>420</v>
      </c>
      <c r="E286" s="247">
        <v>0</v>
      </c>
      <c r="F286" s="248">
        <v>0</v>
      </c>
      <c r="G286" s="248">
        <v>0</v>
      </c>
      <c r="H286" s="273">
        <v>0</v>
      </c>
      <c r="I286" s="274">
        <v>0</v>
      </c>
    </row>
    <row r="287" spans="1:9" x14ac:dyDescent="0.3">
      <c r="A287" s="199" t="e">
        <f>IF(AND(E285&lt;&gt;"", A282&lt;&gt;""), A282+1, "")</f>
        <v>#REF!</v>
      </c>
      <c r="B287" s="419"/>
      <c r="C287" s="422"/>
      <c r="D287" s="197" t="s">
        <v>426</v>
      </c>
      <c r="E287" s="247">
        <v>0</v>
      </c>
      <c r="F287" s="248">
        <v>0</v>
      </c>
      <c r="G287" s="248">
        <v>0</v>
      </c>
      <c r="H287" s="273">
        <v>0</v>
      </c>
      <c r="I287" s="274">
        <v>0</v>
      </c>
    </row>
    <row r="288" spans="1:9" x14ac:dyDescent="0.3">
      <c r="A288" s="199" t="e">
        <f>IF(AND(E285&lt;&gt;"", A283&lt;&gt;""), A283+1, "")</f>
        <v>#REF!</v>
      </c>
      <c r="B288" s="419"/>
      <c r="C288" s="422"/>
      <c r="D288" s="197" t="s">
        <v>424</v>
      </c>
      <c r="E288" s="247">
        <v>0</v>
      </c>
      <c r="F288" s="248">
        <v>0</v>
      </c>
      <c r="G288" s="248">
        <v>0</v>
      </c>
      <c r="H288" s="273">
        <v>0</v>
      </c>
      <c r="I288" s="274">
        <v>0</v>
      </c>
    </row>
    <row r="289" spans="1:9" ht="15.75" customHeight="1" thickBot="1" x14ac:dyDescent="0.35">
      <c r="A289" s="199" t="e">
        <f>IF(AND(E285&lt;&gt;"", A284&lt;&gt;""), A284+1, "")</f>
        <v>#REF!</v>
      </c>
      <c r="B289" s="420"/>
      <c r="C289" s="404"/>
      <c r="D289" s="198" t="s">
        <v>450</v>
      </c>
      <c r="E289" s="251">
        <v>0</v>
      </c>
      <c r="F289" s="252">
        <v>0</v>
      </c>
      <c r="G289" s="252">
        <v>0</v>
      </c>
      <c r="H289" s="275">
        <v>0</v>
      </c>
      <c r="I289" s="276">
        <v>0</v>
      </c>
    </row>
    <row r="290" spans="1:9" x14ac:dyDescent="0.3">
      <c r="A290" s="199" t="e">
        <f>IF(AND(E290&lt;&gt;"", A285&lt;&gt;""), A285+1, "")</f>
        <v>#REF!</v>
      </c>
      <c r="B290" s="418">
        <v>46306</v>
      </c>
      <c r="C290" s="421">
        <f>B290</f>
        <v>46306</v>
      </c>
      <c r="D290" s="196" t="s">
        <v>418</v>
      </c>
      <c r="E290" s="243">
        <v>0</v>
      </c>
      <c r="F290" s="244">
        <v>0</v>
      </c>
      <c r="G290" s="244">
        <v>0</v>
      </c>
      <c r="H290" s="271">
        <v>0</v>
      </c>
      <c r="I290" s="272">
        <v>0</v>
      </c>
    </row>
    <row r="291" spans="1:9" x14ac:dyDescent="0.3">
      <c r="A291" s="199" t="e">
        <f>IF(AND(E290&lt;&gt;"", A286&lt;&gt;""), A286+1, "")</f>
        <v>#REF!</v>
      </c>
      <c r="B291" s="419"/>
      <c r="C291" s="422"/>
      <c r="D291" s="197" t="s">
        <v>420</v>
      </c>
      <c r="E291" s="247">
        <v>0</v>
      </c>
      <c r="F291" s="248">
        <v>0</v>
      </c>
      <c r="G291" s="248">
        <v>0</v>
      </c>
      <c r="H291" s="273">
        <v>0</v>
      </c>
      <c r="I291" s="274">
        <v>0</v>
      </c>
    </row>
    <row r="292" spans="1:9" x14ac:dyDescent="0.3">
      <c r="A292" s="199" t="e">
        <f>IF(AND(E290&lt;&gt;"", A287&lt;&gt;""), A287+1, "")</f>
        <v>#REF!</v>
      </c>
      <c r="B292" s="419"/>
      <c r="C292" s="422"/>
      <c r="D292" s="197" t="s">
        <v>426</v>
      </c>
      <c r="E292" s="247">
        <v>0</v>
      </c>
      <c r="F292" s="248">
        <v>0</v>
      </c>
      <c r="G292" s="248">
        <v>0</v>
      </c>
      <c r="H292" s="273">
        <v>0</v>
      </c>
      <c r="I292" s="274">
        <v>0</v>
      </c>
    </row>
    <row r="293" spans="1:9" x14ac:dyDescent="0.3">
      <c r="A293" s="199" t="e">
        <f>IF(AND(E290&lt;&gt;"", A288&lt;&gt;""), A288+1, "")</f>
        <v>#REF!</v>
      </c>
      <c r="B293" s="419"/>
      <c r="C293" s="422"/>
      <c r="D293" s="197" t="s">
        <v>424</v>
      </c>
      <c r="E293" s="247">
        <v>0</v>
      </c>
      <c r="F293" s="248">
        <v>0</v>
      </c>
      <c r="G293" s="248">
        <v>0</v>
      </c>
      <c r="H293" s="273">
        <v>0</v>
      </c>
      <c r="I293" s="274">
        <v>0</v>
      </c>
    </row>
    <row r="294" spans="1:9" ht="15.75" customHeight="1" thickBot="1" x14ac:dyDescent="0.35">
      <c r="A294" s="199" t="e">
        <f>IF(AND(E290&lt;&gt;"", A289&lt;&gt;""), A289+1, "")</f>
        <v>#REF!</v>
      </c>
      <c r="B294" s="420"/>
      <c r="C294" s="404"/>
      <c r="D294" s="198" t="s">
        <v>450</v>
      </c>
      <c r="E294" s="251">
        <v>0</v>
      </c>
      <c r="F294" s="252">
        <v>0</v>
      </c>
      <c r="G294" s="252">
        <v>0</v>
      </c>
      <c r="H294" s="275">
        <v>0</v>
      </c>
      <c r="I294" s="276">
        <v>0</v>
      </c>
    </row>
    <row r="295" spans="1:9" x14ac:dyDescent="0.3">
      <c r="A295" s="199" t="e">
        <f>IF(AND(E295&lt;&gt;"", A290&lt;&gt;""), A290+1, "")</f>
        <v>#REF!</v>
      </c>
      <c r="B295" s="418">
        <v>46307</v>
      </c>
      <c r="C295" s="421">
        <f>B295</f>
        <v>46307</v>
      </c>
      <c r="D295" s="196" t="s">
        <v>418</v>
      </c>
      <c r="E295" s="243">
        <v>0</v>
      </c>
      <c r="F295" s="244">
        <v>0</v>
      </c>
      <c r="G295" s="244">
        <v>0</v>
      </c>
      <c r="H295" s="271">
        <v>0</v>
      </c>
      <c r="I295" s="272">
        <v>0</v>
      </c>
    </row>
    <row r="296" spans="1:9" x14ac:dyDescent="0.3">
      <c r="A296" s="199" t="e">
        <f>IF(AND(E295&lt;&gt;"", A291&lt;&gt;""), A291+1, "")</f>
        <v>#REF!</v>
      </c>
      <c r="B296" s="419"/>
      <c r="C296" s="422"/>
      <c r="D296" s="197" t="s">
        <v>420</v>
      </c>
      <c r="E296" s="247">
        <v>0</v>
      </c>
      <c r="F296" s="248">
        <v>0</v>
      </c>
      <c r="G296" s="248">
        <v>0</v>
      </c>
      <c r="H296" s="273">
        <v>0</v>
      </c>
      <c r="I296" s="274">
        <v>0</v>
      </c>
    </row>
    <row r="297" spans="1:9" x14ac:dyDescent="0.3">
      <c r="A297" s="199" t="e">
        <f>IF(AND(E295&lt;&gt;"", A292&lt;&gt;""), A292+1, "")</f>
        <v>#REF!</v>
      </c>
      <c r="B297" s="419"/>
      <c r="C297" s="422"/>
      <c r="D297" s="197" t="s">
        <v>426</v>
      </c>
      <c r="E297" s="247">
        <v>0</v>
      </c>
      <c r="F297" s="248">
        <v>0</v>
      </c>
      <c r="G297" s="248">
        <v>0</v>
      </c>
      <c r="H297" s="273">
        <v>0</v>
      </c>
      <c r="I297" s="274">
        <v>0</v>
      </c>
    </row>
    <row r="298" spans="1:9" x14ac:dyDescent="0.3">
      <c r="A298" s="199" t="e">
        <f>IF(AND(E295&lt;&gt;"", A293&lt;&gt;""), A293+1, "")</f>
        <v>#REF!</v>
      </c>
      <c r="B298" s="419"/>
      <c r="C298" s="422"/>
      <c r="D298" s="197" t="s">
        <v>424</v>
      </c>
      <c r="E298" s="247">
        <v>0</v>
      </c>
      <c r="F298" s="248">
        <v>0</v>
      </c>
      <c r="G298" s="248">
        <v>0</v>
      </c>
      <c r="H298" s="273">
        <v>0</v>
      </c>
      <c r="I298" s="274">
        <v>0</v>
      </c>
    </row>
    <row r="299" spans="1:9" ht="15.75" customHeight="1" thickBot="1" x14ac:dyDescent="0.35">
      <c r="A299" s="199" t="e">
        <f>IF(AND(E295&lt;&gt;"", A294&lt;&gt;""), A294+1, "")</f>
        <v>#REF!</v>
      </c>
      <c r="B299" s="420"/>
      <c r="C299" s="404"/>
      <c r="D299" s="198" t="s">
        <v>450</v>
      </c>
      <c r="E299" s="251">
        <v>0</v>
      </c>
      <c r="F299" s="252">
        <v>0</v>
      </c>
      <c r="G299" s="252">
        <v>0</v>
      </c>
      <c r="H299" s="275">
        <v>0</v>
      </c>
      <c r="I299" s="276">
        <v>0</v>
      </c>
    </row>
    <row r="300" spans="1:9" x14ac:dyDescent="0.3">
      <c r="A300" s="199" t="e">
        <f>IF(AND(E300&lt;&gt;"", A295&lt;&gt;""), A295+1, "")</f>
        <v>#REF!</v>
      </c>
      <c r="B300" s="418">
        <v>46308</v>
      </c>
      <c r="C300" s="421">
        <f>B300</f>
        <v>46308</v>
      </c>
      <c r="D300" s="196" t="s">
        <v>418</v>
      </c>
      <c r="E300" s="243">
        <v>0</v>
      </c>
      <c r="F300" s="244">
        <v>0</v>
      </c>
      <c r="G300" s="244">
        <v>0</v>
      </c>
      <c r="H300" s="271">
        <v>0</v>
      </c>
      <c r="I300" s="272">
        <v>0</v>
      </c>
    </row>
    <row r="301" spans="1:9" x14ac:dyDescent="0.3">
      <c r="A301" s="199" t="e">
        <f>IF(AND(E300&lt;&gt;"", A296&lt;&gt;""), A296+1, "")</f>
        <v>#REF!</v>
      </c>
      <c r="B301" s="419"/>
      <c r="C301" s="422"/>
      <c r="D301" s="197" t="s">
        <v>420</v>
      </c>
      <c r="E301" s="247">
        <v>0</v>
      </c>
      <c r="F301" s="248">
        <v>0</v>
      </c>
      <c r="G301" s="248">
        <v>0</v>
      </c>
      <c r="H301" s="273">
        <v>0</v>
      </c>
      <c r="I301" s="274">
        <v>0</v>
      </c>
    </row>
    <row r="302" spans="1:9" x14ac:dyDescent="0.3">
      <c r="A302" s="199" t="e">
        <f>IF(AND(E300&lt;&gt;"", A297&lt;&gt;""), A297+1, "")</f>
        <v>#REF!</v>
      </c>
      <c r="B302" s="419"/>
      <c r="C302" s="422"/>
      <c r="D302" s="197" t="s">
        <v>426</v>
      </c>
      <c r="E302" s="247">
        <v>0</v>
      </c>
      <c r="F302" s="248">
        <v>0</v>
      </c>
      <c r="G302" s="248">
        <v>0</v>
      </c>
      <c r="H302" s="273">
        <v>0</v>
      </c>
      <c r="I302" s="274">
        <v>0</v>
      </c>
    </row>
    <row r="303" spans="1:9" x14ac:dyDescent="0.3">
      <c r="A303" s="199" t="e">
        <f>IF(AND(E300&lt;&gt;"", A298&lt;&gt;""), A298+1, "")</f>
        <v>#REF!</v>
      </c>
      <c r="B303" s="419"/>
      <c r="C303" s="422"/>
      <c r="D303" s="197" t="s">
        <v>424</v>
      </c>
      <c r="E303" s="247">
        <v>0</v>
      </c>
      <c r="F303" s="248">
        <v>0</v>
      </c>
      <c r="G303" s="248">
        <v>0</v>
      </c>
      <c r="H303" s="273">
        <v>0</v>
      </c>
      <c r="I303" s="274">
        <v>0</v>
      </c>
    </row>
    <row r="304" spans="1:9" ht="15.75" customHeight="1" thickBot="1" x14ac:dyDescent="0.35">
      <c r="A304" s="199" t="e">
        <f>IF(AND(E300&lt;&gt;"", A299&lt;&gt;""), A299+1, "")</f>
        <v>#REF!</v>
      </c>
      <c r="B304" s="420"/>
      <c r="C304" s="404"/>
      <c r="D304" s="198" t="s">
        <v>450</v>
      </c>
      <c r="E304" s="251">
        <v>0</v>
      </c>
      <c r="F304" s="252">
        <v>0</v>
      </c>
      <c r="G304" s="252">
        <v>0</v>
      </c>
      <c r="H304" s="275">
        <v>0</v>
      </c>
      <c r="I304" s="276">
        <v>0</v>
      </c>
    </row>
    <row r="305" spans="1:9" x14ac:dyDescent="0.3">
      <c r="A305" s="199" t="e">
        <f>IF(AND(E305&lt;&gt;"", A300&lt;&gt;""), A300+1, "")</f>
        <v>#REF!</v>
      </c>
      <c r="B305" s="418">
        <v>46309</v>
      </c>
      <c r="C305" s="421">
        <f>B305</f>
        <v>46309</v>
      </c>
      <c r="D305" s="196" t="s">
        <v>418</v>
      </c>
      <c r="E305" s="243">
        <v>0</v>
      </c>
      <c r="F305" s="244">
        <v>0</v>
      </c>
      <c r="G305" s="244">
        <v>0</v>
      </c>
      <c r="H305" s="271">
        <v>0</v>
      </c>
      <c r="I305" s="272">
        <v>0</v>
      </c>
    </row>
    <row r="306" spans="1:9" x14ac:dyDescent="0.3">
      <c r="A306" s="199" t="e">
        <f>IF(AND(E305&lt;&gt;"", A301&lt;&gt;""), A301+1, "")</f>
        <v>#REF!</v>
      </c>
      <c r="B306" s="419"/>
      <c r="C306" s="422"/>
      <c r="D306" s="197" t="s">
        <v>420</v>
      </c>
      <c r="E306" s="247">
        <v>0</v>
      </c>
      <c r="F306" s="248">
        <v>0</v>
      </c>
      <c r="G306" s="248">
        <v>0</v>
      </c>
      <c r="H306" s="273">
        <v>0</v>
      </c>
      <c r="I306" s="274">
        <v>0</v>
      </c>
    </row>
    <row r="307" spans="1:9" x14ac:dyDescent="0.3">
      <c r="A307" s="199" t="e">
        <f>IF(AND(E305&lt;&gt;"", A302&lt;&gt;""), A302+1, "")</f>
        <v>#REF!</v>
      </c>
      <c r="B307" s="419"/>
      <c r="C307" s="422"/>
      <c r="D307" s="197" t="s">
        <v>426</v>
      </c>
      <c r="E307" s="247">
        <v>0</v>
      </c>
      <c r="F307" s="248">
        <v>0</v>
      </c>
      <c r="G307" s="248">
        <v>0</v>
      </c>
      <c r="H307" s="273">
        <v>0</v>
      </c>
      <c r="I307" s="274">
        <v>0</v>
      </c>
    </row>
    <row r="308" spans="1:9" x14ac:dyDescent="0.3">
      <c r="A308" s="199" t="e">
        <f>IF(AND(E305&lt;&gt;"", A303&lt;&gt;""), A303+1, "")</f>
        <v>#REF!</v>
      </c>
      <c r="B308" s="419"/>
      <c r="C308" s="422"/>
      <c r="D308" s="197" t="s">
        <v>424</v>
      </c>
      <c r="E308" s="247">
        <v>0</v>
      </c>
      <c r="F308" s="248">
        <v>0</v>
      </c>
      <c r="G308" s="248">
        <v>0</v>
      </c>
      <c r="H308" s="273">
        <v>0</v>
      </c>
      <c r="I308" s="274">
        <v>0</v>
      </c>
    </row>
    <row r="309" spans="1:9" ht="15.75" customHeight="1" thickBot="1" x14ac:dyDescent="0.35">
      <c r="A309" s="199" t="e">
        <f>IF(AND(E305&lt;&gt;"", A304&lt;&gt;""), A304+1, "")</f>
        <v>#REF!</v>
      </c>
      <c r="B309" s="420"/>
      <c r="C309" s="404"/>
      <c r="D309" s="198" t="s">
        <v>450</v>
      </c>
      <c r="E309" s="251">
        <v>0</v>
      </c>
      <c r="F309" s="252">
        <v>0</v>
      </c>
      <c r="G309" s="252">
        <v>0</v>
      </c>
      <c r="H309" s="275">
        <v>0</v>
      </c>
      <c r="I309" s="276">
        <v>0</v>
      </c>
    </row>
    <row r="310" spans="1:9" x14ac:dyDescent="0.3">
      <c r="A310" s="199" t="e">
        <f>IF(AND(E310&lt;&gt;"", A305&lt;&gt;""), A305+1, "")</f>
        <v>#REF!</v>
      </c>
      <c r="B310" s="418">
        <v>46310</v>
      </c>
      <c r="C310" s="421">
        <f>B310</f>
        <v>46310</v>
      </c>
      <c r="D310" s="196" t="s">
        <v>418</v>
      </c>
      <c r="E310" s="243">
        <v>0</v>
      </c>
      <c r="F310" s="244">
        <v>0</v>
      </c>
      <c r="G310" s="244">
        <v>0</v>
      </c>
      <c r="H310" s="271">
        <v>0</v>
      </c>
      <c r="I310" s="272">
        <v>0</v>
      </c>
    </row>
    <row r="311" spans="1:9" x14ac:dyDescent="0.3">
      <c r="A311" s="199" t="e">
        <f>IF(AND(E310&lt;&gt;"", A306&lt;&gt;""), A306+1, "")</f>
        <v>#REF!</v>
      </c>
      <c r="B311" s="419"/>
      <c r="C311" s="422"/>
      <c r="D311" s="197" t="s">
        <v>420</v>
      </c>
      <c r="E311" s="247">
        <v>0</v>
      </c>
      <c r="F311" s="248">
        <v>0</v>
      </c>
      <c r="G311" s="248">
        <v>0</v>
      </c>
      <c r="H311" s="273">
        <v>0</v>
      </c>
      <c r="I311" s="274">
        <v>0</v>
      </c>
    </row>
    <row r="312" spans="1:9" x14ac:dyDescent="0.3">
      <c r="A312" s="199" t="e">
        <f>IF(AND(E310&lt;&gt;"", A307&lt;&gt;""), A307+1, "")</f>
        <v>#REF!</v>
      </c>
      <c r="B312" s="419"/>
      <c r="C312" s="422"/>
      <c r="D312" s="197" t="s">
        <v>426</v>
      </c>
      <c r="E312" s="247">
        <v>0</v>
      </c>
      <c r="F312" s="248">
        <v>0</v>
      </c>
      <c r="G312" s="248">
        <v>0</v>
      </c>
      <c r="H312" s="273">
        <v>0</v>
      </c>
      <c r="I312" s="274">
        <v>0</v>
      </c>
    </row>
    <row r="313" spans="1:9" x14ac:dyDescent="0.3">
      <c r="A313" s="199" t="e">
        <f>IF(AND(E310&lt;&gt;"", A308&lt;&gt;""), A308+1, "")</f>
        <v>#REF!</v>
      </c>
      <c r="B313" s="419"/>
      <c r="C313" s="422"/>
      <c r="D313" s="197" t="s">
        <v>424</v>
      </c>
      <c r="E313" s="247">
        <v>0</v>
      </c>
      <c r="F313" s="248">
        <v>0</v>
      </c>
      <c r="G313" s="248">
        <v>0</v>
      </c>
      <c r="H313" s="273">
        <v>0</v>
      </c>
      <c r="I313" s="274">
        <v>0</v>
      </c>
    </row>
    <row r="314" spans="1:9" ht="15.75" customHeight="1" thickBot="1" x14ac:dyDescent="0.35">
      <c r="A314" s="199" t="e">
        <f>IF(AND(E310&lt;&gt;"", A309&lt;&gt;""), A309+1, "")</f>
        <v>#REF!</v>
      </c>
      <c r="B314" s="420"/>
      <c r="C314" s="404"/>
      <c r="D314" s="198" t="s">
        <v>450</v>
      </c>
      <c r="E314" s="251">
        <v>0</v>
      </c>
      <c r="F314" s="252">
        <v>0</v>
      </c>
      <c r="G314" s="252">
        <v>0</v>
      </c>
      <c r="H314" s="275">
        <v>0</v>
      </c>
      <c r="I314" s="276">
        <v>0</v>
      </c>
    </row>
    <row r="315" spans="1:9" x14ac:dyDescent="0.3">
      <c r="A315" s="199" t="e">
        <f>IF(AND(E315&lt;&gt;"", A310&lt;&gt;""), A310+1, "")</f>
        <v>#REF!</v>
      </c>
      <c r="B315" s="418">
        <v>46311</v>
      </c>
      <c r="C315" s="421">
        <f>B315</f>
        <v>46311</v>
      </c>
      <c r="D315" s="196" t="s">
        <v>418</v>
      </c>
      <c r="E315" s="243">
        <v>0</v>
      </c>
      <c r="F315" s="244">
        <v>0</v>
      </c>
      <c r="G315" s="244">
        <v>0</v>
      </c>
      <c r="H315" s="271">
        <v>0</v>
      </c>
      <c r="I315" s="272">
        <v>0</v>
      </c>
    </row>
    <row r="316" spans="1:9" x14ac:dyDescent="0.3">
      <c r="A316" s="199" t="e">
        <f>IF(AND(E315&lt;&gt;"", A311&lt;&gt;""), A311+1, "")</f>
        <v>#REF!</v>
      </c>
      <c r="B316" s="419"/>
      <c r="C316" s="422"/>
      <c r="D316" s="197" t="s">
        <v>420</v>
      </c>
      <c r="E316" s="247">
        <v>0</v>
      </c>
      <c r="F316" s="248">
        <v>0</v>
      </c>
      <c r="G316" s="248">
        <v>0</v>
      </c>
      <c r="H316" s="273">
        <v>0</v>
      </c>
      <c r="I316" s="274">
        <v>0</v>
      </c>
    </row>
    <row r="317" spans="1:9" x14ac:dyDescent="0.3">
      <c r="A317" s="199" t="e">
        <f>IF(AND(E315&lt;&gt;"", A312&lt;&gt;""), A312+1, "")</f>
        <v>#REF!</v>
      </c>
      <c r="B317" s="419"/>
      <c r="C317" s="422"/>
      <c r="D317" s="197" t="s">
        <v>426</v>
      </c>
      <c r="E317" s="247">
        <v>0</v>
      </c>
      <c r="F317" s="248">
        <v>0</v>
      </c>
      <c r="G317" s="248">
        <v>0</v>
      </c>
      <c r="H317" s="273">
        <v>0</v>
      </c>
      <c r="I317" s="274">
        <v>0</v>
      </c>
    </row>
    <row r="318" spans="1:9" x14ac:dyDescent="0.3">
      <c r="A318" s="199" t="e">
        <f>IF(AND(E315&lt;&gt;"", A313&lt;&gt;""), A313+1, "")</f>
        <v>#REF!</v>
      </c>
      <c r="B318" s="419"/>
      <c r="C318" s="422"/>
      <c r="D318" s="197" t="s">
        <v>424</v>
      </c>
      <c r="E318" s="247">
        <v>0</v>
      </c>
      <c r="F318" s="248">
        <v>0</v>
      </c>
      <c r="G318" s="248">
        <v>0</v>
      </c>
      <c r="H318" s="273">
        <v>0</v>
      </c>
      <c r="I318" s="274">
        <v>0</v>
      </c>
    </row>
    <row r="319" spans="1:9" ht="15.75" customHeight="1" thickBot="1" x14ac:dyDescent="0.35">
      <c r="A319" s="199" t="e">
        <f>IF(AND(E315&lt;&gt;"", A314&lt;&gt;""), A314+1, "")</f>
        <v>#REF!</v>
      </c>
      <c r="B319" s="420"/>
      <c r="C319" s="404"/>
      <c r="D319" s="198" t="s">
        <v>450</v>
      </c>
      <c r="E319" s="251">
        <v>0</v>
      </c>
      <c r="F319" s="252">
        <v>0</v>
      </c>
      <c r="G319" s="252">
        <v>0</v>
      </c>
      <c r="H319" s="275">
        <v>0</v>
      </c>
      <c r="I319" s="276">
        <v>0</v>
      </c>
    </row>
    <row r="320" spans="1:9" x14ac:dyDescent="0.3">
      <c r="A320" s="199" t="e">
        <f>IF(AND(E320&lt;&gt;"", A315&lt;&gt;""), A315+1, "")</f>
        <v>#REF!</v>
      </c>
      <c r="B320" s="418">
        <v>46312</v>
      </c>
      <c r="C320" s="421">
        <f>B320</f>
        <v>46312</v>
      </c>
      <c r="D320" s="196" t="s">
        <v>418</v>
      </c>
      <c r="E320" s="243">
        <v>0</v>
      </c>
      <c r="F320" s="244">
        <v>0</v>
      </c>
      <c r="G320" s="244">
        <v>0</v>
      </c>
      <c r="H320" s="271">
        <v>0</v>
      </c>
      <c r="I320" s="272">
        <v>0</v>
      </c>
    </row>
    <row r="321" spans="1:9" x14ac:dyDescent="0.3">
      <c r="A321" s="199" t="e">
        <f>IF(AND(E320&lt;&gt;"", A316&lt;&gt;""), A316+1, "")</f>
        <v>#REF!</v>
      </c>
      <c r="B321" s="419"/>
      <c r="C321" s="422"/>
      <c r="D321" s="197" t="s">
        <v>420</v>
      </c>
      <c r="E321" s="247">
        <v>0</v>
      </c>
      <c r="F321" s="248">
        <v>0</v>
      </c>
      <c r="G321" s="248">
        <v>0</v>
      </c>
      <c r="H321" s="273">
        <v>0</v>
      </c>
      <c r="I321" s="274">
        <v>0</v>
      </c>
    </row>
    <row r="322" spans="1:9" x14ac:dyDescent="0.3">
      <c r="A322" s="199" t="e">
        <f>IF(AND(E320&lt;&gt;"", A317&lt;&gt;""), A317+1, "")</f>
        <v>#REF!</v>
      </c>
      <c r="B322" s="419"/>
      <c r="C322" s="422"/>
      <c r="D322" s="197" t="s">
        <v>426</v>
      </c>
      <c r="E322" s="247">
        <v>0</v>
      </c>
      <c r="F322" s="248">
        <v>0</v>
      </c>
      <c r="G322" s="248">
        <v>0</v>
      </c>
      <c r="H322" s="273">
        <v>0</v>
      </c>
      <c r="I322" s="274">
        <v>0</v>
      </c>
    </row>
    <row r="323" spans="1:9" x14ac:dyDescent="0.3">
      <c r="A323" s="199" t="e">
        <f>IF(AND(E320&lt;&gt;"", A318&lt;&gt;""), A318+1, "")</f>
        <v>#REF!</v>
      </c>
      <c r="B323" s="419"/>
      <c r="C323" s="422"/>
      <c r="D323" s="197" t="s">
        <v>424</v>
      </c>
      <c r="E323" s="247">
        <v>0</v>
      </c>
      <c r="F323" s="248">
        <v>0</v>
      </c>
      <c r="G323" s="248">
        <v>0</v>
      </c>
      <c r="H323" s="273">
        <v>0</v>
      </c>
      <c r="I323" s="274">
        <v>0</v>
      </c>
    </row>
    <row r="324" spans="1:9" ht="15.75" customHeight="1" thickBot="1" x14ac:dyDescent="0.35">
      <c r="A324" s="199" t="e">
        <f>IF(AND(E320&lt;&gt;"", A319&lt;&gt;""), A319+1, "")</f>
        <v>#REF!</v>
      </c>
      <c r="B324" s="420"/>
      <c r="C324" s="404"/>
      <c r="D324" s="198" t="s">
        <v>450</v>
      </c>
      <c r="E324" s="251">
        <v>0</v>
      </c>
      <c r="F324" s="252">
        <v>0</v>
      </c>
      <c r="G324" s="252">
        <v>0</v>
      </c>
      <c r="H324" s="275">
        <v>0</v>
      </c>
      <c r="I324" s="276">
        <v>0</v>
      </c>
    </row>
    <row r="325" spans="1:9" x14ac:dyDescent="0.3">
      <c r="A325" s="199" t="e">
        <f>IF(AND(E325&lt;&gt;"", A320&lt;&gt;""), A320+1, "")</f>
        <v>#REF!</v>
      </c>
      <c r="B325" s="418">
        <v>46313</v>
      </c>
      <c r="C325" s="421">
        <f>B325</f>
        <v>46313</v>
      </c>
      <c r="D325" s="196" t="s">
        <v>418</v>
      </c>
      <c r="E325" s="243">
        <v>0</v>
      </c>
      <c r="F325" s="244">
        <v>0</v>
      </c>
      <c r="G325" s="244">
        <v>0</v>
      </c>
      <c r="H325" s="271">
        <v>0</v>
      </c>
      <c r="I325" s="272">
        <v>0</v>
      </c>
    </row>
    <row r="326" spans="1:9" x14ac:dyDescent="0.3">
      <c r="A326" s="199" t="e">
        <f>IF(AND(E325&lt;&gt;"", A321&lt;&gt;""), A321+1, "")</f>
        <v>#REF!</v>
      </c>
      <c r="B326" s="419"/>
      <c r="C326" s="422"/>
      <c r="D326" s="197" t="s">
        <v>420</v>
      </c>
      <c r="E326" s="247">
        <v>0</v>
      </c>
      <c r="F326" s="248">
        <v>0</v>
      </c>
      <c r="G326" s="248">
        <v>0</v>
      </c>
      <c r="H326" s="273">
        <v>0</v>
      </c>
      <c r="I326" s="274">
        <v>0</v>
      </c>
    </row>
    <row r="327" spans="1:9" x14ac:dyDescent="0.3">
      <c r="A327" s="199" t="e">
        <f>IF(AND(E325&lt;&gt;"", A322&lt;&gt;""), A322+1, "")</f>
        <v>#REF!</v>
      </c>
      <c r="B327" s="419"/>
      <c r="C327" s="422"/>
      <c r="D327" s="197" t="s">
        <v>426</v>
      </c>
      <c r="E327" s="247">
        <v>0</v>
      </c>
      <c r="F327" s="248">
        <v>0</v>
      </c>
      <c r="G327" s="248">
        <v>0</v>
      </c>
      <c r="H327" s="273">
        <v>0</v>
      </c>
      <c r="I327" s="274">
        <v>0</v>
      </c>
    </row>
    <row r="328" spans="1:9" x14ac:dyDescent="0.3">
      <c r="A328" s="199" t="e">
        <f>IF(AND(E325&lt;&gt;"", A323&lt;&gt;""), A323+1, "")</f>
        <v>#REF!</v>
      </c>
      <c r="B328" s="419"/>
      <c r="C328" s="422"/>
      <c r="D328" s="197" t="s">
        <v>424</v>
      </c>
      <c r="E328" s="247">
        <v>0</v>
      </c>
      <c r="F328" s="248">
        <v>0</v>
      </c>
      <c r="G328" s="248">
        <v>0</v>
      </c>
      <c r="H328" s="273">
        <v>0</v>
      </c>
      <c r="I328" s="274">
        <v>0</v>
      </c>
    </row>
    <row r="329" spans="1:9" ht="15.75" customHeight="1" thickBot="1" x14ac:dyDescent="0.35">
      <c r="A329" s="199" t="e">
        <f>IF(AND(E325&lt;&gt;"", A324&lt;&gt;""), A324+1, "")</f>
        <v>#REF!</v>
      </c>
      <c r="B329" s="420"/>
      <c r="C329" s="404"/>
      <c r="D329" s="198" t="s">
        <v>450</v>
      </c>
      <c r="E329" s="251">
        <v>0</v>
      </c>
      <c r="F329" s="252">
        <v>0</v>
      </c>
      <c r="G329" s="252">
        <v>0</v>
      </c>
      <c r="H329" s="275">
        <v>0</v>
      </c>
      <c r="I329" s="276">
        <v>0</v>
      </c>
    </row>
    <row r="330" spans="1:9" x14ac:dyDescent="0.3">
      <c r="A330" s="199" t="e">
        <f>IF(AND(E330&lt;&gt;"", A325&lt;&gt;""), A325+1, "")</f>
        <v>#REF!</v>
      </c>
      <c r="B330" s="418">
        <v>46314</v>
      </c>
      <c r="C330" s="421">
        <f>B330</f>
        <v>46314</v>
      </c>
      <c r="D330" s="196" t="s">
        <v>418</v>
      </c>
      <c r="E330" s="243">
        <v>0</v>
      </c>
      <c r="F330" s="244">
        <v>0</v>
      </c>
      <c r="G330" s="244">
        <v>0</v>
      </c>
      <c r="H330" s="271">
        <v>0</v>
      </c>
      <c r="I330" s="272">
        <v>0</v>
      </c>
    </row>
    <row r="331" spans="1:9" x14ac:dyDescent="0.3">
      <c r="A331" s="199" t="e">
        <f>IF(AND(E330&lt;&gt;"", A326&lt;&gt;""), A326+1, "")</f>
        <v>#REF!</v>
      </c>
      <c r="B331" s="419"/>
      <c r="C331" s="422"/>
      <c r="D331" s="197" t="s">
        <v>420</v>
      </c>
      <c r="E331" s="247">
        <v>0</v>
      </c>
      <c r="F331" s="248">
        <v>0</v>
      </c>
      <c r="G331" s="248">
        <v>0</v>
      </c>
      <c r="H331" s="273">
        <v>0</v>
      </c>
      <c r="I331" s="274">
        <v>0</v>
      </c>
    </row>
    <row r="332" spans="1:9" x14ac:dyDescent="0.3">
      <c r="A332" s="199" t="e">
        <f>IF(AND(E330&lt;&gt;"", A327&lt;&gt;""), A327+1, "")</f>
        <v>#REF!</v>
      </c>
      <c r="B332" s="419"/>
      <c r="C332" s="422"/>
      <c r="D332" s="197" t="s">
        <v>426</v>
      </c>
      <c r="E332" s="247">
        <v>0</v>
      </c>
      <c r="F332" s="248">
        <v>0</v>
      </c>
      <c r="G332" s="248">
        <v>0</v>
      </c>
      <c r="H332" s="273">
        <v>0</v>
      </c>
      <c r="I332" s="274">
        <v>0</v>
      </c>
    </row>
    <row r="333" spans="1:9" x14ac:dyDescent="0.3">
      <c r="A333" s="199" t="e">
        <f>IF(AND(E330&lt;&gt;"", A328&lt;&gt;""), A328+1, "")</f>
        <v>#REF!</v>
      </c>
      <c r="B333" s="419"/>
      <c r="C333" s="422"/>
      <c r="D333" s="197" t="s">
        <v>424</v>
      </c>
      <c r="E333" s="247">
        <v>0</v>
      </c>
      <c r="F333" s="248">
        <v>0</v>
      </c>
      <c r="G333" s="248">
        <v>0</v>
      </c>
      <c r="H333" s="273">
        <v>0</v>
      </c>
      <c r="I333" s="274">
        <v>0</v>
      </c>
    </row>
    <row r="334" spans="1:9" ht="15.75" customHeight="1" thickBot="1" x14ac:dyDescent="0.35">
      <c r="A334" s="199" t="e">
        <f>IF(AND(E330&lt;&gt;"", A329&lt;&gt;""), A329+1, "")</f>
        <v>#REF!</v>
      </c>
      <c r="B334" s="420"/>
      <c r="C334" s="404"/>
      <c r="D334" s="198" t="s">
        <v>450</v>
      </c>
      <c r="E334" s="251">
        <v>0</v>
      </c>
      <c r="F334" s="252">
        <v>0</v>
      </c>
      <c r="G334" s="252">
        <v>0</v>
      </c>
      <c r="H334" s="275">
        <v>0</v>
      </c>
      <c r="I334" s="276">
        <v>0</v>
      </c>
    </row>
    <row r="335" spans="1:9" x14ac:dyDescent="0.3">
      <c r="A335" s="199" t="e">
        <f>IF(AND(E335&lt;&gt;"", A330&lt;&gt;""), A330+1, "")</f>
        <v>#REF!</v>
      </c>
      <c r="B335" s="418">
        <v>46315</v>
      </c>
      <c r="C335" s="421">
        <f>B335</f>
        <v>46315</v>
      </c>
      <c r="D335" s="196" t="s">
        <v>418</v>
      </c>
      <c r="E335" s="243">
        <v>0</v>
      </c>
      <c r="F335" s="244">
        <v>0</v>
      </c>
      <c r="G335" s="244">
        <v>0</v>
      </c>
      <c r="H335" s="271">
        <v>0</v>
      </c>
      <c r="I335" s="272">
        <v>0</v>
      </c>
    </row>
    <row r="336" spans="1:9" x14ac:dyDescent="0.3">
      <c r="A336" s="199" t="e">
        <f>IF(AND(E335&lt;&gt;"", A331&lt;&gt;""), A331+1, "")</f>
        <v>#REF!</v>
      </c>
      <c r="B336" s="419"/>
      <c r="C336" s="422"/>
      <c r="D336" s="197" t="s">
        <v>420</v>
      </c>
      <c r="E336" s="247">
        <v>0</v>
      </c>
      <c r="F336" s="248">
        <v>0</v>
      </c>
      <c r="G336" s="248">
        <v>0</v>
      </c>
      <c r="H336" s="273">
        <v>0</v>
      </c>
      <c r="I336" s="274">
        <v>0</v>
      </c>
    </row>
    <row r="337" spans="1:9" x14ac:dyDescent="0.3">
      <c r="A337" s="199" t="e">
        <f>IF(AND(E335&lt;&gt;"", A332&lt;&gt;""), A332+1, "")</f>
        <v>#REF!</v>
      </c>
      <c r="B337" s="419"/>
      <c r="C337" s="422"/>
      <c r="D337" s="197" t="s">
        <v>426</v>
      </c>
      <c r="E337" s="247">
        <v>0</v>
      </c>
      <c r="F337" s="248">
        <v>0</v>
      </c>
      <c r="G337" s="248">
        <v>0</v>
      </c>
      <c r="H337" s="273">
        <v>0</v>
      </c>
      <c r="I337" s="274">
        <v>0</v>
      </c>
    </row>
    <row r="338" spans="1:9" x14ac:dyDescent="0.3">
      <c r="A338" s="199" t="e">
        <f>IF(AND(E335&lt;&gt;"", A333&lt;&gt;""), A333+1, "")</f>
        <v>#REF!</v>
      </c>
      <c r="B338" s="419"/>
      <c r="C338" s="422"/>
      <c r="D338" s="197" t="s">
        <v>424</v>
      </c>
      <c r="E338" s="247">
        <v>0</v>
      </c>
      <c r="F338" s="248">
        <v>0</v>
      </c>
      <c r="G338" s="248">
        <v>0</v>
      </c>
      <c r="H338" s="273">
        <v>0</v>
      </c>
      <c r="I338" s="274">
        <v>0</v>
      </c>
    </row>
    <row r="339" spans="1:9" ht="15.75" customHeight="1" thickBot="1" x14ac:dyDescent="0.35">
      <c r="A339" s="199" t="e">
        <f>IF(AND(E335&lt;&gt;"", A334&lt;&gt;""), A334+1, "")</f>
        <v>#REF!</v>
      </c>
      <c r="B339" s="420"/>
      <c r="C339" s="404"/>
      <c r="D339" s="198" t="s">
        <v>450</v>
      </c>
      <c r="E339" s="251">
        <v>0</v>
      </c>
      <c r="F339" s="252">
        <v>0</v>
      </c>
      <c r="G339" s="252">
        <v>0</v>
      </c>
      <c r="H339" s="275">
        <v>0</v>
      </c>
      <c r="I339" s="276">
        <v>0</v>
      </c>
    </row>
    <row r="340" spans="1:9" x14ac:dyDescent="0.3">
      <c r="A340" s="199" t="e">
        <f>IF(AND(E340&lt;&gt;"", A335&lt;&gt;""), A335+1, "")</f>
        <v>#REF!</v>
      </c>
      <c r="B340" s="418">
        <v>46316</v>
      </c>
      <c r="C340" s="421">
        <f>B340</f>
        <v>46316</v>
      </c>
      <c r="D340" s="196" t="s">
        <v>418</v>
      </c>
      <c r="E340" s="243">
        <v>0</v>
      </c>
      <c r="F340" s="244">
        <v>0</v>
      </c>
      <c r="G340" s="244">
        <v>0</v>
      </c>
      <c r="H340" s="271">
        <v>0</v>
      </c>
      <c r="I340" s="272">
        <v>0</v>
      </c>
    </row>
    <row r="341" spans="1:9" x14ac:dyDescent="0.3">
      <c r="A341" s="199" t="e">
        <f>IF(AND(E340&lt;&gt;"", A336&lt;&gt;""), A336+1, "")</f>
        <v>#REF!</v>
      </c>
      <c r="B341" s="419"/>
      <c r="C341" s="422"/>
      <c r="D341" s="197" t="s">
        <v>420</v>
      </c>
      <c r="E341" s="247">
        <v>0</v>
      </c>
      <c r="F341" s="248">
        <v>0</v>
      </c>
      <c r="G341" s="248">
        <v>0</v>
      </c>
      <c r="H341" s="273">
        <v>0</v>
      </c>
      <c r="I341" s="274">
        <v>0</v>
      </c>
    </row>
    <row r="342" spans="1:9" x14ac:dyDescent="0.3">
      <c r="A342" s="199" t="e">
        <f>IF(AND(E340&lt;&gt;"", A337&lt;&gt;""), A337+1, "")</f>
        <v>#REF!</v>
      </c>
      <c r="B342" s="419"/>
      <c r="C342" s="422"/>
      <c r="D342" s="197" t="s">
        <v>426</v>
      </c>
      <c r="E342" s="247">
        <v>0</v>
      </c>
      <c r="F342" s="248">
        <v>0</v>
      </c>
      <c r="G342" s="248">
        <v>0</v>
      </c>
      <c r="H342" s="273">
        <v>0</v>
      </c>
      <c r="I342" s="274">
        <v>0</v>
      </c>
    </row>
    <row r="343" spans="1:9" x14ac:dyDescent="0.3">
      <c r="A343" s="199" t="e">
        <f>IF(AND(E340&lt;&gt;"", A338&lt;&gt;""), A338+1, "")</f>
        <v>#REF!</v>
      </c>
      <c r="B343" s="419"/>
      <c r="C343" s="422"/>
      <c r="D343" s="197" t="s">
        <v>424</v>
      </c>
      <c r="E343" s="247">
        <v>0</v>
      </c>
      <c r="F343" s="248">
        <v>0</v>
      </c>
      <c r="G343" s="248">
        <v>0</v>
      </c>
      <c r="H343" s="273">
        <v>0</v>
      </c>
      <c r="I343" s="274">
        <v>0</v>
      </c>
    </row>
    <row r="344" spans="1:9" ht="15.75" customHeight="1" thickBot="1" x14ac:dyDescent="0.35">
      <c r="A344" s="199" t="e">
        <f>IF(AND(E340&lt;&gt;"", A339&lt;&gt;""), A339+1, "")</f>
        <v>#REF!</v>
      </c>
      <c r="B344" s="420"/>
      <c r="C344" s="404"/>
      <c r="D344" s="198" t="s">
        <v>450</v>
      </c>
      <c r="E344" s="251">
        <v>0</v>
      </c>
      <c r="F344" s="252">
        <v>0</v>
      </c>
      <c r="G344" s="252">
        <v>0</v>
      </c>
      <c r="H344" s="275">
        <v>0</v>
      </c>
      <c r="I344" s="276">
        <v>0</v>
      </c>
    </row>
    <row r="345" spans="1:9" x14ac:dyDescent="0.3">
      <c r="A345" s="199" t="e">
        <f>IF(AND(E345&lt;&gt;"", A340&lt;&gt;""), A340+1, "")</f>
        <v>#REF!</v>
      </c>
      <c r="B345" s="418">
        <v>46317</v>
      </c>
      <c r="C345" s="421">
        <f>B345</f>
        <v>46317</v>
      </c>
      <c r="D345" s="196" t="s">
        <v>418</v>
      </c>
      <c r="E345" s="243">
        <v>0</v>
      </c>
      <c r="F345" s="244">
        <v>0</v>
      </c>
      <c r="G345" s="244">
        <v>0</v>
      </c>
      <c r="H345" s="271">
        <v>0</v>
      </c>
      <c r="I345" s="272">
        <v>0</v>
      </c>
    </row>
    <row r="346" spans="1:9" x14ac:dyDescent="0.3">
      <c r="A346" s="199" t="e">
        <f>IF(AND(E345&lt;&gt;"", A341&lt;&gt;""), A341+1, "")</f>
        <v>#REF!</v>
      </c>
      <c r="B346" s="419"/>
      <c r="C346" s="422"/>
      <c r="D346" s="197" t="s">
        <v>420</v>
      </c>
      <c r="E346" s="247">
        <v>0</v>
      </c>
      <c r="F346" s="248">
        <v>0</v>
      </c>
      <c r="G346" s="248">
        <v>0</v>
      </c>
      <c r="H346" s="273">
        <v>0</v>
      </c>
      <c r="I346" s="274">
        <v>0</v>
      </c>
    </row>
    <row r="347" spans="1:9" x14ac:dyDescent="0.3">
      <c r="A347" s="199" t="e">
        <f>IF(AND(E345&lt;&gt;"", A342&lt;&gt;""), A342+1, "")</f>
        <v>#REF!</v>
      </c>
      <c r="B347" s="419"/>
      <c r="C347" s="422"/>
      <c r="D347" s="197" t="s">
        <v>426</v>
      </c>
      <c r="E347" s="247">
        <v>0</v>
      </c>
      <c r="F347" s="248">
        <v>0</v>
      </c>
      <c r="G347" s="248">
        <v>0</v>
      </c>
      <c r="H347" s="273">
        <v>0</v>
      </c>
      <c r="I347" s="274">
        <v>0</v>
      </c>
    </row>
    <row r="348" spans="1:9" x14ac:dyDescent="0.3">
      <c r="A348" s="199" t="e">
        <f>IF(AND(E345&lt;&gt;"", A343&lt;&gt;""), A343+1, "")</f>
        <v>#REF!</v>
      </c>
      <c r="B348" s="419"/>
      <c r="C348" s="422"/>
      <c r="D348" s="197" t="s">
        <v>424</v>
      </c>
      <c r="E348" s="247">
        <v>0</v>
      </c>
      <c r="F348" s="248">
        <v>0</v>
      </c>
      <c r="G348" s="248">
        <v>0</v>
      </c>
      <c r="H348" s="273">
        <v>0</v>
      </c>
      <c r="I348" s="274">
        <v>0</v>
      </c>
    </row>
    <row r="349" spans="1:9" ht="15.75" customHeight="1" thickBot="1" x14ac:dyDescent="0.35">
      <c r="A349" s="199" t="e">
        <f>IF(AND(E345&lt;&gt;"", A344&lt;&gt;""), A344+1, "")</f>
        <v>#REF!</v>
      </c>
      <c r="B349" s="420"/>
      <c r="C349" s="404"/>
      <c r="D349" s="198" t="s">
        <v>450</v>
      </c>
      <c r="E349" s="251">
        <v>0</v>
      </c>
      <c r="F349" s="252">
        <v>0</v>
      </c>
      <c r="G349" s="252">
        <v>0</v>
      </c>
      <c r="H349" s="275">
        <v>0</v>
      </c>
      <c r="I349" s="276">
        <v>0</v>
      </c>
    </row>
    <row r="350" spans="1:9" x14ac:dyDescent="0.3">
      <c r="A350" s="199" t="e">
        <f>IF(AND(E350&lt;&gt;"", A345&lt;&gt;""), A345+1, "")</f>
        <v>#REF!</v>
      </c>
      <c r="B350" s="418">
        <v>46318</v>
      </c>
      <c r="C350" s="421">
        <f>B350</f>
        <v>46318</v>
      </c>
      <c r="D350" s="196" t="s">
        <v>418</v>
      </c>
      <c r="E350" s="243">
        <v>0</v>
      </c>
      <c r="F350" s="244">
        <v>0</v>
      </c>
      <c r="G350" s="244">
        <v>0</v>
      </c>
      <c r="H350" s="271">
        <v>0</v>
      </c>
      <c r="I350" s="272">
        <v>0</v>
      </c>
    </row>
    <row r="351" spans="1:9" x14ac:dyDescent="0.3">
      <c r="A351" s="199" t="e">
        <f>IF(AND(E350&lt;&gt;"", A346&lt;&gt;""), A346+1, "")</f>
        <v>#REF!</v>
      </c>
      <c r="B351" s="419"/>
      <c r="C351" s="422"/>
      <c r="D351" s="197" t="s">
        <v>420</v>
      </c>
      <c r="E351" s="247">
        <v>0</v>
      </c>
      <c r="F351" s="248">
        <v>0</v>
      </c>
      <c r="G351" s="248">
        <v>0</v>
      </c>
      <c r="H351" s="273">
        <v>0</v>
      </c>
      <c r="I351" s="274">
        <v>0</v>
      </c>
    </row>
    <row r="352" spans="1:9" x14ac:dyDescent="0.3">
      <c r="A352" s="199" t="e">
        <f>IF(AND(E350&lt;&gt;"", A347&lt;&gt;""), A347+1, "")</f>
        <v>#REF!</v>
      </c>
      <c r="B352" s="419"/>
      <c r="C352" s="422"/>
      <c r="D352" s="197" t="s">
        <v>426</v>
      </c>
      <c r="E352" s="247">
        <v>0</v>
      </c>
      <c r="F352" s="248">
        <v>0</v>
      </c>
      <c r="G352" s="248">
        <v>0</v>
      </c>
      <c r="H352" s="273">
        <v>0</v>
      </c>
      <c r="I352" s="274">
        <v>0</v>
      </c>
    </row>
    <row r="353" spans="1:9" x14ac:dyDescent="0.3">
      <c r="A353" s="199" t="e">
        <f>IF(AND(E350&lt;&gt;"", A348&lt;&gt;""), A348+1, "")</f>
        <v>#REF!</v>
      </c>
      <c r="B353" s="419"/>
      <c r="C353" s="422"/>
      <c r="D353" s="197" t="s">
        <v>424</v>
      </c>
      <c r="E353" s="247">
        <v>0</v>
      </c>
      <c r="F353" s="248">
        <v>0</v>
      </c>
      <c r="G353" s="248">
        <v>0</v>
      </c>
      <c r="H353" s="273">
        <v>0</v>
      </c>
      <c r="I353" s="274">
        <v>0</v>
      </c>
    </row>
    <row r="354" spans="1:9" ht="15.75" customHeight="1" thickBot="1" x14ac:dyDescent="0.35">
      <c r="A354" s="199" t="e">
        <f>IF(AND(E350&lt;&gt;"", A349&lt;&gt;""), A349+1, "")</f>
        <v>#REF!</v>
      </c>
      <c r="B354" s="420"/>
      <c r="C354" s="404"/>
      <c r="D354" s="198" t="s">
        <v>450</v>
      </c>
      <c r="E354" s="251">
        <v>0</v>
      </c>
      <c r="F354" s="252">
        <v>0</v>
      </c>
      <c r="G354" s="252">
        <v>0</v>
      </c>
      <c r="H354" s="275">
        <v>0</v>
      </c>
      <c r="I354" s="276">
        <v>0</v>
      </c>
    </row>
    <row r="355" spans="1:9" x14ac:dyDescent="0.3">
      <c r="A355" s="199" t="e">
        <f>IF(AND(E355&lt;&gt;"", A350&lt;&gt;""), A350+1, "")</f>
        <v>#REF!</v>
      </c>
      <c r="B355" s="418">
        <v>46319</v>
      </c>
      <c r="C355" s="421">
        <f>B355</f>
        <v>46319</v>
      </c>
      <c r="D355" s="196" t="s">
        <v>418</v>
      </c>
      <c r="E355" s="243">
        <v>0</v>
      </c>
      <c r="F355" s="244">
        <v>0</v>
      </c>
      <c r="G355" s="244">
        <v>0</v>
      </c>
      <c r="H355" s="271">
        <v>0</v>
      </c>
      <c r="I355" s="272">
        <v>0</v>
      </c>
    </row>
    <row r="356" spans="1:9" x14ac:dyDescent="0.3">
      <c r="A356" s="199" t="e">
        <f>IF(AND(E355&lt;&gt;"", A351&lt;&gt;""), A351+1, "")</f>
        <v>#REF!</v>
      </c>
      <c r="B356" s="419"/>
      <c r="C356" s="422"/>
      <c r="D356" s="197" t="s">
        <v>420</v>
      </c>
      <c r="E356" s="247">
        <v>0</v>
      </c>
      <c r="F356" s="248">
        <v>0</v>
      </c>
      <c r="G356" s="248">
        <v>0</v>
      </c>
      <c r="H356" s="273">
        <v>0</v>
      </c>
      <c r="I356" s="274">
        <v>0</v>
      </c>
    </row>
    <row r="357" spans="1:9" x14ac:dyDescent="0.3">
      <c r="A357" s="199" t="e">
        <f>IF(AND(E355&lt;&gt;"", A352&lt;&gt;""), A352+1, "")</f>
        <v>#REF!</v>
      </c>
      <c r="B357" s="419"/>
      <c r="C357" s="422"/>
      <c r="D357" s="197" t="s">
        <v>426</v>
      </c>
      <c r="E357" s="247">
        <v>0</v>
      </c>
      <c r="F357" s="248">
        <v>0</v>
      </c>
      <c r="G357" s="248">
        <v>0</v>
      </c>
      <c r="H357" s="273">
        <v>0</v>
      </c>
      <c r="I357" s="274">
        <v>0</v>
      </c>
    </row>
    <row r="358" spans="1:9" x14ac:dyDescent="0.3">
      <c r="A358" s="199" t="e">
        <f>IF(AND(E355&lt;&gt;"", A353&lt;&gt;""), A353+1, "")</f>
        <v>#REF!</v>
      </c>
      <c r="B358" s="419"/>
      <c r="C358" s="422"/>
      <c r="D358" s="197" t="s">
        <v>424</v>
      </c>
      <c r="E358" s="247">
        <v>0</v>
      </c>
      <c r="F358" s="248">
        <v>0</v>
      </c>
      <c r="G358" s="248">
        <v>0</v>
      </c>
      <c r="H358" s="273">
        <v>0</v>
      </c>
      <c r="I358" s="274">
        <v>0</v>
      </c>
    </row>
    <row r="359" spans="1:9" ht="15.75" customHeight="1" thickBot="1" x14ac:dyDescent="0.35">
      <c r="A359" s="199" t="e">
        <f>IF(AND(E355&lt;&gt;"", A354&lt;&gt;""), A354+1, "")</f>
        <v>#REF!</v>
      </c>
      <c r="B359" s="420"/>
      <c r="C359" s="404"/>
      <c r="D359" s="198" t="s">
        <v>450</v>
      </c>
      <c r="E359" s="251">
        <v>0</v>
      </c>
      <c r="F359" s="252">
        <v>0</v>
      </c>
      <c r="G359" s="252">
        <v>0</v>
      </c>
      <c r="H359" s="275">
        <v>0</v>
      </c>
      <c r="I359" s="276">
        <v>0</v>
      </c>
    </row>
    <row r="360" spans="1:9" x14ac:dyDescent="0.3">
      <c r="A360" s="199" t="e">
        <f>IF(AND(E360&lt;&gt;"", A355&lt;&gt;""), A355+1, "")</f>
        <v>#REF!</v>
      </c>
      <c r="B360" s="418">
        <v>46320</v>
      </c>
      <c r="C360" s="421">
        <f>B360</f>
        <v>46320</v>
      </c>
      <c r="D360" s="196" t="s">
        <v>418</v>
      </c>
      <c r="E360" s="243">
        <v>0</v>
      </c>
      <c r="F360" s="244">
        <v>0</v>
      </c>
      <c r="G360" s="244">
        <v>0</v>
      </c>
      <c r="H360" s="271">
        <v>0</v>
      </c>
      <c r="I360" s="272">
        <v>0</v>
      </c>
    </row>
    <row r="361" spans="1:9" x14ac:dyDescent="0.3">
      <c r="A361" s="199" t="e">
        <f>IF(AND(E360&lt;&gt;"", A356&lt;&gt;""), A356+1, "")</f>
        <v>#REF!</v>
      </c>
      <c r="B361" s="419"/>
      <c r="C361" s="422"/>
      <c r="D361" s="197" t="s">
        <v>420</v>
      </c>
      <c r="E361" s="247">
        <v>0</v>
      </c>
      <c r="F361" s="248">
        <v>0</v>
      </c>
      <c r="G361" s="248">
        <v>0</v>
      </c>
      <c r="H361" s="273">
        <v>0</v>
      </c>
      <c r="I361" s="274">
        <v>0</v>
      </c>
    </row>
    <row r="362" spans="1:9" x14ac:dyDescent="0.3">
      <c r="A362" s="199" t="e">
        <f>IF(AND(E360&lt;&gt;"", A357&lt;&gt;""), A357+1, "")</f>
        <v>#REF!</v>
      </c>
      <c r="B362" s="419"/>
      <c r="C362" s="422"/>
      <c r="D362" s="197" t="s">
        <v>426</v>
      </c>
      <c r="E362" s="247">
        <v>0</v>
      </c>
      <c r="F362" s="248">
        <v>0</v>
      </c>
      <c r="G362" s="248">
        <v>0</v>
      </c>
      <c r="H362" s="273">
        <v>0</v>
      </c>
      <c r="I362" s="274">
        <v>0</v>
      </c>
    </row>
    <row r="363" spans="1:9" x14ac:dyDescent="0.3">
      <c r="A363" s="199" t="e">
        <f>IF(AND(E360&lt;&gt;"", A358&lt;&gt;""), A358+1, "")</f>
        <v>#REF!</v>
      </c>
      <c r="B363" s="419"/>
      <c r="C363" s="422"/>
      <c r="D363" s="197" t="s">
        <v>424</v>
      </c>
      <c r="E363" s="247">
        <v>0</v>
      </c>
      <c r="F363" s="248">
        <v>0</v>
      </c>
      <c r="G363" s="248">
        <v>0</v>
      </c>
      <c r="H363" s="273">
        <v>0</v>
      </c>
      <c r="I363" s="274">
        <v>0</v>
      </c>
    </row>
    <row r="364" spans="1:9" ht="15.75" customHeight="1" thickBot="1" x14ac:dyDescent="0.35">
      <c r="A364" s="199" t="e">
        <f>IF(AND(E360&lt;&gt;"", A359&lt;&gt;""), A359+1, "")</f>
        <v>#REF!</v>
      </c>
      <c r="B364" s="420"/>
      <c r="C364" s="404"/>
      <c r="D364" s="198" t="s">
        <v>450</v>
      </c>
      <c r="E364" s="251">
        <v>0</v>
      </c>
      <c r="F364" s="252">
        <v>0</v>
      </c>
      <c r="G364" s="252">
        <v>0</v>
      </c>
      <c r="H364" s="275">
        <v>0</v>
      </c>
      <c r="I364" s="276">
        <v>0</v>
      </c>
    </row>
    <row r="365" spans="1:9" x14ac:dyDescent="0.3">
      <c r="A365" s="199" t="e">
        <f>IF(AND(E365&lt;&gt;"", A360&lt;&gt;""), A360+1, "")</f>
        <v>#REF!</v>
      </c>
      <c r="B365" s="418">
        <v>46321</v>
      </c>
      <c r="C365" s="421">
        <f>B365</f>
        <v>46321</v>
      </c>
      <c r="D365" s="196" t="s">
        <v>418</v>
      </c>
      <c r="E365" s="243">
        <v>0</v>
      </c>
      <c r="F365" s="244">
        <v>0</v>
      </c>
      <c r="G365" s="244">
        <v>0</v>
      </c>
      <c r="H365" s="271">
        <v>0</v>
      </c>
      <c r="I365" s="272">
        <v>0</v>
      </c>
    </row>
    <row r="366" spans="1:9" x14ac:dyDescent="0.3">
      <c r="A366" s="199" t="e">
        <f>IF(AND(E365&lt;&gt;"", A361&lt;&gt;""), A361+1, "")</f>
        <v>#REF!</v>
      </c>
      <c r="B366" s="419"/>
      <c r="C366" s="422"/>
      <c r="D366" s="197" t="s">
        <v>420</v>
      </c>
      <c r="E366" s="247">
        <v>0</v>
      </c>
      <c r="F366" s="248">
        <v>0</v>
      </c>
      <c r="G366" s="248">
        <v>0</v>
      </c>
      <c r="H366" s="273">
        <v>0</v>
      </c>
      <c r="I366" s="274">
        <v>0</v>
      </c>
    </row>
    <row r="367" spans="1:9" x14ac:dyDescent="0.3">
      <c r="A367" s="199" t="e">
        <f>IF(AND(E365&lt;&gt;"", A362&lt;&gt;""), A362+1, "")</f>
        <v>#REF!</v>
      </c>
      <c r="B367" s="419"/>
      <c r="C367" s="422"/>
      <c r="D367" s="197" t="s">
        <v>426</v>
      </c>
      <c r="E367" s="247">
        <v>0</v>
      </c>
      <c r="F367" s="248">
        <v>0</v>
      </c>
      <c r="G367" s="248">
        <v>0</v>
      </c>
      <c r="H367" s="273">
        <v>0</v>
      </c>
      <c r="I367" s="274">
        <v>0</v>
      </c>
    </row>
    <row r="368" spans="1:9" x14ac:dyDescent="0.3">
      <c r="A368" s="199" t="e">
        <f>IF(AND(E365&lt;&gt;"", A363&lt;&gt;""), A363+1, "")</f>
        <v>#REF!</v>
      </c>
      <c r="B368" s="419"/>
      <c r="C368" s="422"/>
      <c r="D368" s="197" t="s">
        <v>424</v>
      </c>
      <c r="E368" s="247">
        <v>0</v>
      </c>
      <c r="F368" s="248">
        <v>0</v>
      </c>
      <c r="G368" s="248">
        <v>0</v>
      </c>
      <c r="H368" s="273">
        <v>0</v>
      </c>
      <c r="I368" s="274">
        <v>0</v>
      </c>
    </row>
    <row r="369" spans="1:9" ht="15.75" customHeight="1" thickBot="1" x14ac:dyDescent="0.35">
      <c r="A369" s="199" t="e">
        <f>IF(AND(E365&lt;&gt;"", A364&lt;&gt;""), A364+1, "")</f>
        <v>#REF!</v>
      </c>
      <c r="B369" s="420"/>
      <c r="C369" s="404"/>
      <c r="D369" s="198" t="s">
        <v>450</v>
      </c>
      <c r="E369" s="251">
        <v>0</v>
      </c>
      <c r="F369" s="252">
        <v>0</v>
      </c>
      <c r="G369" s="252">
        <v>0</v>
      </c>
      <c r="H369" s="275">
        <v>0</v>
      </c>
      <c r="I369" s="276">
        <v>0</v>
      </c>
    </row>
    <row r="370" spans="1:9" x14ac:dyDescent="0.3">
      <c r="A370" s="199" t="e">
        <f>IF(AND(E370&lt;&gt;"", A365&lt;&gt;""), A365+1, "")</f>
        <v>#REF!</v>
      </c>
      <c r="B370" s="418">
        <v>46322</v>
      </c>
      <c r="C370" s="421">
        <f>B370</f>
        <v>46322</v>
      </c>
      <c r="D370" s="196" t="s">
        <v>418</v>
      </c>
      <c r="E370" s="243">
        <v>0</v>
      </c>
      <c r="F370" s="244">
        <v>0</v>
      </c>
      <c r="G370" s="244">
        <v>0</v>
      </c>
      <c r="H370" s="271">
        <v>0</v>
      </c>
      <c r="I370" s="272">
        <v>0</v>
      </c>
    </row>
    <row r="371" spans="1:9" x14ac:dyDescent="0.3">
      <c r="A371" s="199" t="e">
        <f>IF(AND(E370&lt;&gt;"", A366&lt;&gt;""), A366+1, "")</f>
        <v>#REF!</v>
      </c>
      <c r="B371" s="419"/>
      <c r="C371" s="422"/>
      <c r="D371" s="197" t="s">
        <v>420</v>
      </c>
      <c r="E371" s="247">
        <v>0</v>
      </c>
      <c r="F371" s="248">
        <v>0</v>
      </c>
      <c r="G371" s="248">
        <v>0</v>
      </c>
      <c r="H371" s="273">
        <v>0</v>
      </c>
      <c r="I371" s="274">
        <v>0</v>
      </c>
    </row>
    <row r="372" spans="1:9" x14ac:dyDescent="0.3">
      <c r="A372" s="199" t="e">
        <f>IF(AND(E370&lt;&gt;"", A367&lt;&gt;""), A367+1, "")</f>
        <v>#REF!</v>
      </c>
      <c r="B372" s="419"/>
      <c r="C372" s="422"/>
      <c r="D372" s="197" t="s">
        <v>426</v>
      </c>
      <c r="E372" s="247">
        <v>0</v>
      </c>
      <c r="F372" s="248">
        <v>0</v>
      </c>
      <c r="G372" s="248">
        <v>0</v>
      </c>
      <c r="H372" s="273">
        <v>0</v>
      </c>
      <c r="I372" s="274">
        <v>0</v>
      </c>
    </row>
    <row r="373" spans="1:9" x14ac:dyDescent="0.3">
      <c r="A373" s="199" t="e">
        <f>IF(AND(E370&lt;&gt;"", A368&lt;&gt;""), A368+1, "")</f>
        <v>#REF!</v>
      </c>
      <c r="B373" s="419"/>
      <c r="C373" s="422"/>
      <c r="D373" s="197" t="s">
        <v>424</v>
      </c>
      <c r="E373" s="247">
        <v>0</v>
      </c>
      <c r="F373" s="248">
        <v>0</v>
      </c>
      <c r="G373" s="248">
        <v>0</v>
      </c>
      <c r="H373" s="273">
        <v>0</v>
      </c>
      <c r="I373" s="274">
        <v>0</v>
      </c>
    </row>
    <row r="374" spans="1:9" ht="15.75" customHeight="1" thickBot="1" x14ac:dyDescent="0.35">
      <c r="A374" s="199" t="e">
        <f>IF(AND(E370&lt;&gt;"", A369&lt;&gt;""), A369+1, "")</f>
        <v>#REF!</v>
      </c>
      <c r="B374" s="420"/>
      <c r="C374" s="404"/>
      <c r="D374" s="198" t="s">
        <v>450</v>
      </c>
      <c r="E374" s="251">
        <v>0</v>
      </c>
      <c r="F374" s="252">
        <v>0</v>
      </c>
      <c r="G374" s="252">
        <v>0</v>
      </c>
      <c r="H374" s="275">
        <v>0</v>
      </c>
      <c r="I374" s="276">
        <v>0</v>
      </c>
    </row>
    <row r="375" spans="1:9" x14ac:dyDescent="0.3">
      <c r="A375" s="199" t="e">
        <f>IF(AND(E375&lt;&gt;"", A370&lt;&gt;""), A370+1, "")</f>
        <v>#REF!</v>
      </c>
      <c r="B375" s="418">
        <v>46323</v>
      </c>
      <c r="C375" s="421">
        <f>B375</f>
        <v>46323</v>
      </c>
      <c r="D375" s="196" t="s">
        <v>418</v>
      </c>
      <c r="E375" s="243">
        <v>0</v>
      </c>
      <c r="F375" s="244">
        <v>0</v>
      </c>
      <c r="G375" s="244">
        <v>0</v>
      </c>
      <c r="H375" s="271">
        <v>0</v>
      </c>
      <c r="I375" s="272">
        <v>0</v>
      </c>
    </row>
    <row r="376" spans="1:9" x14ac:dyDescent="0.3">
      <c r="A376" s="199" t="e">
        <f>IF(AND(E375&lt;&gt;"", A371&lt;&gt;""), A371+1, "")</f>
        <v>#REF!</v>
      </c>
      <c r="B376" s="419"/>
      <c r="C376" s="422"/>
      <c r="D376" s="197" t="s">
        <v>420</v>
      </c>
      <c r="E376" s="247">
        <v>0</v>
      </c>
      <c r="F376" s="248">
        <v>0</v>
      </c>
      <c r="G376" s="248">
        <v>0</v>
      </c>
      <c r="H376" s="273">
        <v>0</v>
      </c>
      <c r="I376" s="274">
        <v>0</v>
      </c>
    </row>
    <row r="377" spans="1:9" x14ac:dyDescent="0.3">
      <c r="A377" s="199" t="e">
        <f>IF(AND(E375&lt;&gt;"", A372&lt;&gt;""), A372+1, "")</f>
        <v>#REF!</v>
      </c>
      <c r="B377" s="419"/>
      <c r="C377" s="422"/>
      <c r="D377" s="197" t="s">
        <v>426</v>
      </c>
      <c r="E377" s="247">
        <v>0</v>
      </c>
      <c r="F377" s="248">
        <v>0</v>
      </c>
      <c r="G377" s="248">
        <v>0</v>
      </c>
      <c r="H377" s="273">
        <v>0</v>
      </c>
      <c r="I377" s="274">
        <v>0</v>
      </c>
    </row>
    <row r="378" spans="1:9" x14ac:dyDescent="0.3">
      <c r="A378" s="199" t="e">
        <f>IF(AND(E375&lt;&gt;"", A373&lt;&gt;""), A373+1, "")</f>
        <v>#REF!</v>
      </c>
      <c r="B378" s="419"/>
      <c r="C378" s="422"/>
      <c r="D378" s="197" t="s">
        <v>424</v>
      </c>
      <c r="E378" s="247">
        <v>0</v>
      </c>
      <c r="F378" s="248">
        <v>0</v>
      </c>
      <c r="G378" s="248">
        <v>0</v>
      </c>
      <c r="H378" s="273">
        <v>0</v>
      </c>
      <c r="I378" s="274">
        <v>0</v>
      </c>
    </row>
    <row r="379" spans="1:9" ht="15.75" customHeight="1" thickBot="1" x14ac:dyDescent="0.35">
      <c r="A379" s="199" t="e">
        <f>IF(AND(E375&lt;&gt;"", A374&lt;&gt;""), A374+1, "")</f>
        <v>#REF!</v>
      </c>
      <c r="B379" s="420"/>
      <c r="C379" s="404"/>
      <c r="D379" s="198" t="s">
        <v>450</v>
      </c>
      <c r="E379" s="251">
        <v>0</v>
      </c>
      <c r="F379" s="252">
        <v>0</v>
      </c>
      <c r="G379" s="252">
        <v>0</v>
      </c>
      <c r="H379" s="275">
        <v>0</v>
      </c>
      <c r="I379" s="276">
        <v>0</v>
      </c>
    </row>
    <row r="380" spans="1:9" x14ac:dyDescent="0.3">
      <c r="A380" s="199" t="e">
        <f>IF(AND(E380&lt;&gt;"", A375&lt;&gt;""), A375+1, "")</f>
        <v>#REF!</v>
      </c>
      <c r="B380" s="418">
        <v>46324</v>
      </c>
      <c r="C380" s="421">
        <f>B380</f>
        <v>46324</v>
      </c>
      <c r="D380" s="196" t="s">
        <v>418</v>
      </c>
      <c r="E380" s="243">
        <v>0</v>
      </c>
      <c r="F380" s="244">
        <v>0</v>
      </c>
      <c r="G380" s="244">
        <v>0</v>
      </c>
      <c r="H380" s="271">
        <v>0</v>
      </c>
      <c r="I380" s="272">
        <v>0</v>
      </c>
    </row>
    <row r="381" spans="1:9" x14ac:dyDescent="0.3">
      <c r="A381" s="199" t="e">
        <f>IF(AND(E380&lt;&gt;"", A376&lt;&gt;""), A376+1, "")</f>
        <v>#REF!</v>
      </c>
      <c r="B381" s="419"/>
      <c r="C381" s="422"/>
      <c r="D381" s="197" t="s">
        <v>420</v>
      </c>
      <c r="E381" s="247">
        <v>0</v>
      </c>
      <c r="F381" s="248">
        <v>0</v>
      </c>
      <c r="G381" s="248">
        <v>0</v>
      </c>
      <c r="H381" s="273">
        <v>0</v>
      </c>
      <c r="I381" s="274">
        <v>0</v>
      </c>
    </row>
    <row r="382" spans="1:9" x14ac:dyDescent="0.3">
      <c r="A382" s="199" t="e">
        <f>IF(AND(E380&lt;&gt;"", A377&lt;&gt;""), A377+1, "")</f>
        <v>#REF!</v>
      </c>
      <c r="B382" s="419"/>
      <c r="C382" s="422"/>
      <c r="D382" s="197" t="s">
        <v>426</v>
      </c>
      <c r="E382" s="247">
        <v>0</v>
      </c>
      <c r="F382" s="248">
        <v>0</v>
      </c>
      <c r="G382" s="248">
        <v>0</v>
      </c>
      <c r="H382" s="273">
        <v>0</v>
      </c>
      <c r="I382" s="274">
        <v>0</v>
      </c>
    </row>
    <row r="383" spans="1:9" x14ac:dyDescent="0.3">
      <c r="A383" s="199" t="e">
        <f>IF(AND(E380&lt;&gt;"", A378&lt;&gt;""), A378+1, "")</f>
        <v>#REF!</v>
      </c>
      <c r="B383" s="419"/>
      <c r="C383" s="422"/>
      <c r="D383" s="197" t="s">
        <v>424</v>
      </c>
      <c r="E383" s="247">
        <v>0</v>
      </c>
      <c r="F383" s="248">
        <v>0</v>
      </c>
      <c r="G383" s="248">
        <v>0</v>
      </c>
      <c r="H383" s="273">
        <v>0</v>
      </c>
      <c r="I383" s="274">
        <v>0</v>
      </c>
    </row>
    <row r="384" spans="1:9" ht="15.75" customHeight="1" thickBot="1" x14ac:dyDescent="0.35">
      <c r="A384" s="199" t="e">
        <f>IF(AND(E380&lt;&gt;"", A379&lt;&gt;""), A379+1, "")</f>
        <v>#REF!</v>
      </c>
      <c r="B384" s="420"/>
      <c r="C384" s="404"/>
      <c r="D384" s="198" t="s">
        <v>450</v>
      </c>
      <c r="E384" s="251">
        <v>0</v>
      </c>
      <c r="F384" s="252">
        <v>0</v>
      </c>
      <c r="G384" s="252">
        <v>0</v>
      </c>
      <c r="H384" s="275">
        <v>0</v>
      </c>
      <c r="I384" s="276">
        <v>0</v>
      </c>
    </row>
    <row r="385" spans="1:9" x14ac:dyDescent="0.3">
      <c r="A385" s="199" t="e">
        <f>IF(AND(E385&lt;&gt;"", A380&lt;&gt;""), A380+1, "")</f>
        <v>#REF!</v>
      </c>
      <c r="B385" s="418">
        <v>46325</v>
      </c>
      <c r="C385" s="421">
        <f>B385</f>
        <v>46325</v>
      </c>
      <c r="D385" s="196" t="s">
        <v>418</v>
      </c>
      <c r="E385" s="243">
        <v>0</v>
      </c>
      <c r="F385" s="244">
        <v>0</v>
      </c>
      <c r="G385" s="244">
        <v>0</v>
      </c>
      <c r="H385" s="271">
        <v>0</v>
      </c>
      <c r="I385" s="272">
        <v>0</v>
      </c>
    </row>
    <row r="386" spans="1:9" x14ac:dyDescent="0.3">
      <c r="A386" s="199" t="e">
        <f>IF(AND(E385&lt;&gt;"", A381&lt;&gt;""), A381+1, "")</f>
        <v>#REF!</v>
      </c>
      <c r="B386" s="419"/>
      <c r="C386" s="422"/>
      <c r="D386" s="197" t="s">
        <v>420</v>
      </c>
      <c r="E386" s="247">
        <v>0</v>
      </c>
      <c r="F386" s="248">
        <v>0</v>
      </c>
      <c r="G386" s="248">
        <v>0</v>
      </c>
      <c r="H386" s="273">
        <v>0</v>
      </c>
      <c r="I386" s="274">
        <v>0</v>
      </c>
    </row>
    <row r="387" spans="1:9" x14ac:dyDescent="0.3">
      <c r="A387" s="199" t="e">
        <f>IF(AND(E385&lt;&gt;"", A382&lt;&gt;""), A382+1, "")</f>
        <v>#REF!</v>
      </c>
      <c r="B387" s="419"/>
      <c r="C387" s="422"/>
      <c r="D387" s="197" t="s">
        <v>426</v>
      </c>
      <c r="E387" s="247">
        <v>0</v>
      </c>
      <c r="F387" s="248">
        <v>0</v>
      </c>
      <c r="G387" s="248">
        <v>0</v>
      </c>
      <c r="H387" s="273">
        <v>0</v>
      </c>
      <c r="I387" s="274">
        <v>0</v>
      </c>
    </row>
    <row r="388" spans="1:9" x14ac:dyDescent="0.3">
      <c r="A388" s="199" t="e">
        <f>IF(AND(E385&lt;&gt;"", A383&lt;&gt;""), A383+1, "")</f>
        <v>#REF!</v>
      </c>
      <c r="B388" s="419"/>
      <c r="C388" s="422"/>
      <c r="D388" s="197" t="s">
        <v>424</v>
      </c>
      <c r="E388" s="247">
        <v>0</v>
      </c>
      <c r="F388" s="248">
        <v>0</v>
      </c>
      <c r="G388" s="248">
        <v>0</v>
      </c>
      <c r="H388" s="273">
        <v>0</v>
      </c>
      <c r="I388" s="274">
        <v>0</v>
      </c>
    </row>
    <row r="389" spans="1:9" ht="15.75" customHeight="1" thickBot="1" x14ac:dyDescent="0.35">
      <c r="A389" s="199" t="e">
        <f>IF(AND(E385&lt;&gt;"", A384&lt;&gt;""), A384+1, "")</f>
        <v>#REF!</v>
      </c>
      <c r="B389" s="420"/>
      <c r="C389" s="404"/>
      <c r="D389" s="198" t="s">
        <v>450</v>
      </c>
      <c r="E389" s="251">
        <v>0</v>
      </c>
      <c r="F389" s="252">
        <v>0</v>
      </c>
      <c r="G389" s="252">
        <v>0</v>
      </c>
      <c r="H389" s="275">
        <v>0</v>
      </c>
      <c r="I389" s="276">
        <v>0</v>
      </c>
    </row>
    <row r="390" spans="1:9" x14ac:dyDescent="0.3">
      <c r="A390" s="199" t="e">
        <f>IF(AND(E390&lt;&gt;"", A385&lt;&gt;""), A385+1, "")</f>
        <v>#REF!</v>
      </c>
      <c r="B390" s="418">
        <v>46326</v>
      </c>
      <c r="C390" s="421">
        <f>B390</f>
        <v>46326</v>
      </c>
      <c r="D390" s="196" t="s">
        <v>418</v>
      </c>
      <c r="E390" s="243">
        <v>0</v>
      </c>
      <c r="F390" s="244">
        <v>0</v>
      </c>
      <c r="G390" s="244">
        <v>0</v>
      </c>
      <c r="H390" s="271">
        <v>0</v>
      </c>
      <c r="I390" s="272">
        <v>0</v>
      </c>
    </row>
    <row r="391" spans="1:9" x14ac:dyDescent="0.3">
      <c r="A391" s="199" t="e">
        <f>IF(AND(E390&lt;&gt;"", A386&lt;&gt;""), A386+1, "")</f>
        <v>#REF!</v>
      </c>
      <c r="B391" s="419"/>
      <c r="C391" s="422"/>
      <c r="D391" s="197" t="s">
        <v>420</v>
      </c>
      <c r="E391" s="247">
        <v>0</v>
      </c>
      <c r="F391" s="248">
        <v>0</v>
      </c>
      <c r="G391" s="248">
        <v>0</v>
      </c>
      <c r="H391" s="273">
        <v>0</v>
      </c>
      <c r="I391" s="274">
        <v>0</v>
      </c>
    </row>
    <row r="392" spans="1:9" x14ac:dyDescent="0.3">
      <c r="A392" s="199" t="e">
        <f>IF(AND(E390&lt;&gt;"", A387&lt;&gt;""), A387+1, "")</f>
        <v>#REF!</v>
      </c>
      <c r="B392" s="419"/>
      <c r="C392" s="422"/>
      <c r="D392" s="197" t="s">
        <v>426</v>
      </c>
      <c r="E392" s="247">
        <v>0</v>
      </c>
      <c r="F392" s="248">
        <v>0</v>
      </c>
      <c r="G392" s="248">
        <v>0</v>
      </c>
      <c r="H392" s="273">
        <v>0</v>
      </c>
      <c r="I392" s="274">
        <v>0</v>
      </c>
    </row>
    <row r="393" spans="1:9" x14ac:dyDescent="0.3">
      <c r="A393" s="199" t="e">
        <f>IF(AND(E390&lt;&gt;"", A388&lt;&gt;""), A388+1, "")</f>
        <v>#REF!</v>
      </c>
      <c r="B393" s="419"/>
      <c r="C393" s="422"/>
      <c r="D393" s="197" t="s">
        <v>424</v>
      </c>
      <c r="E393" s="247">
        <v>0</v>
      </c>
      <c r="F393" s="248">
        <v>0</v>
      </c>
      <c r="G393" s="248">
        <v>0</v>
      </c>
      <c r="H393" s="273">
        <v>0</v>
      </c>
      <c r="I393" s="274">
        <v>0</v>
      </c>
    </row>
    <row r="394" spans="1:9" ht="15.75" customHeight="1" thickBot="1" x14ac:dyDescent="0.35">
      <c r="A394" s="199" t="e">
        <f>IF(AND(E390&lt;&gt;"", A389&lt;&gt;""), A389+1, "")</f>
        <v>#REF!</v>
      </c>
      <c r="B394" s="420"/>
      <c r="C394" s="404"/>
      <c r="D394" s="198" t="s">
        <v>450</v>
      </c>
      <c r="E394" s="251">
        <v>0</v>
      </c>
      <c r="F394" s="252">
        <v>0</v>
      </c>
      <c r="G394" s="252">
        <v>0</v>
      </c>
      <c r="H394" s="275">
        <v>0</v>
      </c>
      <c r="I394" s="276">
        <v>0</v>
      </c>
    </row>
    <row r="395" spans="1:9" x14ac:dyDescent="0.3">
      <c r="A395" s="199" t="e">
        <f>IF(AND(E395&lt;&gt;"", A390&lt;&gt;""), A390+1, "")</f>
        <v>#REF!</v>
      </c>
      <c r="B395" s="418">
        <v>46327</v>
      </c>
      <c r="C395" s="421">
        <f>B395</f>
        <v>46327</v>
      </c>
      <c r="D395" s="196" t="s">
        <v>418</v>
      </c>
      <c r="E395" s="243">
        <v>0</v>
      </c>
      <c r="F395" s="244">
        <v>0</v>
      </c>
      <c r="G395" s="244">
        <v>0</v>
      </c>
      <c r="H395" s="271">
        <v>0</v>
      </c>
      <c r="I395" s="272">
        <v>0</v>
      </c>
    </row>
    <row r="396" spans="1:9" x14ac:dyDescent="0.3">
      <c r="A396" s="199" t="e">
        <f>IF(AND(E395&lt;&gt;"", A391&lt;&gt;""), A391+1, "")</f>
        <v>#REF!</v>
      </c>
      <c r="B396" s="419"/>
      <c r="C396" s="422"/>
      <c r="D396" s="197" t="s">
        <v>420</v>
      </c>
      <c r="E396" s="247">
        <v>0</v>
      </c>
      <c r="F396" s="248">
        <v>0</v>
      </c>
      <c r="G396" s="248">
        <v>0</v>
      </c>
      <c r="H396" s="273">
        <v>0</v>
      </c>
      <c r="I396" s="274">
        <v>0</v>
      </c>
    </row>
    <row r="397" spans="1:9" x14ac:dyDescent="0.3">
      <c r="A397" s="199" t="e">
        <f>IF(AND(E395&lt;&gt;"", A392&lt;&gt;""), A392+1, "")</f>
        <v>#REF!</v>
      </c>
      <c r="B397" s="419"/>
      <c r="C397" s="422"/>
      <c r="D397" s="197" t="s">
        <v>426</v>
      </c>
      <c r="E397" s="247">
        <v>0</v>
      </c>
      <c r="F397" s="248">
        <v>0</v>
      </c>
      <c r="G397" s="248">
        <v>0</v>
      </c>
      <c r="H397" s="273">
        <v>0</v>
      </c>
      <c r="I397" s="274">
        <v>0</v>
      </c>
    </row>
    <row r="398" spans="1:9" x14ac:dyDescent="0.3">
      <c r="A398" s="199" t="e">
        <f>IF(AND(E395&lt;&gt;"", A393&lt;&gt;""), A393+1, "")</f>
        <v>#REF!</v>
      </c>
      <c r="B398" s="419"/>
      <c r="C398" s="422"/>
      <c r="D398" s="197" t="s">
        <v>424</v>
      </c>
      <c r="E398" s="247">
        <v>0</v>
      </c>
      <c r="F398" s="248">
        <v>0</v>
      </c>
      <c r="G398" s="248">
        <v>0</v>
      </c>
      <c r="H398" s="273">
        <v>0</v>
      </c>
      <c r="I398" s="274">
        <v>0</v>
      </c>
    </row>
    <row r="399" spans="1:9" ht="15.75" customHeight="1" thickBot="1" x14ac:dyDescent="0.35">
      <c r="A399" s="199" t="e">
        <f>IF(AND(E395&lt;&gt;"", A394&lt;&gt;""), A394+1, "")</f>
        <v>#REF!</v>
      </c>
      <c r="B399" s="420"/>
      <c r="C399" s="404"/>
      <c r="D399" s="198" t="s">
        <v>450</v>
      </c>
      <c r="E399" s="251">
        <v>0</v>
      </c>
      <c r="F399" s="252">
        <v>0</v>
      </c>
      <c r="G399" s="252">
        <v>0</v>
      </c>
      <c r="H399" s="275">
        <v>0</v>
      </c>
      <c r="I399" s="276">
        <v>0</v>
      </c>
    </row>
    <row r="400" spans="1:9" x14ac:dyDescent="0.3">
      <c r="A400" s="199" t="e">
        <f>IF(AND(E400&lt;&gt;"", A395&lt;&gt;""), A395+1, "")</f>
        <v>#REF!</v>
      </c>
      <c r="B400" s="418">
        <v>46328</v>
      </c>
      <c r="C400" s="421">
        <f>B400</f>
        <v>46328</v>
      </c>
      <c r="D400" s="196" t="s">
        <v>418</v>
      </c>
      <c r="E400" s="243">
        <v>0</v>
      </c>
      <c r="F400" s="244">
        <v>0</v>
      </c>
      <c r="G400" s="244">
        <v>0</v>
      </c>
      <c r="H400" s="271">
        <v>0</v>
      </c>
      <c r="I400" s="272">
        <v>0</v>
      </c>
    </row>
    <row r="401" spans="1:9" x14ac:dyDescent="0.3">
      <c r="A401" s="199" t="e">
        <f>IF(AND(E400&lt;&gt;"", A396&lt;&gt;""), A396+1, "")</f>
        <v>#REF!</v>
      </c>
      <c r="B401" s="419"/>
      <c r="C401" s="422"/>
      <c r="D401" s="197" t="s">
        <v>420</v>
      </c>
      <c r="E401" s="247">
        <v>0</v>
      </c>
      <c r="F401" s="248">
        <v>0</v>
      </c>
      <c r="G401" s="248">
        <v>0</v>
      </c>
      <c r="H401" s="273">
        <v>0</v>
      </c>
      <c r="I401" s="274">
        <v>0</v>
      </c>
    </row>
    <row r="402" spans="1:9" x14ac:dyDescent="0.3">
      <c r="A402" s="199" t="e">
        <f>IF(AND(E400&lt;&gt;"", A397&lt;&gt;""), A397+1, "")</f>
        <v>#REF!</v>
      </c>
      <c r="B402" s="419"/>
      <c r="C402" s="422"/>
      <c r="D402" s="197" t="s">
        <v>426</v>
      </c>
      <c r="E402" s="247">
        <v>0</v>
      </c>
      <c r="F402" s="248">
        <v>0</v>
      </c>
      <c r="G402" s="248">
        <v>0</v>
      </c>
      <c r="H402" s="273">
        <v>0</v>
      </c>
      <c r="I402" s="274">
        <v>0</v>
      </c>
    </row>
    <row r="403" spans="1:9" x14ac:dyDescent="0.3">
      <c r="A403" s="199" t="e">
        <f>IF(AND(E400&lt;&gt;"", A398&lt;&gt;""), A398+1, "")</f>
        <v>#REF!</v>
      </c>
      <c r="B403" s="419"/>
      <c r="C403" s="422"/>
      <c r="D403" s="197" t="s">
        <v>424</v>
      </c>
      <c r="E403" s="247">
        <v>0</v>
      </c>
      <c r="F403" s="248">
        <v>0</v>
      </c>
      <c r="G403" s="248">
        <v>0</v>
      </c>
      <c r="H403" s="273">
        <v>0</v>
      </c>
      <c r="I403" s="274">
        <v>0</v>
      </c>
    </row>
    <row r="404" spans="1:9" ht="15.75" customHeight="1" thickBot="1" x14ac:dyDescent="0.35">
      <c r="A404" s="199" t="e">
        <f>IF(AND(E400&lt;&gt;"", A399&lt;&gt;""), A399+1, "")</f>
        <v>#REF!</v>
      </c>
      <c r="B404" s="420"/>
      <c r="C404" s="404"/>
      <c r="D404" s="198" t="s">
        <v>450</v>
      </c>
      <c r="E404" s="251">
        <v>0</v>
      </c>
      <c r="F404" s="252">
        <v>0</v>
      </c>
      <c r="G404" s="252">
        <v>0</v>
      </c>
      <c r="H404" s="275">
        <v>0</v>
      </c>
      <c r="I404" s="276">
        <v>0</v>
      </c>
    </row>
    <row r="405" spans="1:9" x14ac:dyDescent="0.3">
      <c r="A405" s="199" t="e">
        <f>IF(AND(E405&lt;&gt;"", A400&lt;&gt;""), A400+1, "")</f>
        <v>#REF!</v>
      </c>
      <c r="B405" s="418">
        <v>46329</v>
      </c>
      <c r="C405" s="421">
        <f>B405</f>
        <v>46329</v>
      </c>
      <c r="D405" s="196" t="s">
        <v>418</v>
      </c>
      <c r="E405" s="243">
        <v>0</v>
      </c>
      <c r="F405" s="244">
        <v>0</v>
      </c>
      <c r="G405" s="244">
        <v>0</v>
      </c>
      <c r="H405" s="271">
        <v>0</v>
      </c>
      <c r="I405" s="272">
        <v>0</v>
      </c>
    </row>
    <row r="406" spans="1:9" x14ac:dyDescent="0.3">
      <c r="A406" s="199" t="e">
        <f>IF(AND(E405&lt;&gt;"", A401&lt;&gt;""), A401+1, "")</f>
        <v>#REF!</v>
      </c>
      <c r="B406" s="419"/>
      <c r="C406" s="422"/>
      <c r="D406" s="197" t="s">
        <v>420</v>
      </c>
      <c r="E406" s="247">
        <v>0</v>
      </c>
      <c r="F406" s="248">
        <v>0</v>
      </c>
      <c r="G406" s="248">
        <v>0</v>
      </c>
      <c r="H406" s="273">
        <v>0</v>
      </c>
      <c r="I406" s="274">
        <v>0</v>
      </c>
    </row>
    <row r="407" spans="1:9" x14ac:dyDescent="0.3">
      <c r="A407" s="199" t="e">
        <f>IF(AND(E405&lt;&gt;"", A402&lt;&gt;""), A402+1, "")</f>
        <v>#REF!</v>
      </c>
      <c r="B407" s="419"/>
      <c r="C407" s="422"/>
      <c r="D407" s="197" t="s">
        <v>426</v>
      </c>
      <c r="E407" s="247">
        <v>0</v>
      </c>
      <c r="F407" s="248">
        <v>0</v>
      </c>
      <c r="G407" s="248">
        <v>0</v>
      </c>
      <c r="H407" s="273">
        <v>0</v>
      </c>
      <c r="I407" s="274">
        <v>0</v>
      </c>
    </row>
    <row r="408" spans="1:9" x14ac:dyDescent="0.3">
      <c r="A408" s="199" t="e">
        <f>IF(AND(E405&lt;&gt;"", A403&lt;&gt;""), A403+1, "")</f>
        <v>#REF!</v>
      </c>
      <c r="B408" s="419"/>
      <c r="C408" s="422"/>
      <c r="D408" s="197" t="s">
        <v>424</v>
      </c>
      <c r="E408" s="247">
        <v>0</v>
      </c>
      <c r="F408" s="248">
        <v>0</v>
      </c>
      <c r="G408" s="248">
        <v>0</v>
      </c>
      <c r="H408" s="273">
        <v>0</v>
      </c>
      <c r="I408" s="274">
        <v>0</v>
      </c>
    </row>
    <row r="409" spans="1:9" ht="15.75" customHeight="1" thickBot="1" x14ac:dyDescent="0.35">
      <c r="A409" s="199" t="e">
        <f>IF(AND(E405&lt;&gt;"", A404&lt;&gt;""), A404+1, "")</f>
        <v>#REF!</v>
      </c>
      <c r="B409" s="420"/>
      <c r="C409" s="404"/>
      <c r="D409" s="198" t="s">
        <v>450</v>
      </c>
      <c r="E409" s="251">
        <v>0</v>
      </c>
      <c r="F409" s="252">
        <v>0</v>
      </c>
      <c r="G409" s="252">
        <v>0</v>
      </c>
      <c r="H409" s="275">
        <v>0</v>
      </c>
      <c r="I409" s="276">
        <v>0</v>
      </c>
    </row>
    <row r="410" spans="1:9" x14ac:dyDescent="0.3">
      <c r="A410" s="199" t="e">
        <f>IF(AND(E410&lt;&gt;"", A405&lt;&gt;""), A405+1, "")</f>
        <v>#REF!</v>
      </c>
      <c r="B410" s="418">
        <v>46330</v>
      </c>
      <c r="C410" s="421">
        <f>B410</f>
        <v>46330</v>
      </c>
      <c r="D410" s="196" t="s">
        <v>418</v>
      </c>
      <c r="E410" s="243">
        <v>0</v>
      </c>
      <c r="F410" s="244">
        <v>0</v>
      </c>
      <c r="G410" s="244">
        <v>0</v>
      </c>
      <c r="H410" s="271">
        <v>0</v>
      </c>
      <c r="I410" s="272">
        <v>0</v>
      </c>
    </row>
    <row r="411" spans="1:9" x14ac:dyDescent="0.3">
      <c r="A411" s="199" t="e">
        <f>IF(AND(E410&lt;&gt;"", A406&lt;&gt;""), A406+1, "")</f>
        <v>#REF!</v>
      </c>
      <c r="B411" s="419"/>
      <c r="C411" s="422"/>
      <c r="D411" s="197" t="s">
        <v>420</v>
      </c>
      <c r="E411" s="247">
        <v>0</v>
      </c>
      <c r="F411" s="248">
        <v>0</v>
      </c>
      <c r="G411" s="248">
        <v>0</v>
      </c>
      <c r="H411" s="273">
        <v>0</v>
      </c>
      <c r="I411" s="274">
        <v>0</v>
      </c>
    </row>
    <row r="412" spans="1:9" x14ac:dyDescent="0.3">
      <c r="A412" s="199" t="e">
        <f>IF(AND(E410&lt;&gt;"", A407&lt;&gt;""), A407+1, "")</f>
        <v>#REF!</v>
      </c>
      <c r="B412" s="419"/>
      <c r="C412" s="422"/>
      <c r="D412" s="197" t="s">
        <v>426</v>
      </c>
      <c r="E412" s="247">
        <v>0</v>
      </c>
      <c r="F412" s="248">
        <v>0</v>
      </c>
      <c r="G412" s="248">
        <v>0</v>
      </c>
      <c r="H412" s="273">
        <v>0</v>
      </c>
      <c r="I412" s="274">
        <v>0</v>
      </c>
    </row>
    <row r="413" spans="1:9" x14ac:dyDescent="0.3">
      <c r="A413" s="199" t="e">
        <f>IF(AND(E410&lt;&gt;"", A408&lt;&gt;""), A408+1, "")</f>
        <v>#REF!</v>
      </c>
      <c r="B413" s="419"/>
      <c r="C413" s="422"/>
      <c r="D413" s="197" t="s">
        <v>424</v>
      </c>
      <c r="E413" s="247">
        <v>0</v>
      </c>
      <c r="F413" s="248">
        <v>0</v>
      </c>
      <c r="G413" s="248">
        <v>0</v>
      </c>
      <c r="H413" s="273">
        <v>0</v>
      </c>
      <c r="I413" s="274">
        <v>0</v>
      </c>
    </row>
    <row r="414" spans="1:9" ht="15.75" customHeight="1" thickBot="1" x14ac:dyDescent="0.35">
      <c r="A414" s="199" t="e">
        <f>IF(AND(E410&lt;&gt;"", A409&lt;&gt;""), A409+1, "")</f>
        <v>#REF!</v>
      </c>
      <c r="B414" s="420"/>
      <c r="C414" s="404"/>
      <c r="D414" s="198" t="s">
        <v>450</v>
      </c>
      <c r="E414" s="251">
        <v>0</v>
      </c>
      <c r="F414" s="252">
        <v>0</v>
      </c>
      <c r="G414" s="252">
        <v>0</v>
      </c>
      <c r="H414" s="275">
        <v>0</v>
      </c>
      <c r="I414" s="276">
        <v>0</v>
      </c>
    </row>
    <row r="415" spans="1:9" x14ac:dyDescent="0.3">
      <c r="A415" s="199" t="e">
        <f>IF(AND(E415&lt;&gt;"", A410&lt;&gt;""), A410+1, "")</f>
        <v>#REF!</v>
      </c>
      <c r="B415" s="418">
        <v>46331</v>
      </c>
      <c r="C415" s="421">
        <f>B415</f>
        <v>46331</v>
      </c>
      <c r="D415" s="196" t="s">
        <v>418</v>
      </c>
      <c r="E415" s="243">
        <v>0</v>
      </c>
      <c r="F415" s="244">
        <v>0</v>
      </c>
      <c r="G415" s="244">
        <v>0</v>
      </c>
      <c r="H415" s="271">
        <v>0</v>
      </c>
      <c r="I415" s="272">
        <v>0</v>
      </c>
    </row>
    <row r="416" spans="1:9" x14ac:dyDescent="0.3">
      <c r="A416" s="199" t="e">
        <f>IF(AND(E415&lt;&gt;"", A411&lt;&gt;""), A411+1, "")</f>
        <v>#REF!</v>
      </c>
      <c r="B416" s="419"/>
      <c r="C416" s="422"/>
      <c r="D416" s="197" t="s">
        <v>420</v>
      </c>
      <c r="E416" s="247">
        <v>0</v>
      </c>
      <c r="F416" s="248">
        <v>0</v>
      </c>
      <c r="G416" s="248">
        <v>0</v>
      </c>
      <c r="H416" s="273">
        <v>0</v>
      </c>
      <c r="I416" s="274">
        <v>0</v>
      </c>
    </row>
    <row r="417" spans="1:9" x14ac:dyDescent="0.3">
      <c r="A417" s="199" t="e">
        <f>IF(AND(E415&lt;&gt;"", A412&lt;&gt;""), A412+1, "")</f>
        <v>#REF!</v>
      </c>
      <c r="B417" s="419"/>
      <c r="C417" s="422"/>
      <c r="D417" s="197" t="s">
        <v>426</v>
      </c>
      <c r="E417" s="247">
        <v>0</v>
      </c>
      <c r="F417" s="248">
        <v>0</v>
      </c>
      <c r="G417" s="248">
        <v>0</v>
      </c>
      <c r="H417" s="273">
        <v>0</v>
      </c>
      <c r="I417" s="274">
        <v>0</v>
      </c>
    </row>
    <row r="418" spans="1:9" x14ac:dyDescent="0.3">
      <c r="A418" s="199" t="e">
        <f>IF(AND(E415&lt;&gt;"", A413&lt;&gt;""), A413+1, "")</f>
        <v>#REF!</v>
      </c>
      <c r="B418" s="419"/>
      <c r="C418" s="422"/>
      <c r="D418" s="197" t="s">
        <v>424</v>
      </c>
      <c r="E418" s="247">
        <v>0</v>
      </c>
      <c r="F418" s="248">
        <v>0</v>
      </c>
      <c r="G418" s="248">
        <v>0</v>
      </c>
      <c r="H418" s="273">
        <v>0</v>
      </c>
      <c r="I418" s="274">
        <v>0</v>
      </c>
    </row>
    <row r="419" spans="1:9" ht="15.75" customHeight="1" thickBot="1" x14ac:dyDescent="0.35">
      <c r="A419" s="199" t="e">
        <f>IF(AND(E415&lt;&gt;"", A414&lt;&gt;""), A414+1, "")</f>
        <v>#REF!</v>
      </c>
      <c r="B419" s="420"/>
      <c r="C419" s="404"/>
      <c r="D419" s="198" t="s">
        <v>450</v>
      </c>
      <c r="E419" s="251">
        <v>0</v>
      </c>
      <c r="F419" s="252">
        <v>0</v>
      </c>
      <c r="G419" s="252">
        <v>0</v>
      </c>
      <c r="H419" s="275">
        <v>0</v>
      </c>
      <c r="I419" s="276">
        <v>0</v>
      </c>
    </row>
    <row r="420" spans="1:9" x14ac:dyDescent="0.3">
      <c r="A420" s="199" t="e">
        <f>IF(AND(E420&lt;&gt;"", A415&lt;&gt;""), A415+1, "")</f>
        <v>#REF!</v>
      </c>
      <c r="B420" s="418">
        <v>46332</v>
      </c>
      <c r="C420" s="421">
        <f>B420</f>
        <v>46332</v>
      </c>
      <c r="D420" s="196" t="s">
        <v>418</v>
      </c>
      <c r="E420" s="243">
        <v>0</v>
      </c>
      <c r="F420" s="244">
        <v>0</v>
      </c>
      <c r="G420" s="244">
        <v>0</v>
      </c>
      <c r="H420" s="271">
        <v>0</v>
      </c>
      <c r="I420" s="272">
        <v>0</v>
      </c>
    </row>
    <row r="421" spans="1:9" x14ac:dyDescent="0.3">
      <c r="A421" s="199" t="e">
        <f>IF(AND(E420&lt;&gt;"", A416&lt;&gt;""), A416+1, "")</f>
        <v>#REF!</v>
      </c>
      <c r="B421" s="419"/>
      <c r="C421" s="422"/>
      <c r="D421" s="197" t="s">
        <v>420</v>
      </c>
      <c r="E421" s="247">
        <v>0</v>
      </c>
      <c r="F421" s="248">
        <v>0</v>
      </c>
      <c r="G421" s="248">
        <v>0</v>
      </c>
      <c r="H421" s="273">
        <v>0</v>
      </c>
      <c r="I421" s="274">
        <v>0</v>
      </c>
    </row>
    <row r="422" spans="1:9" x14ac:dyDescent="0.3">
      <c r="A422" s="199" t="e">
        <f>IF(AND(E420&lt;&gt;"", A417&lt;&gt;""), A417+1, "")</f>
        <v>#REF!</v>
      </c>
      <c r="B422" s="419"/>
      <c r="C422" s="422"/>
      <c r="D422" s="197" t="s">
        <v>426</v>
      </c>
      <c r="E422" s="247">
        <v>0</v>
      </c>
      <c r="F422" s="248">
        <v>0</v>
      </c>
      <c r="G422" s="248">
        <v>0</v>
      </c>
      <c r="H422" s="273">
        <v>0</v>
      </c>
      <c r="I422" s="274">
        <v>0</v>
      </c>
    </row>
    <row r="423" spans="1:9" x14ac:dyDescent="0.3">
      <c r="A423" s="199" t="e">
        <f>IF(AND(E420&lt;&gt;"", A418&lt;&gt;""), A418+1, "")</f>
        <v>#REF!</v>
      </c>
      <c r="B423" s="419"/>
      <c r="C423" s="422"/>
      <c r="D423" s="197" t="s">
        <v>424</v>
      </c>
      <c r="E423" s="247">
        <v>0</v>
      </c>
      <c r="F423" s="248">
        <v>0</v>
      </c>
      <c r="G423" s="248">
        <v>0</v>
      </c>
      <c r="H423" s="273">
        <v>0</v>
      </c>
      <c r="I423" s="274">
        <v>0</v>
      </c>
    </row>
    <row r="424" spans="1:9" ht="15.75" customHeight="1" thickBot="1" x14ac:dyDescent="0.35">
      <c r="A424" s="199" t="e">
        <f>IF(AND(E420&lt;&gt;"", A419&lt;&gt;""), A419+1, "")</f>
        <v>#REF!</v>
      </c>
      <c r="B424" s="420"/>
      <c r="C424" s="404"/>
      <c r="D424" s="198" t="s">
        <v>450</v>
      </c>
      <c r="E424" s="251">
        <v>0</v>
      </c>
      <c r="F424" s="252">
        <v>0</v>
      </c>
      <c r="G424" s="252">
        <v>0</v>
      </c>
      <c r="H424" s="275">
        <v>0</v>
      </c>
      <c r="I424" s="276">
        <v>0</v>
      </c>
    </row>
    <row r="425" spans="1:9" x14ac:dyDescent="0.3">
      <c r="A425" s="199" t="e">
        <f>IF(AND(E425&lt;&gt;"", A420&lt;&gt;""), A420+1, "")</f>
        <v>#REF!</v>
      </c>
      <c r="B425" s="418">
        <v>46333</v>
      </c>
      <c r="C425" s="421">
        <f>B425</f>
        <v>46333</v>
      </c>
      <c r="D425" s="196" t="s">
        <v>418</v>
      </c>
      <c r="E425" s="243">
        <v>0</v>
      </c>
      <c r="F425" s="244">
        <v>0</v>
      </c>
      <c r="G425" s="244">
        <v>0</v>
      </c>
      <c r="H425" s="271">
        <v>0</v>
      </c>
      <c r="I425" s="272">
        <v>0</v>
      </c>
    </row>
    <row r="426" spans="1:9" x14ac:dyDescent="0.3">
      <c r="A426" s="199" t="e">
        <f>IF(AND(E425&lt;&gt;"", A421&lt;&gt;""), A421+1, "")</f>
        <v>#REF!</v>
      </c>
      <c r="B426" s="419"/>
      <c r="C426" s="422"/>
      <c r="D426" s="197" t="s">
        <v>420</v>
      </c>
      <c r="E426" s="247">
        <v>0</v>
      </c>
      <c r="F426" s="248">
        <v>0</v>
      </c>
      <c r="G426" s="248">
        <v>0</v>
      </c>
      <c r="H426" s="273">
        <v>0</v>
      </c>
      <c r="I426" s="274">
        <v>0</v>
      </c>
    </row>
    <row r="427" spans="1:9" x14ac:dyDescent="0.3">
      <c r="A427" s="199" t="e">
        <f>IF(AND(E425&lt;&gt;"", A422&lt;&gt;""), A422+1, "")</f>
        <v>#REF!</v>
      </c>
      <c r="B427" s="419"/>
      <c r="C427" s="422"/>
      <c r="D427" s="197" t="s">
        <v>426</v>
      </c>
      <c r="E427" s="247">
        <v>0</v>
      </c>
      <c r="F427" s="248">
        <v>0</v>
      </c>
      <c r="G427" s="248">
        <v>0</v>
      </c>
      <c r="H427" s="273">
        <v>0</v>
      </c>
      <c r="I427" s="274">
        <v>0</v>
      </c>
    </row>
    <row r="428" spans="1:9" x14ac:dyDescent="0.3">
      <c r="A428" s="199" t="e">
        <f>IF(AND(E425&lt;&gt;"", A423&lt;&gt;""), A423+1, "")</f>
        <v>#REF!</v>
      </c>
      <c r="B428" s="419"/>
      <c r="C428" s="422"/>
      <c r="D428" s="197" t="s">
        <v>424</v>
      </c>
      <c r="E428" s="247">
        <v>0</v>
      </c>
      <c r="F428" s="248">
        <v>0</v>
      </c>
      <c r="G428" s="248">
        <v>0</v>
      </c>
      <c r="H428" s="273">
        <v>0</v>
      </c>
      <c r="I428" s="274">
        <v>0</v>
      </c>
    </row>
    <row r="429" spans="1:9" ht="15.75" customHeight="1" thickBot="1" x14ac:dyDescent="0.35">
      <c r="A429" s="199" t="e">
        <f>IF(AND(E425&lt;&gt;"", A424&lt;&gt;""), A424+1, "")</f>
        <v>#REF!</v>
      </c>
      <c r="B429" s="420"/>
      <c r="C429" s="404"/>
      <c r="D429" s="198" t="s">
        <v>450</v>
      </c>
      <c r="E429" s="251">
        <v>0</v>
      </c>
      <c r="F429" s="252">
        <v>0</v>
      </c>
      <c r="G429" s="252">
        <v>0</v>
      </c>
      <c r="H429" s="275">
        <v>0</v>
      </c>
      <c r="I429" s="276">
        <v>0</v>
      </c>
    </row>
    <row r="430" spans="1:9" x14ac:dyDescent="0.3">
      <c r="A430" s="199" t="e">
        <f>IF(AND(E430&lt;&gt;"", A425&lt;&gt;""), A425+1, "")</f>
        <v>#REF!</v>
      </c>
      <c r="B430" s="418">
        <v>46334</v>
      </c>
      <c r="C430" s="421">
        <f>B430</f>
        <v>46334</v>
      </c>
      <c r="D430" s="196" t="s">
        <v>418</v>
      </c>
      <c r="E430" s="243">
        <v>0</v>
      </c>
      <c r="F430" s="244">
        <v>0</v>
      </c>
      <c r="G430" s="244">
        <v>0</v>
      </c>
      <c r="H430" s="271">
        <v>0</v>
      </c>
      <c r="I430" s="272">
        <v>0</v>
      </c>
    </row>
    <row r="431" spans="1:9" x14ac:dyDescent="0.3">
      <c r="A431" s="199" t="e">
        <f>IF(AND(E430&lt;&gt;"", A426&lt;&gt;""), A426+1, "")</f>
        <v>#REF!</v>
      </c>
      <c r="B431" s="419"/>
      <c r="C431" s="422"/>
      <c r="D431" s="197" t="s">
        <v>420</v>
      </c>
      <c r="E431" s="247">
        <v>0</v>
      </c>
      <c r="F431" s="248">
        <v>0</v>
      </c>
      <c r="G431" s="248">
        <v>0</v>
      </c>
      <c r="H431" s="273">
        <v>0</v>
      </c>
      <c r="I431" s="274">
        <v>0</v>
      </c>
    </row>
    <row r="432" spans="1:9" x14ac:dyDescent="0.3">
      <c r="A432" s="199" t="e">
        <f>IF(AND(E430&lt;&gt;"", A427&lt;&gt;""), A427+1, "")</f>
        <v>#REF!</v>
      </c>
      <c r="B432" s="419"/>
      <c r="C432" s="422"/>
      <c r="D432" s="197" t="s">
        <v>426</v>
      </c>
      <c r="E432" s="247">
        <v>0</v>
      </c>
      <c r="F432" s="248">
        <v>0</v>
      </c>
      <c r="G432" s="248">
        <v>0</v>
      </c>
      <c r="H432" s="273">
        <v>0</v>
      </c>
      <c r="I432" s="274">
        <v>0</v>
      </c>
    </row>
    <row r="433" spans="1:9" x14ac:dyDescent="0.3">
      <c r="A433" s="199" t="e">
        <f>IF(AND(E430&lt;&gt;"", A428&lt;&gt;""), A428+1, "")</f>
        <v>#REF!</v>
      </c>
      <c r="B433" s="419"/>
      <c r="C433" s="422"/>
      <c r="D433" s="197" t="s">
        <v>424</v>
      </c>
      <c r="E433" s="247">
        <v>0</v>
      </c>
      <c r="F433" s="248">
        <v>0</v>
      </c>
      <c r="G433" s="248">
        <v>0</v>
      </c>
      <c r="H433" s="273">
        <v>0</v>
      </c>
      <c r="I433" s="274">
        <v>0</v>
      </c>
    </row>
    <row r="434" spans="1:9" ht="15.75" customHeight="1" thickBot="1" x14ac:dyDescent="0.35">
      <c r="A434" s="199" t="e">
        <f>IF(AND(E430&lt;&gt;"", A429&lt;&gt;""), A429+1, "")</f>
        <v>#REF!</v>
      </c>
      <c r="B434" s="420"/>
      <c r="C434" s="404"/>
      <c r="D434" s="198" t="s">
        <v>450</v>
      </c>
      <c r="E434" s="251">
        <v>0</v>
      </c>
      <c r="F434" s="252">
        <v>0</v>
      </c>
      <c r="G434" s="252">
        <v>0</v>
      </c>
      <c r="H434" s="275">
        <v>0</v>
      </c>
      <c r="I434" s="276">
        <v>0</v>
      </c>
    </row>
    <row r="435" spans="1:9" x14ac:dyDescent="0.3">
      <c r="A435" s="199" t="e">
        <f>IF(AND(E435&lt;&gt;"", A430&lt;&gt;""), A430+1, "")</f>
        <v>#REF!</v>
      </c>
      <c r="B435" s="418">
        <v>46335</v>
      </c>
      <c r="C435" s="421">
        <f>B435</f>
        <v>46335</v>
      </c>
      <c r="D435" s="196" t="s">
        <v>418</v>
      </c>
      <c r="E435" s="243">
        <v>0</v>
      </c>
      <c r="F435" s="244">
        <v>0</v>
      </c>
      <c r="G435" s="244">
        <v>0</v>
      </c>
      <c r="H435" s="271">
        <v>0</v>
      </c>
      <c r="I435" s="272">
        <v>0</v>
      </c>
    </row>
    <row r="436" spans="1:9" x14ac:dyDescent="0.3">
      <c r="A436" s="199" t="e">
        <f>IF(AND(E435&lt;&gt;"", A431&lt;&gt;""), A431+1, "")</f>
        <v>#REF!</v>
      </c>
      <c r="B436" s="419"/>
      <c r="C436" s="422"/>
      <c r="D436" s="197" t="s">
        <v>420</v>
      </c>
      <c r="E436" s="247">
        <v>0</v>
      </c>
      <c r="F436" s="248">
        <v>0</v>
      </c>
      <c r="G436" s="248">
        <v>0</v>
      </c>
      <c r="H436" s="273">
        <v>0</v>
      </c>
      <c r="I436" s="274">
        <v>0</v>
      </c>
    </row>
    <row r="437" spans="1:9" x14ac:dyDescent="0.3">
      <c r="A437" s="199" t="e">
        <f>IF(AND(E435&lt;&gt;"", A432&lt;&gt;""), A432+1, "")</f>
        <v>#REF!</v>
      </c>
      <c r="B437" s="419"/>
      <c r="C437" s="422"/>
      <c r="D437" s="197" t="s">
        <v>426</v>
      </c>
      <c r="E437" s="247">
        <v>0</v>
      </c>
      <c r="F437" s="248">
        <v>0</v>
      </c>
      <c r="G437" s="248">
        <v>0</v>
      </c>
      <c r="H437" s="273">
        <v>0</v>
      </c>
      <c r="I437" s="274">
        <v>0</v>
      </c>
    </row>
    <row r="438" spans="1:9" x14ac:dyDescent="0.3">
      <c r="A438" s="199" t="e">
        <f>IF(AND(E435&lt;&gt;"", A433&lt;&gt;""), A433+1, "")</f>
        <v>#REF!</v>
      </c>
      <c r="B438" s="419"/>
      <c r="C438" s="422"/>
      <c r="D438" s="197" t="s">
        <v>424</v>
      </c>
      <c r="E438" s="247">
        <v>0</v>
      </c>
      <c r="F438" s="248">
        <v>0</v>
      </c>
      <c r="G438" s="248">
        <v>0</v>
      </c>
      <c r="H438" s="273">
        <v>0</v>
      </c>
      <c r="I438" s="274">
        <v>0</v>
      </c>
    </row>
    <row r="439" spans="1:9" ht="15.75" customHeight="1" thickBot="1" x14ac:dyDescent="0.35">
      <c r="A439" s="199" t="e">
        <f>IF(AND(E435&lt;&gt;"", A434&lt;&gt;""), A434+1, "")</f>
        <v>#REF!</v>
      </c>
      <c r="B439" s="420"/>
      <c r="C439" s="404"/>
      <c r="D439" s="198" t="s">
        <v>450</v>
      </c>
      <c r="E439" s="251">
        <v>0</v>
      </c>
      <c r="F439" s="252">
        <v>0</v>
      </c>
      <c r="G439" s="252">
        <v>0</v>
      </c>
      <c r="H439" s="275">
        <v>0</v>
      </c>
      <c r="I439" s="276">
        <v>0</v>
      </c>
    </row>
    <row r="440" spans="1:9" x14ac:dyDescent="0.3">
      <c r="A440" s="199" t="e">
        <f>IF(AND(E440&lt;&gt;"", A435&lt;&gt;""), A435+1, "")</f>
        <v>#REF!</v>
      </c>
      <c r="B440" s="418">
        <v>46336</v>
      </c>
      <c r="C440" s="421">
        <f>B440</f>
        <v>46336</v>
      </c>
      <c r="D440" s="196" t="s">
        <v>418</v>
      </c>
      <c r="E440" s="243">
        <v>0</v>
      </c>
      <c r="F440" s="244">
        <v>0</v>
      </c>
      <c r="G440" s="244">
        <v>0</v>
      </c>
      <c r="H440" s="271">
        <v>0</v>
      </c>
      <c r="I440" s="272">
        <v>0</v>
      </c>
    </row>
    <row r="441" spans="1:9" x14ac:dyDescent="0.3">
      <c r="A441" s="199" t="e">
        <f>IF(AND(E440&lt;&gt;"", A436&lt;&gt;""), A436+1, "")</f>
        <v>#REF!</v>
      </c>
      <c r="B441" s="419"/>
      <c r="C441" s="422"/>
      <c r="D441" s="197" t="s">
        <v>420</v>
      </c>
      <c r="E441" s="247">
        <v>0</v>
      </c>
      <c r="F441" s="248">
        <v>0</v>
      </c>
      <c r="G441" s="248">
        <v>0</v>
      </c>
      <c r="H441" s="273">
        <v>0</v>
      </c>
      <c r="I441" s="274">
        <v>0</v>
      </c>
    </row>
    <row r="442" spans="1:9" x14ac:dyDescent="0.3">
      <c r="A442" s="199" t="e">
        <f>IF(AND(E440&lt;&gt;"", A437&lt;&gt;""), A437+1, "")</f>
        <v>#REF!</v>
      </c>
      <c r="B442" s="419"/>
      <c r="C442" s="422"/>
      <c r="D442" s="197" t="s">
        <v>426</v>
      </c>
      <c r="E442" s="247">
        <v>0</v>
      </c>
      <c r="F442" s="248">
        <v>0</v>
      </c>
      <c r="G442" s="248">
        <v>0</v>
      </c>
      <c r="H442" s="273">
        <v>0</v>
      </c>
      <c r="I442" s="274">
        <v>0</v>
      </c>
    </row>
    <row r="443" spans="1:9" x14ac:dyDescent="0.3">
      <c r="A443" s="199" t="e">
        <f>IF(AND(E440&lt;&gt;"", A438&lt;&gt;""), A438+1, "")</f>
        <v>#REF!</v>
      </c>
      <c r="B443" s="419"/>
      <c r="C443" s="422"/>
      <c r="D443" s="197" t="s">
        <v>424</v>
      </c>
      <c r="E443" s="247">
        <v>0</v>
      </c>
      <c r="F443" s="248">
        <v>0</v>
      </c>
      <c r="G443" s="248">
        <v>0</v>
      </c>
      <c r="H443" s="273">
        <v>0</v>
      </c>
      <c r="I443" s="274">
        <v>0</v>
      </c>
    </row>
    <row r="444" spans="1:9" ht="15.75" customHeight="1" thickBot="1" x14ac:dyDescent="0.35">
      <c r="A444" s="199" t="e">
        <f>IF(AND(E440&lt;&gt;"", A439&lt;&gt;""), A439+1, "")</f>
        <v>#REF!</v>
      </c>
      <c r="B444" s="420"/>
      <c r="C444" s="404"/>
      <c r="D444" s="198" t="s">
        <v>450</v>
      </c>
      <c r="E444" s="251">
        <v>0</v>
      </c>
      <c r="F444" s="252">
        <v>0</v>
      </c>
      <c r="G444" s="252">
        <v>0</v>
      </c>
      <c r="H444" s="275">
        <v>0</v>
      </c>
      <c r="I444" s="276">
        <v>0</v>
      </c>
    </row>
    <row r="445" spans="1:9" x14ac:dyDescent="0.3">
      <c r="A445" s="199" t="e">
        <f>IF(AND(E445&lt;&gt;"", A440&lt;&gt;""), A440+1, "")</f>
        <v>#REF!</v>
      </c>
      <c r="B445" s="418">
        <v>46337</v>
      </c>
      <c r="C445" s="421">
        <f>B445</f>
        <v>46337</v>
      </c>
      <c r="D445" s="196" t="s">
        <v>418</v>
      </c>
      <c r="E445" s="243">
        <v>0</v>
      </c>
      <c r="F445" s="244">
        <v>0</v>
      </c>
      <c r="G445" s="244">
        <v>0</v>
      </c>
      <c r="H445" s="271">
        <v>0</v>
      </c>
      <c r="I445" s="272">
        <v>0</v>
      </c>
    </row>
    <row r="446" spans="1:9" x14ac:dyDescent="0.3">
      <c r="A446" s="199" t="e">
        <f>IF(AND(E445&lt;&gt;"", A441&lt;&gt;""), A441+1, "")</f>
        <v>#REF!</v>
      </c>
      <c r="B446" s="419"/>
      <c r="C446" s="422"/>
      <c r="D446" s="197" t="s">
        <v>420</v>
      </c>
      <c r="E446" s="247">
        <v>0</v>
      </c>
      <c r="F446" s="248">
        <v>0</v>
      </c>
      <c r="G446" s="248">
        <v>0</v>
      </c>
      <c r="H446" s="273">
        <v>0</v>
      </c>
      <c r="I446" s="274">
        <v>0</v>
      </c>
    </row>
    <row r="447" spans="1:9" x14ac:dyDescent="0.3">
      <c r="A447" s="199" t="e">
        <f>IF(AND(E445&lt;&gt;"", A442&lt;&gt;""), A442+1, "")</f>
        <v>#REF!</v>
      </c>
      <c r="B447" s="419"/>
      <c r="C447" s="422"/>
      <c r="D447" s="197" t="s">
        <v>426</v>
      </c>
      <c r="E447" s="247">
        <v>0</v>
      </c>
      <c r="F447" s="248">
        <v>0</v>
      </c>
      <c r="G447" s="248">
        <v>0</v>
      </c>
      <c r="H447" s="273">
        <v>0</v>
      </c>
      <c r="I447" s="274">
        <v>0</v>
      </c>
    </row>
    <row r="448" spans="1:9" x14ac:dyDescent="0.3">
      <c r="A448" s="199" t="e">
        <f>IF(AND(E445&lt;&gt;"", A443&lt;&gt;""), A443+1, "")</f>
        <v>#REF!</v>
      </c>
      <c r="B448" s="419"/>
      <c r="C448" s="422"/>
      <c r="D448" s="197" t="s">
        <v>424</v>
      </c>
      <c r="E448" s="247">
        <v>0</v>
      </c>
      <c r="F448" s="248">
        <v>0</v>
      </c>
      <c r="G448" s="248">
        <v>0</v>
      </c>
      <c r="H448" s="273">
        <v>0</v>
      </c>
      <c r="I448" s="274">
        <v>0</v>
      </c>
    </row>
    <row r="449" spans="1:9" ht="15.75" customHeight="1" thickBot="1" x14ac:dyDescent="0.35">
      <c r="A449" s="199" t="e">
        <f>IF(AND(E445&lt;&gt;"", A444&lt;&gt;""), A444+1, "")</f>
        <v>#REF!</v>
      </c>
      <c r="B449" s="420"/>
      <c r="C449" s="404"/>
      <c r="D449" s="198" t="s">
        <v>450</v>
      </c>
      <c r="E449" s="251">
        <v>0</v>
      </c>
      <c r="F449" s="252">
        <v>0</v>
      </c>
      <c r="G449" s="252">
        <v>0</v>
      </c>
      <c r="H449" s="275">
        <v>0</v>
      </c>
      <c r="I449" s="276">
        <v>0</v>
      </c>
    </row>
    <row r="450" spans="1:9" x14ac:dyDescent="0.3">
      <c r="A450" s="199" t="e">
        <f>IF(AND(E450&lt;&gt;"", A445&lt;&gt;""), A445+1, "")</f>
        <v>#REF!</v>
      </c>
      <c r="B450" s="418">
        <v>46338</v>
      </c>
      <c r="C450" s="421">
        <f>B450</f>
        <v>46338</v>
      </c>
      <c r="D450" s="196" t="s">
        <v>418</v>
      </c>
      <c r="E450" s="243">
        <v>0</v>
      </c>
      <c r="F450" s="244">
        <v>0</v>
      </c>
      <c r="G450" s="244">
        <v>0</v>
      </c>
      <c r="H450" s="271">
        <v>0</v>
      </c>
      <c r="I450" s="272">
        <v>0</v>
      </c>
    </row>
    <row r="451" spans="1:9" x14ac:dyDescent="0.3">
      <c r="A451" s="199" t="e">
        <f>IF(AND(E450&lt;&gt;"", A446&lt;&gt;""), A446+1, "")</f>
        <v>#REF!</v>
      </c>
      <c r="B451" s="419"/>
      <c r="C451" s="422"/>
      <c r="D451" s="197" t="s">
        <v>420</v>
      </c>
      <c r="E451" s="247">
        <v>0</v>
      </c>
      <c r="F451" s="248">
        <v>0</v>
      </c>
      <c r="G451" s="248">
        <v>0</v>
      </c>
      <c r="H451" s="273">
        <v>0</v>
      </c>
      <c r="I451" s="274">
        <v>0</v>
      </c>
    </row>
    <row r="452" spans="1:9" x14ac:dyDescent="0.3">
      <c r="A452" s="199" t="e">
        <f>IF(AND(E450&lt;&gt;"", A447&lt;&gt;""), A447+1, "")</f>
        <v>#REF!</v>
      </c>
      <c r="B452" s="419"/>
      <c r="C452" s="422"/>
      <c r="D452" s="197" t="s">
        <v>426</v>
      </c>
      <c r="E452" s="247">
        <v>0</v>
      </c>
      <c r="F452" s="248">
        <v>0</v>
      </c>
      <c r="G452" s="248">
        <v>0</v>
      </c>
      <c r="H452" s="273">
        <v>0</v>
      </c>
      <c r="I452" s="274">
        <v>0</v>
      </c>
    </row>
    <row r="453" spans="1:9" x14ac:dyDescent="0.3">
      <c r="A453" s="199" t="e">
        <f>IF(AND(E450&lt;&gt;"", A448&lt;&gt;""), A448+1, "")</f>
        <v>#REF!</v>
      </c>
      <c r="B453" s="419"/>
      <c r="C453" s="422"/>
      <c r="D453" s="197" t="s">
        <v>424</v>
      </c>
      <c r="E453" s="247">
        <v>0</v>
      </c>
      <c r="F453" s="248">
        <v>0</v>
      </c>
      <c r="G453" s="248">
        <v>0</v>
      </c>
      <c r="H453" s="273">
        <v>0</v>
      </c>
      <c r="I453" s="274">
        <v>0</v>
      </c>
    </row>
    <row r="454" spans="1:9" ht="15.75" customHeight="1" thickBot="1" x14ac:dyDescent="0.35">
      <c r="A454" s="199" t="e">
        <f>IF(AND(E450&lt;&gt;"", A449&lt;&gt;""), A449+1, "")</f>
        <v>#REF!</v>
      </c>
      <c r="B454" s="420"/>
      <c r="C454" s="404"/>
      <c r="D454" s="198" t="s">
        <v>450</v>
      </c>
      <c r="E454" s="251">
        <v>0</v>
      </c>
      <c r="F454" s="252">
        <v>0</v>
      </c>
      <c r="G454" s="252">
        <v>0</v>
      </c>
      <c r="H454" s="275">
        <v>0</v>
      </c>
      <c r="I454" s="276">
        <v>0</v>
      </c>
    </row>
    <row r="455" spans="1:9" x14ac:dyDescent="0.3">
      <c r="A455" s="199" t="e">
        <f>IF(AND(E455&lt;&gt;"", A450&lt;&gt;""), A450+1, "")</f>
        <v>#REF!</v>
      </c>
      <c r="B455" s="418">
        <v>46339</v>
      </c>
      <c r="C455" s="421">
        <f>B455</f>
        <v>46339</v>
      </c>
      <c r="D455" s="196" t="s">
        <v>418</v>
      </c>
      <c r="E455" s="243">
        <v>0</v>
      </c>
      <c r="F455" s="244">
        <v>0</v>
      </c>
      <c r="G455" s="244">
        <v>0</v>
      </c>
      <c r="H455" s="271">
        <v>0</v>
      </c>
      <c r="I455" s="272">
        <v>0</v>
      </c>
    </row>
    <row r="456" spans="1:9" x14ac:dyDescent="0.3">
      <c r="A456" s="199" t="e">
        <f>IF(AND(E455&lt;&gt;"", A451&lt;&gt;""), A451+1, "")</f>
        <v>#REF!</v>
      </c>
      <c r="B456" s="419"/>
      <c r="C456" s="422"/>
      <c r="D456" s="197" t="s">
        <v>420</v>
      </c>
      <c r="E456" s="247">
        <v>0</v>
      </c>
      <c r="F456" s="248">
        <v>0</v>
      </c>
      <c r="G456" s="248">
        <v>0</v>
      </c>
      <c r="H456" s="273">
        <v>0</v>
      </c>
      <c r="I456" s="274">
        <v>0</v>
      </c>
    </row>
    <row r="457" spans="1:9" x14ac:dyDescent="0.3">
      <c r="A457" s="199" t="e">
        <f>IF(AND(E455&lt;&gt;"", A452&lt;&gt;""), A452+1, "")</f>
        <v>#REF!</v>
      </c>
      <c r="B457" s="419"/>
      <c r="C457" s="422"/>
      <c r="D457" s="197" t="s">
        <v>426</v>
      </c>
      <c r="E457" s="247">
        <v>0</v>
      </c>
      <c r="F457" s="248">
        <v>0</v>
      </c>
      <c r="G457" s="248">
        <v>0</v>
      </c>
      <c r="H457" s="273">
        <v>0</v>
      </c>
      <c r="I457" s="274">
        <v>0</v>
      </c>
    </row>
    <row r="458" spans="1:9" x14ac:dyDescent="0.3">
      <c r="A458" s="199" t="e">
        <f>IF(AND(E455&lt;&gt;"", A453&lt;&gt;""), A453+1, "")</f>
        <v>#REF!</v>
      </c>
      <c r="B458" s="419"/>
      <c r="C458" s="422"/>
      <c r="D458" s="197" t="s">
        <v>424</v>
      </c>
      <c r="E458" s="247">
        <v>0</v>
      </c>
      <c r="F458" s="248">
        <v>0</v>
      </c>
      <c r="G458" s="248">
        <v>0</v>
      </c>
      <c r="H458" s="273">
        <v>0</v>
      </c>
      <c r="I458" s="274">
        <v>0</v>
      </c>
    </row>
    <row r="459" spans="1:9" ht="15.75" customHeight="1" thickBot="1" x14ac:dyDescent="0.35">
      <c r="A459" s="199" t="e">
        <f>IF(AND(E455&lt;&gt;"", A454&lt;&gt;""), A454+1, "")</f>
        <v>#REF!</v>
      </c>
      <c r="B459" s="420"/>
      <c r="C459" s="404"/>
      <c r="D459" s="198" t="s">
        <v>450</v>
      </c>
      <c r="E459" s="251">
        <v>0</v>
      </c>
      <c r="F459" s="252">
        <v>0</v>
      </c>
      <c r="G459" s="252">
        <v>0</v>
      </c>
      <c r="H459" s="275">
        <v>0</v>
      </c>
      <c r="I459" s="276">
        <v>0</v>
      </c>
    </row>
    <row r="460" spans="1:9" x14ac:dyDescent="0.3">
      <c r="A460" s="199" t="e">
        <f>IF(AND(E460&lt;&gt;"", A455&lt;&gt;""), A455+1, "")</f>
        <v>#REF!</v>
      </c>
      <c r="B460" s="418">
        <v>46340</v>
      </c>
      <c r="C460" s="421">
        <f>B460</f>
        <v>46340</v>
      </c>
      <c r="D460" s="196" t="s">
        <v>418</v>
      </c>
      <c r="E460" s="243">
        <v>0</v>
      </c>
      <c r="F460" s="244">
        <v>0</v>
      </c>
      <c r="G460" s="244">
        <v>0</v>
      </c>
      <c r="H460" s="271">
        <v>0</v>
      </c>
      <c r="I460" s="272">
        <v>0</v>
      </c>
    </row>
    <row r="461" spans="1:9" x14ac:dyDescent="0.3">
      <c r="A461" s="199" t="e">
        <f>IF(AND(E460&lt;&gt;"", A456&lt;&gt;""), A456+1, "")</f>
        <v>#REF!</v>
      </c>
      <c r="B461" s="419"/>
      <c r="C461" s="422"/>
      <c r="D461" s="197" t="s">
        <v>420</v>
      </c>
      <c r="E461" s="247">
        <v>0</v>
      </c>
      <c r="F461" s="248">
        <v>0</v>
      </c>
      <c r="G461" s="248">
        <v>0</v>
      </c>
      <c r="H461" s="273">
        <v>0</v>
      </c>
      <c r="I461" s="274">
        <v>0</v>
      </c>
    </row>
    <row r="462" spans="1:9" x14ac:dyDescent="0.3">
      <c r="A462" s="199" t="e">
        <f>IF(AND(E460&lt;&gt;"", A457&lt;&gt;""), A457+1, "")</f>
        <v>#REF!</v>
      </c>
      <c r="B462" s="419"/>
      <c r="C462" s="422"/>
      <c r="D462" s="197" t="s">
        <v>426</v>
      </c>
      <c r="E462" s="247">
        <v>0</v>
      </c>
      <c r="F462" s="248">
        <v>0</v>
      </c>
      <c r="G462" s="248">
        <v>0</v>
      </c>
      <c r="H462" s="273">
        <v>0</v>
      </c>
      <c r="I462" s="274">
        <v>0</v>
      </c>
    </row>
    <row r="463" spans="1:9" x14ac:dyDescent="0.3">
      <c r="A463" s="199" t="e">
        <f>IF(AND(E460&lt;&gt;"", A458&lt;&gt;""), A458+1, "")</f>
        <v>#REF!</v>
      </c>
      <c r="B463" s="419"/>
      <c r="C463" s="422"/>
      <c r="D463" s="197" t="s">
        <v>424</v>
      </c>
      <c r="E463" s="247">
        <v>0</v>
      </c>
      <c r="F463" s="248">
        <v>0</v>
      </c>
      <c r="G463" s="248">
        <v>0</v>
      </c>
      <c r="H463" s="273">
        <v>0</v>
      </c>
      <c r="I463" s="274">
        <v>0</v>
      </c>
    </row>
    <row r="464" spans="1:9" ht="15.75" customHeight="1" thickBot="1" x14ac:dyDescent="0.35">
      <c r="A464" s="199" t="e">
        <f>IF(AND(E460&lt;&gt;"", A459&lt;&gt;""), A459+1, "")</f>
        <v>#REF!</v>
      </c>
      <c r="B464" s="420"/>
      <c r="C464" s="404"/>
      <c r="D464" s="198" t="s">
        <v>450</v>
      </c>
      <c r="E464" s="251">
        <v>0</v>
      </c>
      <c r="F464" s="252">
        <v>0</v>
      </c>
      <c r="G464" s="252">
        <v>0</v>
      </c>
      <c r="H464" s="275">
        <v>0</v>
      </c>
      <c r="I464" s="276">
        <v>0</v>
      </c>
    </row>
    <row r="465" spans="1:9" x14ac:dyDescent="0.3">
      <c r="A465" s="199" t="e">
        <f>IF(AND(E465&lt;&gt;"", A460&lt;&gt;""), A460+1, "")</f>
        <v>#REF!</v>
      </c>
      <c r="B465" s="418">
        <v>46341</v>
      </c>
      <c r="C465" s="421">
        <f>B465</f>
        <v>46341</v>
      </c>
      <c r="D465" s="196" t="s">
        <v>418</v>
      </c>
      <c r="E465" s="243">
        <v>0</v>
      </c>
      <c r="F465" s="244">
        <v>0</v>
      </c>
      <c r="G465" s="244">
        <v>0</v>
      </c>
      <c r="H465" s="271">
        <v>0</v>
      </c>
      <c r="I465" s="272">
        <v>0</v>
      </c>
    </row>
    <row r="466" spans="1:9" x14ac:dyDescent="0.3">
      <c r="A466" s="199" t="e">
        <f>IF(AND(E465&lt;&gt;"", A461&lt;&gt;""), A461+1, "")</f>
        <v>#REF!</v>
      </c>
      <c r="B466" s="419"/>
      <c r="C466" s="422"/>
      <c r="D466" s="197" t="s">
        <v>420</v>
      </c>
      <c r="E466" s="247">
        <v>0</v>
      </c>
      <c r="F466" s="248">
        <v>0</v>
      </c>
      <c r="G466" s="248">
        <v>0</v>
      </c>
      <c r="H466" s="273">
        <v>0</v>
      </c>
      <c r="I466" s="274">
        <v>0</v>
      </c>
    </row>
    <row r="467" spans="1:9" x14ac:dyDescent="0.3">
      <c r="A467" s="199" t="e">
        <f>IF(AND(E465&lt;&gt;"", A462&lt;&gt;""), A462+1, "")</f>
        <v>#REF!</v>
      </c>
      <c r="B467" s="419"/>
      <c r="C467" s="422"/>
      <c r="D467" s="197" t="s">
        <v>426</v>
      </c>
      <c r="E467" s="247">
        <v>0</v>
      </c>
      <c r="F467" s="248">
        <v>0</v>
      </c>
      <c r="G467" s="248">
        <v>0</v>
      </c>
      <c r="H467" s="273">
        <v>0</v>
      </c>
      <c r="I467" s="274">
        <v>0</v>
      </c>
    </row>
    <row r="468" spans="1:9" x14ac:dyDescent="0.3">
      <c r="A468" s="199" t="e">
        <f>IF(AND(E465&lt;&gt;"", A463&lt;&gt;""), A463+1, "")</f>
        <v>#REF!</v>
      </c>
      <c r="B468" s="419"/>
      <c r="C468" s="422"/>
      <c r="D468" s="197" t="s">
        <v>424</v>
      </c>
      <c r="E468" s="247">
        <v>0</v>
      </c>
      <c r="F468" s="248">
        <v>0</v>
      </c>
      <c r="G468" s="248">
        <v>0</v>
      </c>
      <c r="H468" s="273">
        <v>0</v>
      </c>
      <c r="I468" s="274">
        <v>0</v>
      </c>
    </row>
    <row r="469" spans="1:9" ht="15.75" customHeight="1" thickBot="1" x14ac:dyDescent="0.35">
      <c r="A469" s="199" t="e">
        <f>IF(AND(E465&lt;&gt;"", A464&lt;&gt;""), A464+1, "")</f>
        <v>#REF!</v>
      </c>
      <c r="B469" s="420"/>
      <c r="C469" s="404"/>
      <c r="D469" s="198" t="s">
        <v>450</v>
      </c>
      <c r="E469" s="251">
        <v>0</v>
      </c>
      <c r="F469" s="252">
        <v>0</v>
      </c>
      <c r="G469" s="252">
        <v>0</v>
      </c>
      <c r="H469" s="275">
        <v>0</v>
      </c>
      <c r="I469" s="276">
        <v>0</v>
      </c>
    </row>
    <row r="470" spans="1:9" x14ac:dyDescent="0.3">
      <c r="A470" s="199" t="e">
        <f>IF(AND(E470&lt;&gt;"", A465&lt;&gt;""), A465+1, "")</f>
        <v>#REF!</v>
      </c>
      <c r="B470" s="418">
        <v>46342</v>
      </c>
      <c r="C470" s="421">
        <f>B470</f>
        <v>46342</v>
      </c>
      <c r="D470" s="196" t="s">
        <v>418</v>
      </c>
      <c r="E470" s="243">
        <v>0</v>
      </c>
      <c r="F470" s="244">
        <v>0</v>
      </c>
      <c r="G470" s="244">
        <v>0</v>
      </c>
      <c r="H470" s="271">
        <v>0</v>
      </c>
      <c r="I470" s="272">
        <v>0</v>
      </c>
    </row>
    <row r="471" spans="1:9" x14ac:dyDescent="0.3">
      <c r="A471" s="199" t="e">
        <f>IF(AND(E470&lt;&gt;"", A466&lt;&gt;""), A466+1, "")</f>
        <v>#REF!</v>
      </c>
      <c r="B471" s="419"/>
      <c r="C471" s="422"/>
      <c r="D471" s="197" t="s">
        <v>420</v>
      </c>
      <c r="E471" s="247">
        <v>0</v>
      </c>
      <c r="F471" s="248">
        <v>0</v>
      </c>
      <c r="G471" s="248">
        <v>0</v>
      </c>
      <c r="H471" s="273">
        <v>0</v>
      </c>
      <c r="I471" s="274">
        <v>0</v>
      </c>
    </row>
    <row r="472" spans="1:9" x14ac:dyDescent="0.3">
      <c r="A472" s="199" t="e">
        <f>IF(AND(E470&lt;&gt;"", A467&lt;&gt;""), A467+1, "")</f>
        <v>#REF!</v>
      </c>
      <c r="B472" s="419"/>
      <c r="C472" s="422"/>
      <c r="D472" s="197" t="s">
        <v>426</v>
      </c>
      <c r="E472" s="247">
        <v>0</v>
      </c>
      <c r="F472" s="248">
        <v>0</v>
      </c>
      <c r="G472" s="248">
        <v>0</v>
      </c>
      <c r="H472" s="273">
        <v>0</v>
      </c>
      <c r="I472" s="274">
        <v>0</v>
      </c>
    </row>
    <row r="473" spans="1:9" x14ac:dyDescent="0.3">
      <c r="A473" s="199" t="e">
        <f>IF(AND(E470&lt;&gt;"", A468&lt;&gt;""), A468+1, "")</f>
        <v>#REF!</v>
      </c>
      <c r="B473" s="419"/>
      <c r="C473" s="422"/>
      <c r="D473" s="197" t="s">
        <v>424</v>
      </c>
      <c r="E473" s="247">
        <v>0</v>
      </c>
      <c r="F473" s="248">
        <v>0</v>
      </c>
      <c r="G473" s="248">
        <v>0</v>
      </c>
      <c r="H473" s="273">
        <v>0</v>
      </c>
      <c r="I473" s="274">
        <v>0</v>
      </c>
    </row>
    <row r="474" spans="1:9" ht="15.75" customHeight="1" thickBot="1" x14ac:dyDescent="0.35">
      <c r="A474" s="199" t="e">
        <f>IF(AND(E470&lt;&gt;"", A469&lt;&gt;""), A469+1, "")</f>
        <v>#REF!</v>
      </c>
      <c r="B474" s="420"/>
      <c r="C474" s="404"/>
      <c r="D474" s="198" t="s">
        <v>450</v>
      </c>
      <c r="E474" s="251">
        <v>0</v>
      </c>
      <c r="F474" s="252">
        <v>0</v>
      </c>
      <c r="G474" s="252">
        <v>0</v>
      </c>
      <c r="H474" s="275">
        <v>0</v>
      </c>
      <c r="I474" s="276">
        <v>0</v>
      </c>
    </row>
    <row r="475" spans="1:9" x14ac:dyDescent="0.3">
      <c r="A475" s="199" t="e">
        <f>IF(AND(E475&lt;&gt;"", A470&lt;&gt;""), A470+1, "")</f>
        <v>#REF!</v>
      </c>
      <c r="B475" s="418">
        <v>46343</v>
      </c>
      <c r="C475" s="421">
        <f>B475</f>
        <v>46343</v>
      </c>
      <c r="D475" s="196" t="s">
        <v>418</v>
      </c>
      <c r="E475" s="243">
        <v>0</v>
      </c>
      <c r="F475" s="244">
        <v>0</v>
      </c>
      <c r="G475" s="244">
        <v>0</v>
      </c>
      <c r="H475" s="271">
        <v>0</v>
      </c>
      <c r="I475" s="272">
        <v>0</v>
      </c>
    </row>
    <row r="476" spans="1:9" x14ac:dyDescent="0.3">
      <c r="A476" s="199" t="e">
        <f>IF(AND(E475&lt;&gt;"", A471&lt;&gt;""), A471+1, "")</f>
        <v>#REF!</v>
      </c>
      <c r="B476" s="419"/>
      <c r="C476" s="422"/>
      <c r="D476" s="197" t="s">
        <v>420</v>
      </c>
      <c r="E476" s="247">
        <v>0</v>
      </c>
      <c r="F476" s="248">
        <v>0</v>
      </c>
      <c r="G476" s="248">
        <v>0</v>
      </c>
      <c r="H476" s="273">
        <v>0</v>
      </c>
      <c r="I476" s="274">
        <v>0</v>
      </c>
    </row>
    <row r="477" spans="1:9" x14ac:dyDescent="0.3">
      <c r="A477" s="199" t="e">
        <f>IF(AND(E475&lt;&gt;"", A472&lt;&gt;""), A472+1, "")</f>
        <v>#REF!</v>
      </c>
      <c r="B477" s="419"/>
      <c r="C477" s="422"/>
      <c r="D477" s="197" t="s">
        <v>426</v>
      </c>
      <c r="E477" s="247">
        <v>0</v>
      </c>
      <c r="F477" s="248">
        <v>0</v>
      </c>
      <c r="G477" s="248">
        <v>0</v>
      </c>
      <c r="H477" s="273">
        <v>0</v>
      </c>
      <c r="I477" s="274">
        <v>0</v>
      </c>
    </row>
    <row r="478" spans="1:9" x14ac:dyDescent="0.3">
      <c r="A478" s="199" t="e">
        <f>IF(AND(E475&lt;&gt;"", A473&lt;&gt;""), A473+1, "")</f>
        <v>#REF!</v>
      </c>
      <c r="B478" s="419"/>
      <c r="C478" s="422"/>
      <c r="D478" s="197" t="s">
        <v>424</v>
      </c>
      <c r="E478" s="247">
        <v>0</v>
      </c>
      <c r="F478" s="248">
        <v>0</v>
      </c>
      <c r="G478" s="248">
        <v>0</v>
      </c>
      <c r="H478" s="273">
        <v>0</v>
      </c>
      <c r="I478" s="274">
        <v>0</v>
      </c>
    </row>
    <row r="479" spans="1:9" ht="15.75" customHeight="1" thickBot="1" x14ac:dyDescent="0.35">
      <c r="A479" s="199" t="e">
        <f>IF(AND(E475&lt;&gt;"", A474&lt;&gt;""), A474+1, "")</f>
        <v>#REF!</v>
      </c>
      <c r="B479" s="420"/>
      <c r="C479" s="404"/>
      <c r="D479" s="198" t="s">
        <v>450</v>
      </c>
      <c r="E479" s="251">
        <v>0</v>
      </c>
      <c r="F479" s="252">
        <v>0</v>
      </c>
      <c r="G479" s="252">
        <v>0</v>
      </c>
      <c r="H479" s="275">
        <v>0</v>
      </c>
      <c r="I479" s="276">
        <v>0</v>
      </c>
    </row>
    <row r="480" spans="1:9" x14ac:dyDescent="0.3">
      <c r="A480" s="199" t="e">
        <f>IF(AND(E480&lt;&gt;"", A475&lt;&gt;""), A475+1, "")</f>
        <v>#REF!</v>
      </c>
      <c r="B480" s="418">
        <v>46344</v>
      </c>
      <c r="C480" s="421">
        <f>B480</f>
        <v>46344</v>
      </c>
      <c r="D480" s="196" t="s">
        <v>418</v>
      </c>
      <c r="E480" s="243">
        <v>0</v>
      </c>
      <c r="F480" s="244">
        <v>0</v>
      </c>
      <c r="G480" s="244">
        <v>0</v>
      </c>
      <c r="H480" s="271">
        <v>0</v>
      </c>
      <c r="I480" s="272">
        <v>0</v>
      </c>
    </row>
    <row r="481" spans="1:9" x14ac:dyDescent="0.3">
      <c r="A481" s="199" t="e">
        <f>IF(AND(E480&lt;&gt;"", A476&lt;&gt;""), A476+1, "")</f>
        <v>#REF!</v>
      </c>
      <c r="B481" s="419"/>
      <c r="C481" s="422"/>
      <c r="D481" s="197" t="s">
        <v>420</v>
      </c>
      <c r="E481" s="247">
        <v>0</v>
      </c>
      <c r="F481" s="248">
        <v>0</v>
      </c>
      <c r="G481" s="248">
        <v>0</v>
      </c>
      <c r="H481" s="273">
        <v>0</v>
      </c>
      <c r="I481" s="274">
        <v>0</v>
      </c>
    </row>
    <row r="482" spans="1:9" x14ac:dyDescent="0.3">
      <c r="A482" s="199" t="e">
        <f>IF(AND(E480&lt;&gt;"", A477&lt;&gt;""), A477+1, "")</f>
        <v>#REF!</v>
      </c>
      <c r="B482" s="419"/>
      <c r="C482" s="422"/>
      <c r="D482" s="197" t="s">
        <v>426</v>
      </c>
      <c r="E482" s="247">
        <v>0</v>
      </c>
      <c r="F482" s="248">
        <v>0</v>
      </c>
      <c r="G482" s="248">
        <v>0</v>
      </c>
      <c r="H482" s="273">
        <v>0</v>
      </c>
      <c r="I482" s="274">
        <v>0</v>
      </c>
    </row>
    <row r="483" spans="1:9" x14ac:dyDescent="0.3">
      <c r="A483" s="199" t="e">
        <f>IF(AND(E480&lt;&gt;"", A478&lt;&gt;""), A478+1, "")</f>
        <v>#REF!</v>
      </c>
      <c r="B483" s="419"/>
      <c r="C483" s="422"/>
      <c r="D483" s="197" t="s">
        <v>424</v>
      </c>
      <c r="E483" s="247">
        <v>0</v>
      </c>
      <c r="F483" s="248">
        <v>0</v>
      </c>
      <c r="G483" s="248">
        <v>0</v>
      </c>
      <c r="H483" s="273">
        <v>0</v>
      </c>
      <c r="I483" s="274">
        <v>0</v>
      </c>
    </row>
    <row r="484" spans="1:9" ht="15.75" customHeight="1" thickBot="1" x14ac:dyDescent="0.35">
      <c r="A484" s="199" t="e">
        <f>IF(AND(E480&lt;&gt;"", A479&lt;&gt;""), A479+1, "")</f>
        <v>#REF!</v>
      </c>
      <c r="B484" s="420"/>
      <c r="C484" s="404"/>
      <c r="D484" s="198" t="s">
        <v>450</v>
      </c>
      <c r="E484" s="251">
        <v>0</v>
      </c>
      <c r="F484" s="252">
        <v>0</v>
      </c>
      <c r="G484" s="252">
        <v>0</v>
      </c>
      <c r="H484" s="275">
        <v>0</v>
      </c>
      <c r="I484" s="276">
        <v>0</v>
      </c>
    </row>
    <row r="485" spans="1:9" x14ac:dyDescent="0.3">
      <c r="A485" s="199" t="e">
        <f>IF(AND(E485&lt;&gt;"", A480&lt;&gt;""), A480+1, "")</f>
        <v>#REF!</v>
      </c>
      <c r="B485" s="418">
        <v>46345</v>
      </c>
      <c r="C485" s="421">
        <f>B485</f>
        <v>46345</v>
      </c>
      <c r="D485" s="196" t="s">
        <v>418</v>
      </c>
      <c r="E485" s="243">
        <v>0</v>
      </c>
      <c r="F485" s="244">
        <v>0</v>
      </c>
      <c r="G485" s="244">
        <v>0</v>
      </c>
      <c r="H485" s="271">
        <v>0</v>
      </c>
      <c r="I485" s="272">
        <v>0</v>
      </c>
    </row>
    <row r="486" spans="1:9" x14ac:dyDescent="0.3">
      <c r="A486" s="199" t="e">
        <f>IF(AND(E485&lt;&gt;"", A481&lt;&gt;""), A481+1, "")</f>
        <v>#REF!</v>
      </c>
      <c r="B486" s="419"/>
      <c r="C486" s="422"/>
      <c r="D486" s="197" t="s">
        <v>420</v>
      </c>
      <c r="E486" s="247">
        <v>0</v>
      </c>
      <c r="F486" s="248">
        <v>0</v>
      </c>
      <c r="G486" s="248">
        <v>0</v>
      </c>
      <c r="H486" s="273">
        <v>0</v>
      </c>
      <c r="I486" s="274">
        <v>0</v>
      </c>
    </row>
    <row r="487" spans="1:9" x14ac:dyDescent="0.3">
      <c r="A487" s="199" t="e">
        <f>IF(AND(E485&lt;&gt;"", A482&lt;&gt;""), A482+1, "")</f>
        <v>#REF!</v>
      </c>
      <c r="B487" s="419"/>
      <c r="C487" s="422"/>
      <c r="D487" s="197" t="s">
        <v>426</v>
      </c>
      <c r="E487" s="247">
        <v>0</v>
      </c>
      <c r="F487" s="248">
        <v>0</v>
      </c>
      <c r="G487" s="248">
        <v>0</v>
      </c>
      <c r="H487" s="273">
        <v>0</v>
      </c>
      <c r="I487" s="274">
        <v>0</v>
      </c>
    </row>
    <row r="488" spans="1:9" x14ac:dyDescent="0.3">
      <c r="A488" s="199" t="e">
        <f>IF(AND(E485&lt;&gt;"", A483&lt;&gt;""), A483+1, "")</f>
        <v>#REF!</v>
      </c>
      <c r="B488" s="419"/>
      <c r="C488" s="422"/>
      <c r="D488" s="197" t="s">
        <v>424</v>
      </c>
      <c r="E488" s="247">
        <v>0</v>
      </c>
      <c r="F488" s="248">
        <v>0</v>
      </c>
      <c r="G488" s="248">
        <v>0</v>
      </c>
      <c r="H488" s="273">
        <v>0</v>
      </c>
      <c r="I488" s="274">
        <v>0</v>
      </c>
    </row>
    <row r="489" spans="1:9" ht="15.75" customHeight="1" thickBot="1" x14ac:dyDescent="0.35">
      <c r="A489" s="199" t="e">
        <f>IF(AND(E485&lt;&gt;"", A484&lt;&gt;""), A484+1, "")</f>
        <v>#REF!</v>
      </c>
      <c r="B489" s="420"/>
      <c r="C489" s="404"/>
      <c r="D489" s="198" t="s">
        <v>450</v>
      </c>
      <c r="E489" s="251">
        <v>0</v>
      </c>
      <c r="F489" s="252">
        <v>0</v>
      </c>
      <c r="G489" s="252">
        <v>0</v>
      </c>
      <c r="H489" s="275">
        <v>0</v>
      </c>
      <c r="I489" s="276">
        <v>0</v>
      </c>
    </row>
    <row r="490" spans="1:9" x14ac:dyDescent="0.3">
      <c r="A490" s="199" t="e">
        <f>IF(AND(E490&lt;&gt;"", A485&lt;&gt;""), A485+1, "")</f>
        <v>#REF!</v>
      </c>
      <c r="B490" s="418">
        <v>46346</v>
      </c>
      <c r="C490" s="421">
        <f>B490</f>
        <v>46346</v>
      </c>
      <c r="D490" s="196" t="s">
        <v>418</v>
      </c>
      <c r="E490" s="243">
        <v>0</v>
      </c>
      <c r="F490" s="244">
        <v>0</v>
      </c>
      <c r="G490" s="244">
        <v>0</v>
      </c>
      <c r="H490" s="271">
        <v>0</v>
      </c>
      <c r="I490" s="272">
        <v>0</v>
      </c>
    </row>
    <row r="491" spans="1:9" x14ac:dyDescent="0.3">
      <c r="A491" s="199" t="e">
        <f>IF(AND(E490&lt;&gt;"", A486&lt;&gt;""), A486+1, "")</f>
        <v>#REF!</v>
      </c>
      <c r="B491" s="419"/>
      <c r="C491" s="422"/>
      <c r="D491" s="197" t="s">
        <v>420</v>
      </c>
      <c r="E491" s="247">
        <v>0</v>
      </c>
      <c r="F491" s="248">
        <v>0</v>
      </c>
      <c r="G491" s="248">
        <v>0</v>
      </c>
      <c r="H491" s="273">
        <v>0</v>
      </c>
      <c r="I491" s="274">
        <v>0</v>
      </c>
    </row>
    <row r="492" spans="1:9" x14ac:dyDescent="0.3">
      <c r="A492" s="199" t="e">
        <f>IF(AND(E490&lt;&gt;"", A487&lt;&gt;""), A487+1, "")</f>
        <v>#REF!</v>
      </c>
      <c r="B492" s="419"/>
      <c r="C492" s="422"/>
      <c r="D492" s="197" t="s">
        <v>426</v>
      </c>
      <c r="E492" s="247">
        <v>0</v>
      </c>
      <c r="F492" s="248">
        <v>0</v>
      </c>
      <c r="G492" s="248">
        <v>0</v>
      </c>
      <c r="H492" s="273">
        <v>0</v>
      </c>
      <c r="I492" s="274">
        <v>0</v>
      </c>
    </row>
    <row r="493" spans="1:9" x14ac:dyDescent="0.3">
      <c r="A493" s="199" t="e">
        <f>IF(AND(E490&lt;&gt;"", A488&lt;&gt;""), A488+1, "")</f>
        <v>#REF!</v>
      </c>
      <c r="B493" s="419"/>
      <c r="C493" s="422"/>
      <c r="D493" s="197" t="s">
        <v>424</v>
      </c>
      <c r="E493" s="247">
        <v>0</v>
      </c>
      <c r="F493" s="248">
        <v>0</v>
      </c>
      <c r="G493" s="248">
        <v>0</v>
      </c>
      <c r="H493" s="273">
        <v>0</v>
      </c>
      <c r="I493" s="274">
        <v>0</v>
      </c>
    </row>
    <row r="494" spans="1:9" ht="15.75" customHeight="1" thickBot="1" x14ac:dyDescent="0.35">
      <c r="A494" s="199" t="e">
        <f>IF(AND(E490&lt;&gt;"", A489&lt;&gt;""), A489+1, "")</f>
        <v>#REF!</v>
      </c>
      <c r="B494" s="420"/>
      <c r="C494" s="404"/>
      <c r="D494" s="198" t="s">
        <v>450</v>
      </c>
      <c r="E494" s="251">
        <v>0</v>
      </c>
      <c r="F494" s="252">
        <v>0</v>
      </c>
      <c r="G494" s="252">
        <v>0</v>
      </c>
      <c r="H494" s="275">
        <v>0</v>
      </c>
      <c r="I494" s="276">
        <v>0</v>
      </c>
    </row>
    <row r="495" spans="1:9" x14ac:dyDescent="0.3">
      <c r="A495" s="199" t="e">
        <f>IF(AND(E495&lt;&gt;"", A490&lt;&gt;""), A490+1, "")</f>
        <v>#REF!</v>
      </c>
      <c r="B495" s="418">
        <v>46347</v>
      </c>
      <c r="C495" s="421">
        <f>B495</f>
        <v>46347</v>
      </c>
      <c r="D495" s="196" t="s">
        <v>418</v>
      </c>
      <c r="E495" s="243">
        <v>0</v>
      </c>
      <c r="F495" s="244">
        <v>0</v>
      </c>
      <c r="G495" s="244">
        <v>0</v>
      </c>
      <c r="H495" s="271">
        <v>0</v>
      </c>
      <c r="I495" s="272">
        <v>0</v>
      </c>
    </row>
    <row r="496" spans="1:9" x14ac:dyDescent="0.3">
      <c r="A496" s="199" t="e">
        <f>IF(AND(E495&lt;&gt;"", A491&lt;&gt;""), A491+1, "")</f>
        <v>#REF!</v>
      </c>
      <c r="B496" s="419"/>
      <c r="C496" s="422"/>
      <c r="D496" s="197" t="s">
        <v>420</v>
      </c>
      <c r="E496" s="247">
        <v>0</v>
      </c>
      <c r="F496" s="248">
        <v>0</v>
      </c>
      <c r="G496" s="248">
        <v>0</v>
      </c>
      <c r="H496" s="273">
        <v>0</v>
      </c>
      <c r="I496" s="274">
        <v>0</v>
      </c>
    </row>
    <row r="497" spans="1:9" x14ac:dyDescent="0.3">
      <c r="A497" s="199" t="e">
        <f>IF(AND(E495&lt;&gt;"", A492&lt;&gt;""), A492+1, "")</f>
        <v>#REF!</v>
      </c>
      <c r="B497" s="419"/>
      <c r="C497" s="422"/>
      <c r="D497" s="197" t="s">
        <v>426</v>
      </c>
      <c r="E497" s="247">
        <v>0</v>
      </c>
      <c r="F497" s="248">
        <v>0</v>
      </c>
      <c r="G497" s="248">
        <v>0</v>
      </c>
      <c r="H497" s="273">
        <v>0</v>
      </c>
      <c r="I497" s="274">
        <v>0</v>
      </c>
    </row>
    <row r="498" spans="1:9" x14ac:dyDescent="0.3">
      <c r="A498" s="199" t="e">
        <f>IF(AND(E495&lt;&gt;"", A493&lt;&gt;""), A493+1, "")</f>
        <v>#REF!</v>
      </c>
      <c r="B498" s="419"/>
      <c r="C498" s="422"/>
      <c r="D498" s="197" t="s">
        <v>424</v>
      </c>
      <c r="E498" s="247">
        <v>0</v>
      </c>
      <c r="F498" s="248">
        <v>0</v>
      </c>
      <c r="G498" s="248">
        <v>0</v>
      </c>
      <c r="H498" s="273">
        <v>0</v>
      </c>
      <c r="I498" s="274">
        <v>0</v>
      </c>
    </row>
    <row r="499" spans="1:9" ht="15.75" customHeight="1" thickBot="1" x14ac:dyDescent="0.35">
      <c r="A499" s="199" t="e">
        <f>IF(AND(E495&lt;&gt;"", A494&lt;&gt;""), A494+1, "")</f>
        <v>#REF!</v>
      </c>
      <c r="B499" s="420"/>
      <c r="C499" s="404"/>
      <c r="D499" s="198" t="s">
        <v>450</v>
      </c>
      <c r="E499" s="251">
        <v>0</v>
      </c>
      <c r="F499" s="252">
        <v>0</v>
      </c>
      <c r="G499" s="252">
        <v>0</v>
      </c>
      <c r="H499" s="275">
        <v>0</v>
      </c>
      <c r="I499" s="276">
        <v>0</v>
      </c>
    </row>
    <row r="500" spans="1:9" x14ac:dyDescent="0.3">
      <c r="A500" s="199" t="e">
        <f>IF(AND(E500&lt;&gt;"", A495&lt;&gt;""), A495+1, "")</f>
        <v>#REF!</v>
      </c>
      <c r="B500" s="418">
        <v>46348</v>
      </c>
      <c r="C500" s="421">
        <f>B500</f>
        <v>46348</v>
      </c>
      <c r="D500" s="196" t="s">
        <v>418</v>
      </c>
      <c r="E500" s="243">
        <v>0</v>
      </c>
      <c r="F500" s="244">
        <v>0</v>
      </c>
      <c r="G500" s="244">
        <v>0</v>
      </c>
      <c r="H500" s="271">
        <v>0</v>
      </c>
      <c r="I500" s="272">
        <v>0</v>
      </c>
    </row>
    <row r="501" spans="1:9" x14ac:dyDescent="0.3">
      <c r="A501" s="199" t="e">
        <f>IF(AND(E500&lt;&gt;"", A496&lt;&gt;""), A496+1, "")</f>
        <v>#REF!</v>
      </c>
      <c r="B501" s="419"/>
      <c r="C501" s="422"/>
      <c r="D501" s="197" t="s">
        <v>420</v>
      </c>
      <c r="E501" s="247">
        <v>0</v>
      </c>
      <c r="F501" s="248">
        <v>0</v>
      </c>
      <c r="G501" s="248">
        <v>0</v>
      </c>
      <c r="H501" s="273">
        <v>0</v>
      </c>
      <c r="I501" s="274">
        <v>0</v>
      </c>
    </row>
    <row r="502" spans="1:9" x14ac:dyDescent="0.3">
      <c r="A502" s="199" t="e">
        <f>IF(AND(E500&lt;&gt;"", A497&lt;&gt;""), A497+1, "")</f>
        <v>#REF!</v>
      </c>
      <c r="B502" s="419"/>
      <c r="C502" s="422"/>
      <c r="D502" s="197" t="s">
        <v>426</v>
      </c>
      <c r="E502" s="247">
        <v>0</v>
      </c>
      <c r="F502" s="248">
        <v>0</v>
      </c>
      <c r="G502" s="248">
        <v>0</v>
      </c>
      <c r="H502" s="273">
        <v>0</v>
      </c>
      <c r="I502" s="274">
        <v>0</v>
      </c>
    </row>
    <row r="503" spans="1:9" x14ac:dyDescent="0.3">
      <c r="A503" s="199" t="e">
        <f>IF(AND(E500&lt;&gt;"", A498&lt;&gt;""), A498+1, "")</f>
        <v>#REF!</v>
      </c>
      <c r="B503" s="419"/>
      <c r="C503" s="422"/>
      <c r="D503" s="197" t="s">
        <v>424</v>
      </c>
      <c r="E503" s="247">
        <v>0</v>
      </c>
      <c r="F503" s="248">
        <v>0</v>
      </c>
      <c r="G503" s="248">
        <v>0</v>
      </c>
      <c r="H503" s="273">
        <v>0</v>
      </c>
      <c r="I503" s="274">
        <v>0</v>
      </c>
    </row>
    <row r="504" spans="1:9" ht="15.75" customHeight="1" thickBot="1" x14ac:dyDescent="0.35">
      <c r="A504" s="199" t="e">
        <f>IF(AND(E500&lt;&gt;"", A499&lt;&gt;""), A499+1, "")</f>
        <v>#REF!</v>
      </c>
      <c r="B504" s="420"/>
      <c r="C504" s="404"/>
      <c r="D504" s="198" t="s">
        <v>450</v>
      </c>
      <c r="E504" s="251">
        <v>0</v>
      </c>
      <c r="F504" s="252">
        <v>0</v>
      </c>
      <c r="G504" s="252">
        <v>0</v>
      </c>
      <c r="H504" s="275">
        <v>0</v>
      </c>
      <c r="I504" s="276">
        <v>0</v>
      </c>
    </row>
    <row r="505" spans="1:9" x14ac:dyDescent="0.3">
      <c r="A505" s="199" t="e">
        <f>IF(AND(E505&lt;&gt;"", A500&lt;&gt;""), A500+1, "")</f>
        <v>#REF!</v>
      </c>
      <c r="B505" s="418">
        <v>46349</v>
      </c>
      <c r="C505" s="421">
        <f>B505</f>
        <v>46349</v>
      </c>
      <c r="D505" s="196" t="s">
        <v>418</v>
      </c>
      <c r="E505" s="243">
        <v>0</v>
      </c>
      <c r="F505" s="244">
        <v>0</v>
      </c>
      <c r="G505" s="244">
        <v>0</v>
      </c>
      <c r="H505" s="271">
        <v>0</v>
      </c>
      <c r="I505" s="272">
        <v>0</v>
      </c>
    </row>
    <row r="506" spans="1:9" x14ac:dyDescent="0.3">
      <c r="A506" s="199" t="e">
        <f>IF(AND(E505&lt;&gt;"", A501&lt;&gt;""), A501+1, "")</f>
        <v>#REF!</v>
      </c>
      <c r="B506" s="419"/>
      <c r="C506" s="422"/>
      <c r="D506" s="197" t="s">
        <v>420</v>
      </c>
      <c r="E506" s="247">
        <v>0</v>
      </c>
      <c r="F506" s="248">
        <v>0</v>
      </c>
      <c r="G506" s="248">
        <v>0</v>
      </c>
      <c r="H506" s="273">
        <v>0</v>
      </c>
      <c r="I506" s="274">
        <v>0</v>
      </c>
    </row>
    <row r="507" spans="1:9" x14ac:dyDescent="0.3">
      <c r="A507" s="199" t="e">
        <f>IF(AND(E505&lt;&gt;"", A502&lt;&gt;""), A502+1, "")</f>
        <v>#REF!</v>
      </c>
      <c r="B507" s="419"/>
      <c r="C507" s="422"/>
      <c r="D507" s="197" t="s">
        <v>426</v>
      </c>
      <c r="E507" s="247">
        <v>0</v>
      </c>
      <c r="F507" s="248">
        <v>0</v>
      </c>
      <c r="G507" s="248">
        <v>0</v>
      </c>
      <c r="H507" s="273">
        <v>0</v>
      </c>
      <c r="I507" s="274">
        <v>0</v>
      </c>
    </row>
    <row r="508" spans="1:9" x14ac:dyDescent="0.3">
      <c r="A508" s="199" t="e">
        <f>IF(AND(E505&lt;&gt;"", A503&lt;&gt;""), A503+1, "")</f>
        <v>#REF!</v>
      </c>
      <c r="B508" s="419"/>
      <c r="C508" s="422"/>
      <c r="D508" s="197" t="s">
        <v>424</v>
      </c>
      <c r="E508" s="247">
        <v>0</v>
      </c>
      <c r="F508" s="248">
        <v>0</v>
      </c>
      <c r="G508" s="248">
        <v>0</v>
      </c>
      <c r="H508" s="273">
        <v>0</v>
      </c>
      <c r="I508" s="274">
        <v>0</v>
      </c>
    </row>
    <row r="509" spans="1:9" ht="15.75" customHeight="1" thickBot="1" x14ac:dyDescent="0.35">
      <c r="A509" s="199" t="e">
        <f>IF(AND(E505&lt;&gt;"", A504&lt;&gt;""), A504+1, "")</f>
        <v>#REF!</v>
      </c>
      <c r="B509" s="420"/>
      <c r="C509" s="404"/>
      <c r="D509" s="198" t="s">
        <v>450</v>
      </c>
      <c r="E509" s="251">
        <v>0</v>
      </c>
      <c r="F509" s="252">
        <v>0</v>
      </c>
      <c r="G509" s="252">
        <v>0</v>
      </c>
      <c r="H509" s="275">
        <v>0</v>
      </c>
      <c r="I509" s="276">
        <v>0</v>
      </c>
    </row>
    <row r="510" spans="1:9" x14ac:dyDescent="0.3">
      <c r="A510" s="199" t="e">
        <f>IF(AND(E510&lt;&gt;"", A505&lt;&gt;""), A505+1, "")</f>
        <v>#REF!</v>
      </c>
      <c r="B510" s="418">
        <v>46350</v>
      </c>
      <c r="C510" s="421">
        <f>B510</f>
        <v>46350</v>
      </c>
      <c r="D510" s="196" t="s">
        <v>418</v>
      </c>
      <c r="E510" s="243">
        <v>0</v>
      </c>
      <c r="F510" s="244">
        <v>0</v>
      </c>
      <c r="G510" s="244">
        <v>0</v>
      </c>
      <c r="H510" s="271">
        <v>0</v>
      </c>
      <c r="I510" s="272">
        <v>0</v>
      </c>
    </row>
    <row r="511" spans="1:9" x14ac:dyDescent="0.3">
      <c r="A511" s="199" t="e">
        <f>IF(AND(E510&lt;&gt;"", A506&lt;&gt;""), A506+1, "")</f>
        <v>#REF!</v>
      </c>
      <c r="B511" s="419"/>
      <c r="C511" s="422"/>
      <c r="D511" s="197" t="s">
        <v>420</v>
      </c>
      <c r="E511" s="247">
        <v>0</v>
      </c>
      <c r="F511" s="248">
        <v>0</v>
      </c>
      <c r="G511" s="248">
        <v>0</v>
      </c>
      <c r="H511" s="273">
        <v>0</v>
      </c>
      <c r="I511" s="274">
        <v>0</v>
      </c>
    </row>
    <row r="512" spans="1:9" x14ac:dyDescent="0.3">
      <c r="A512" s="199" t="e">
        <f>IF(AND(E510&lt;&gt;"", A507&lt;&gt;""), A507+1, "")</f>
        <v>#REF!</v>
      </c>
      <c r="B512" s="419"/>
      <c r="C512" s="422"/>
      <c r="D512" s="197" t="s">
        <v>426</v>
      </c>
      <c r="E512" s="247">
        <v>0</v>
      </c>
      <c r="F512" s="248">
        <v>0</v>
      </c>
      <c r="G512" s="248">
        <v>0</v>
      </c>
      <c r="H512" s="273">
        <v>0</v>
      </c>
      <c r="I512" s="274">
        <v>0</v>
      </c>
    </row>
    <row r="513" spans="1:9" x14ac:dyDescent="0.3">
      <c r="A513" s="199" t="e">
        <f>IF(AND(E510&lt;&gt;"", A508&lt;&gt;""), A508+1, "")</f>
        <v>#REF!</v>
      </c>
      <c r="B513" s="419"/>
      <c r="C513" s="422"/>
      <c r="D513" s="197" t="s">
        <v>424</v>
      </c>
      <c r="E513" s="247">
        <v>0</v>
      </c>
      <c r="F513" s="248">
        <v>0</v>
      </c>
      <c r="G513" s="248">
        <v>0</v>
      </c>
      <c r="H513" s="273">
        <v>0</v>
      </c>
      <c r="I513" s="274">
        <v>0</v>
      </c>
    </row>
    <row r="514" spans="1:9" ht="15.75" customHeight="1" thickBot="1" x14ac:dyDescent="0.35">
      <c r="A514" s="199" t="e">
        <f>IF(AND(E510&lt;&gt;"", A509&lt;&gt;""), A509+1, "")</f>
        <v>#REF!</v>
      </c>
      <c r="B514" s="420"/>
      <c r="C514" s="404"/>
      <c r="D514" s="198" t="s">
        <v>450</v>
      </c>
      <c r="E514" s="251">
        <v>0</v>
      </c>
      <c r="F514" s="252">
        <v>0</v>
      </c>
      <c r="G514" s="252">
        <v>0</v>
      </c>
      <c r="H514" s="275">
        <v>0</v>
      </c>
      <c r="I514" s="276">
        <v>0</v>
      </c>
    </row>
    <row r="515" spans="1:9" x14ac:dyDescent="0.3">
      <c r="A515" s="199" t="e">
        <f>IF(AND(E515&lt;&gt;"", A510&lt;&gt;""), A510+1, "")</f>
        <v>#REF!</v>
      </c>
      <c r="B515" s="418">
        <v>46351</v>
      </c>
      <c r="C515" s="421">
        <f>B515</f>
        <v>46351</v>
      </c>
      <c r="D515" s="196" t="s">
        <v>418</v>
      </c>
      <c r="E515" s="243">
        <v>0</v>
      </c>
      <c r="F515" s="244">
        <v>0</v>
      </c>
      <c r="G515" s="244">
        <v>0</v>
      </c>
      <c r="H515" s="271">
        <v>0</v>
      </c>
      <c r="I515" s="272">
        <v>0</v>
      </c>
    </row>
    <row r="516" spans="1:9" x14ac:dyDescent="0.3">
      <c r="A516" s="199" t="e">
        <f>IF(AND(E515&lt;&gt;"", A511&lt;&gt;""), A511+1, "")</f>
        <v>#REF!</v>
      </c>
      <c r="B516" s="419"/>
      <c r="C516" s="422"/>
      <c r="D516" s="197" t="s">
        <v>420</v>
      </c>
      <c r="E516" s="247">
        <v>0</v>
      </c>
      <c r="F516" s="248">
        <v>0</v>
      </c>
      <c r="G516" s="248">
        <v>0</v>
      </c>
      <c r="H516" s="273">
        <v>0</v>
      </c>
      <c r="I516" s="274">
        <v>0</v>
      </c>
    </row>
    <row r="517" spans="1:9" x14ac:dyDescent="0.3">
      <c r="A517" s="199" t="e">
        <f>IF(AND(E515&lt;&gt;"", A512&lt;&gt;""), A512+1, "")</f>
        <v>#REF!</v>
      </c>
      <c r="B517" s="419"/>
      <c r="C517" s="422"/>
      <c r="D517" s="197" t="s">
        <v>426</v>
      </c>
      <c r="E517" s="247">
        <v>0</v>
      </c>
      <c r="F517" s="248">
        <v>0</v>
      </c>
      <c r="G517" s="248">
        <v>0</v>
      </c>
      <c r="H517" s="273">
        <v>0</v>
      </c>
      <c r="I517" s="274">
        <v>0</v>
      </c>
    </row>
    <row r="518" spans="1:9" x14ac:dyDescent="0.3">
      <c r="A518" s="199" t="e">
        <f>IF(AND(E515&lt;&gt;"", A513&lt;&gt;""), A513+1, "")</f>
        <v>#REF!</v>
      </c>
      <c r="B518" s="419"/>
      <c r="C518" s="422"/>
      <c r="D518" s="197" t="s">
        <v>424</v>
      </c>
      <c r="E518" s="247">
        <v>0</v>
      </c>
      <c r="F518" s="248">
        <v>0</v>
      </c>
      <c r="G518" s="248">
        <v>0</v>
      </c>
      <c r="H518" s="273">
        <v>0</v>
      </c>
      <c r="I518" s="274">
        <v>0</v>
      </c>
    </row>
    <row r="519" spans="1:9" ht="15.75" customHeight="1" thickBot="1" x14ac:dyDescent="0.35">
      <c r="A519" s="199" t="e">
        <f>IF(AND(E515&lt;&gt;"", A514&lt;&gt;""), A514+1, "")</f>
        <v>#REF!</v>
      </c>
      <c r="B519" s="420"/>
      <c r="C519" s="404"/>
      <c r="D519" s="198" t="s">
        <v>450</v>
      </c>
      <c r="E519" s="251">
        <v>0</v>
      </c>
      <c r="F519" s="252">
        <v>0</v>
      </c>
      <c r="G519" s="252">
        <v>0</v>
      </c>
      <c r="H519" s="275">
        <v>0</v>
      </c>
      <c r="I519" s="276">
        <v>0</v>
      </c>
    </row>
    <row r="520" spans="1:9" x14ac:dyDescent="0.3">
      <c r="A520" s="199" t="e">
        <f>IF(AND(E520&lt;&gt;"", A515&lt;&gt;""), A515+1, "")</f>
        <v>#REF!</v>
      </c>
      <c r="B520" s="418">
        <v>46352</v>
      </c>
      <c r="C520" s="421">
        <f>B520</f>
        <v>46352</v>
      </c>
      <c r="D520" s="196" t="s">
        <v>418</v>
      </c>
      <c r="E520" s="243">
        <v>0</v>
      </c>
      <c r="F520" s="244">
        <v>0</v>
      </c>
      <c r="G520" s="244">
        <v>0</v>
      </c>
      <c r="H520" s="271">
        <v>0</v>
      </c>
      <c r="I520" s="272">
        <v>0</v>
      </c>
    </row>
    <row r="521" spans="1:9" x14ac:dyDescent="0.3">
      <c r="A521" s="199" t="e">
        <f>IF(AND(E520&lt;&gt;"", A516&lt;&gt;""), A516+1, "")</f>
        <v>#REF!</v>
      </c>
      <c r="B521" s="419"/>
      <c r="C521" s="422"/>
      <c r="D521" s="197" t="s">
        <v>420</v>
      </c>
      <c r="E521" s="247">
        <v>0</v>
      </c>
      <c r="F521" s="248">
        <v>0</v>
      </c>
      <c r="G521" s="248">
        <v>0</v>
      </c>
      <c r="H521" s="273">
        <v>0</v>
      </c>
      <c r="I521" s="274">
        <v>0</v>
      </c>
    </row>
    <row r="522" spans="1:9" x14ac:dyDescent="0.3">
      <c r="A522" s="199" t="e">
        <f>IF(AND(E520&lt;&gt;"", A517&lt;&gt;""), A517+1, "")</f>
        <v>#REF!</v>
      </c>
      <c r="B522" s="419"/>
      <c r="C522" s="422"/>
      <c r="D522" s="197" t="s">
        <v>426</v>
      </c>
      <c r="E522" s="247">
        <v>0</v>
      </c>
      <c r="F522" s="248">
        <v>0</v>
      </c>
      <c r="G522" s="248">
        <v>0</v>
      </c>
      <c r="H522" s="273">
        <v>0</v>
      </c>
      <c r="I522" s="274">
        <v>0</v>
      </c>
    </row>
    <row r="523" spans="1:9" x14ac:dyDescent="0.3">
      <c r="A523" s="199" t="e">
        <f>IF(AND(E520&lt;&gt;"", A518&lt;&gt;""), A518+1, "")</f>
        <v>#REF!</v>
      </c>
      <c r="B523" s="419"/>
      <c r="C523" s="422"/>
      <c r="D523" s="197" t="s">
        <v>424</v>
      </c>
      <c r="E523" s="247">
        <v>0</v>
      </c>
      <c r="F523" s="248">
        <v>0</v>
      </c>
      <c r="G523" s="248">
        <v>0</v>
      </c>
      <c r="H523" s="273">
        <v>0</v>
      </c>
      <c r="I523" s="274">
        <v>0</v>
      </c>
    </row>
    <row r="524" spans="1:9" ht="15.75" customHeight="1" thickBot="1" x14ac:dyDescent="0.35">
      <c r="A524" s="199" t="e">
        <f>IF(AND(E520&lt;&gt;"", A519&lt;&gt;""), A519+1, "")</f>
        <v>#REF!</v>
      </c>
      <c r="B524" s="420"/>
      <c r="C524" s="404"/>
      <c r="D524" s="198" t="s">
        <v>450</v>
      </c>
      <c r="E524" s="251">
        <v>0</v>
      </c>
      <c r="F524" s="252">
        <v>0</v>
      </c>
      <c r="G524" s="252">
        <v>0</v>
      </c>
      <c r="H524" s="275">
        <v>0</v>
      </c>
      <c r="I524" s="276">
        <v>0</v>
      </c>
    </row>
    <row r="525" spans="1:9" x14ac:dyDescent="0.3">
      <c r="A525" s="199" t="e">
        <f>IF(AND(E525&lt;&gt;"", A520&lt;&gt;""), A520+1, "")</f>
        <v>#REF!</v>
      </c>
      <c r="B525" s="418">
        <v>46353</v>
      </c>
      <c r="C525" s="421">
        <f>B525</f>
        <v>46353</v>
      </c>
      <c r="D525" s="196" t="s">
        <v>418</v>
      </c>
      <c r="E525" s="243">
        <v>0</v>
      </c>
      <c r="F525" s="244">
        <v>0</v>
      </c>
      <c r="G525" s="244">
        <v>0</v>
      </c>
      <c r="H525" s="271">
        <v>0</v>
      </c>
      <c r="I525" s="272">
        <v>0</v>
      </c>
    </row>
    <row r="526" spans="1:9" x14ac:dyDescent="0.3">
      <c r="A526" s="199" t="e">
        <f>IF(AND(E525&lt;&gt;"", A521&lt;&gt;""), A521+1, "")</f>
        <v>#REF!</v>
      </c>
      <c r="B526" s="419"/>
      <c r="C526" s="422"/>
      <c r="D526" s="197" t="s">
        <v>420</v>
      </c>
      <c r="E526" s="247">
        <v>0</v>
      </c>
      <c r="F526" s="248">
        <v>0</v>
      </c>
      <c r="G526" s="248">
        <v>0</v>
      </c>
      <c r="H526" s="273">
        <v>0</v>
      </c>
      <c r="I526" s="274">
        <v>0</v>
      </c>
    </row>
    <row r="527" spans="1:9" x14ac:dyDescent="0.3">
      <c r="A527" s="199" t="e">
        <f>IF(AND(E525&lt;&gt;"", A522&lt;&gt;""), A522+1, "")</f>
        <v>#REF!</v>
      </c>
      <c r="B527" s="419"/>
      <c r="C527" s="422"/>
      <c r="D527" s="197" t="s">
        <v>426</v>
      </c>
      <c r="E527" s="247">
        <v>0</v>
      </c>
      <c r="F527" s="248">
        <v>0</v>
      </c>
      <c r="G527" s="248">
        <v>0</v>
      </c>
      <c r="H527" s="273">
        <v>0</v>
      </c>
      <c r="I527" s="274">
        <v>0</v>
      </c>
    </row>
    <row r="528" spans="1:9" x14ac:dyDescent="0.3">
      <c r="A528" s="199" t="e">
        <f>IF(AND(E525&lt;&gt;"", A523&lt;&gt;""), A523+1, "")</f>
        <v>#REF!</v>
      </c>
      <c r="B528" s="419"/>
      <c r="C528" s="422"/>
      <c r="D528" s="197" t="s">
        <v>424</v>
      </c>
      <c r="E528" s="247">
        <v>0</v>
      </c>
      <c r="F528" s="248">
        <v>0</v>
      </c>
      <c r="G528" s="248">
        <v>0</v>
      </c>
      <c r="H528" s="273">
        <v>0</v>
      </c>
      <c r="I528" s="274">
        <v>0</v>
      </c>
    </row>
    <row r="529" spans="1:9" ht="15.75" customHeight="1" thickBot="1" x14ac:dyDescent="0.35">
      <c r="A529" s="199" t="e">
        <f>IF(AND(E525&lt;&gt;"", A524&lt;&gt;""), A524+1, "")</f>
        <v>#REF!</v>
      </c>
      <c r="B529" s="420"/>
      <c r="C529" s="404"/>
      <c r="D529" s="198" t="s">
        <v>450</v>
      </c>
      <c r="E529" s="251">
        <v>0</v>
      </c>
      <c r="F529" s="252">
        <v>0</v>
      </c>
      <c r="G529" s="252">
        <v>0</v>
      </c>
      <c r="H529" s="275">
        <v>0</v>
      </c>
      <c r="I529" s="276">
        <v>0</v>
      </c>
    </row>
    <row r="530" spans="1:9" x14ac:dyDescent="0.3">
      <c r="A530" s="199" t="e">
        <f>IF(AND(E530&lt;&gt;"", A525&lt;&gt;""), A525+1, "")</f>
        <v>#REF!</v>
      </c>
      <c r="B530" s="418">
        <v>46354</v>
      </c>
      <c r="C530" s="421">
        <f>B530</f>
        <v>46354</v>
      </c>
      <c r="D530" s="196" t="s">
        <v>418</v>
      </c>
      <c r="E530" s="243">
        <v>0</v>
      </c>
      <c r="F530" s="244">
        <v>0</v>
      </c>
      <c r="G530" s="244">
        <v>0</v>
      </c>
      <c r="H530" s="271">
        <v>0</v>
      </c>
      <c r="I530" s="272">
        <v>0</v>
      </c>
    </row>
    <row r="531" spans="1:9" x14ac:dyDescent="0.3">
      <c r="A531" s="199" t="e">
        <f>IF(AND(E530&lt;&gt;"", A526&lt;&gt;""), A526+1, "")</f>
        <v>#REF!</v>
      </c>
      <c r="B531" s="419"/>
      <c r="C531" s="422"/>
      <c r="D531" s="197" t="s">
        <v>420</v>
      </c>
      <c r="E531" s="247">
        <v>0</v>
      </c>
      <c r="F531" s="248">
        <v>0</v>
      </c>
      <c r="G531" s="248">
        <v>0</v>
      </c>
      <c r="H531" s="273">
        <v>0</v>
      </c>
      <c r="I531" s="274">
        <v>0</v>
      </c>
    </row>
    <row r="532" spans="1:9" x14ac:dyDescent="0.3">
      <c r="A532" s="199" t="e">
        <f>IF(AND(E530&lt;&gt;"", A527&lt;&gt;""), A527+1, "")</f>
        <v>#REF!</v>
      </c>
      <c r="B532" s="419"/>
      <c r="C532" s="422"/>
      <c r="D532" s="197" t="s">
        <v>426</v>
      </c>
      <c r="E532" s="247">
        <v>0</v>
      </c>
      <c r="F532" s="248">
        <v>0</v>
      </c>
      <c r="G532" s="248">
        <v>0</v>
      </c>
      <c r="H532" s="273">
        <v>0</v>
      </c>
      <c r="I532" s="274">
        <v>0</v>
      </c>
    </row>
    <row r="533" spans="1:9" x14ac:dyDescent="0.3">
      <c r="A533" s="199" t="e">
        <f>IF(AND(E530&lt;&gt;"", A528&lt;&gt;""), A528+1, "")</f>
        <v>#REF!</v>
      </c>
      <c r="B533" s="419"/>
      <c r="C533" s="422"/>
      <c r="D533" s="197" t="s">
        <v>424</v>
      </c>
      <c r="E533" s="247">
        <v>0</v>
      </c>
      <c r="F533" s="248">
        <v>0</v>
      </c>
      <c r="G533" s="248">
        <v>0</v>
      </c>
      <c r="H533" s="273">
        <v>0</v>
      </c>
      <c r="I533" s="274">
        <v>0</v>
      </c>
    </row>
    <row r="534" spans="1:9" ht="15.75" customHeight="1" thickBot="1" x14ac:dyDescent="0.35">
      <c r="A534" s="199" t="e">
        <f>IF(AND(E530&lt;&gt;"", A529&lt;&gt;""), A529+1, "")</f>
        <v>#REF!</v>
      </c>
      <c r="B534" s="420"/>
      <c r="C534" s="404"/>
      <c r="D534" s="198" t="s">
        <v>450</v>
      </c>
      <c r="E534" s="251">
        <v>0</v>
      </c>
      <c r="F534" s="252">
        <v>0</v>
      </c>
      <c r="G534" s="252">
        <v>0</v>
      </c>
      <c r="H534" s="275">
        <v>0</v>
      </c>
      <c r="I534" s="276">
        <v>0</v>
      </c>
    </row>
    <row r="535" spans="1:9" x14ac:dyDescent="0.3">
      <c r="A535" s="199" t="e">
        <f>IF(AND(E535&lt;&gt;"", A530&lt;&gt;""), A530+1, "")</f>
        <v>#REF!</v>
      </c>
      <c r="B535" s="418">
        <v>46355</v>
      </c>
      <c r="C535" s="421">
        <f>B535</f>
        <v>46355</v>
      </c>
      <c r="D535" s="196" t="s">
        <v>418</v>
      </c>
      <c r="E535" s="243">
        <v>0</v>
      </c>
      <c r="F535" s="244">
        <v>0</v>
      </c>
      <c r="G535" s="244">
        <v>0</v>
      </c>
      <c r="H535" s="271">
        <v>0</v>
      </c>
      <c r="I535" s="272">
        <v>0</v>
      </c>
    </row>
    <row r="536" spans="1:9" x14ac:dyDescent="0.3">
      <c r="A536" s="199" t="e">
        <f>IF(AND(E535&lt;&gt;"", A531&lt;&gt;""), A531+1, "")</f>
        <v>#REF!</v>
      </c>
      <c r="B536" s="419"/>
      <c r="C536" s="422"/>
      <c r="D536" s="197" t="s">
        <v>420</v>
      </c>
      <c r="E536" s="247">
        <v>0</v>
      </c>
      <c r="F536" s="248">
        <v>0</v>
      </c>
      <c r="G536" s="248">
        <v>0</v>
      </c>
      <c r="H536" s="273">
        <v>0</v>
      </c>
      <c r="I536" s="274">
        <v>0</v>
      </c>
    </row>
    <row r="537" spans="1:9" x14ac:dyDescent="0.3">
      <c r="A537" s="199" t="e">
        <f>IF(AND(E535&lt;&gt;"", A532&lt;&gt;""), A532+1, "")</f>
        <v>#REF!</v>
      </c>
      <c r="B537" s="419"/>
      <c r="C537" s="422"/>
      <c r="D537" s="197" t="s">
        <v>426</v>
      </c>
      <c r="E537" s="247">
        <v>0</v>
      </c>
      <c r="F537" s="248">
        <v>0</v>
      </c>
      <c r="G537" s="248">
        <v>0</v>
      </c>
      <c r="H537" s="273">
        <v>0</v>
      </c>
      <c r="I537" s="274">
        <v>0</v>
      </c>
    </row>
    <row r="538" spans="1:9" x14ac:dyDescent="0.3">
      <c r="A538" s="199" t="e">
        <f>IF(AND(E535&lt;&gt;"", A533&lt;&gt;""), A533+1, "")</f>
        <v>#REF!</v>
      </c>
      <c r="B538" s="419"/>
      <c r="C538" s="422"/>
      <c r="D538" s="197" t="s">
        <v>424</v>
      </c>
      <c r="E538" s="247">
        <v>0</v>
      </c>
      <c r="F538" s="248">
        <v>0</v>
      </c>
      <c r="G538" s="248">
        <v>0</v>
      </c>
      <c r="H538" s="273">
        <v>0</v>
      </c>
      <c r="I538" s="274">
        <v>0</v>
      </c>
    </row>
    <row r="539" spans="1:9" ht="15.75" customHeight="1" thickBot="1" x14ac:dyDescent="0.35">
      <c r="A539" s="199" t="e">
        <f>IF(AND(E535&lt;&gt;"", A534&lt;&gt;""), A534+1, "")</f>
        <v>#REF!</v>
      </c>
      <c r="B539" s="420"/>
      <c r="C539" s="404"/>
      <c r="D539" s="198" t="s">
        <v>450</v>
      </c>
      <c r="E539" s="251">
        <v>0</v>
      </c>
      <c r="F539" s="252">
        <v>0</v>
      </c>
      <c r="G539" s="252">
        <v>0</v>
      </c>
      <c r="H539" s="275">
        <v>0</v>
      </c>
      <c r="I539" s="276">
        <v>0</v>
      </c>
    </row>
    <row r="540" spans="1:9" x14ac:dyDescent="0.3">
      <c r="A540" s="199" t="e">
        <f>IF(AND(E540&lt;&gt;"", A535&lt;&gt;""), A535+1, "")</f>
        <v>#REF!</v>
      </c>
      <c r="B540" s="418">
        <v>46356</v>
      </c>
      <c r="C540" s="421">
        <f>B540</f>
        <v>46356</v>
      </c>
      <c r="D540" s="196" t="s">
        <v>418</v>
      </c>
      <c r="E540" s="243">
        <v>0</v>
      </c>
      <c r="F540" s="244">
        <v>0</v>
      </c>
      <c r="G540" s="244">
        <v>0</v>
      </c>
      <c r="H540" s="271">
        <v>0</v>
      </c>
      <c r="I540" s="272">
        <v>0</v>
      </c>
    </row>
    <row r="541" spans="1:9" x14ac:dyDescent="0.3">
      <c r="A541" s="199" t="e">
        <f>IF(AND(E540&lt;&gt;"", A536&lt;&gt;""), A536+1, "")</f>
        <v>#REF!</v>
      </c>
      <c r="B541" s="419"/>
      <c r="C541" s="422"/>
      <c r="D541" s="197" t="s">
        <v>420</v>
      </c>
      <c r="E541" s="247">
        <v>0</v>
      </c>
      <c r="F541" s="248">
        <v>0</v>
      </c>
      <c r="G541" s="248">
        <v>0</v>
      </c>
      <c r="H541" s="273">
        <v>0</v>
      </c>
      <c r="I541" s="274">
        <v>0</v>
      </c>
    </row>
    <row r="542" spans="1:9" x14ac:dyDescent="0.3">
      <c r="A542" s="199" t="e">
        <f>IF(AND(E540&lt;&gt;"", A537&lt;&gt;""), A537+1, "")</f>
        <v>#REF!</v>
      </c>
      <c r="B542" s="419"/>
      <c r="C542" s="422"/>
      <c r="D542" s="197" t="s">
        <v>426</v>
      </c>
      <c r="E542" s="247">
        <v>0</v>
      </c>
      <c r="F542" s="248">
        <v>0</v>
      </c>
      <c r="G542" s="248">
        <v>0</v>
      </c>
      <c r="H542" s="273">
        <v>0</v>
      </c>
      <c r="I542" s="274">
        <v>0</v>
      </c>
    </row>
    <row r="543" spans="1:9" x14ac:dyDescent="0.3">
      <c r="A543" s="199" t="e">
        <f>IF(AND(E540&lt;&gt;"", A538&lt;&gt;""), A538+1, "")</f>
        <v>#REF!</v>
      </c>
      <c r="B543" s="419"/>
      <c r="C543" s="422"/>
      <c r="D543" s="197" t="s">
        <v>424</v>
      </c>
      <c r="E543" s="247">
        <v>0</v>
      </c>
      <c r="F543" s="248">
        <v>0</v>
      </c>
      <c r="G543" s="248">
        <v>0</v>
      </c>
      <c r="H543" s="273">
        <v>0</v>
      </c>
      <c r="I543" s="274">
        <v>0</v>
      </c>
    </row>
    <row r="544" spans="1:9" ht="15.75" customHeight="1" thickBot="1" x14ac:dyDescent="0.35">
      <c r="A544" s="199" t="e">
        <f>IF(AND(E540&lt;&gt;"", A539&lt;&gt;""), A539+1, "")</f>
        <v>#REF!</v>
      </c>
      <c r="B544" s="420"/>
      <c r="C544" s="404"/>
      <c r="D544" s="198" t="s">
        <v>450</v>
      </c>
      <c r="E544" s="251">
        <v>0</v>
      </c>
      <c r="F544" s="252">
        <v>0</v>
      </c>
      <c r="G544" s="252">
        <v>0</v>
      </c>
      <c r="H544" s="275">
        <v>0</v>
      </c>
      <c r="I544" s="276">
        <v>0</v>
      </c>
    </row>
    <row r="545" spans="1:9" x14ac:dyDescent="0.3">
      <c r="A545" s="199" t="e">
        <f>IF(AND(E545&lt;&gt;"", A540&lt;&gt;""), A540+1, "")</f>
        <v>#REF!</v>
      </c>
      <c r="B545" s="418">
        <v>46357</v>
      </c>
      <c r="C545" s="421">
        <f>B545</f>
        <v>46357</v>
      </c>
      <c r="D545" s="196" t="s">
        <v>418</v>
      </c>
      <c r="E545" s="243">
        <v>0</v>
      </c>
      <c r="F545" s="244">
        <v>0</v>
      </c>
      <c r="G545" s="244">
        <v>0</v>
      </c>
      <c r="H545" s="271">
        <v>0</v>
      </c>
      <c r="I545" s="272">
        <v>0</v>
      </c>
    </row>
    <row r="546" spans="1:9" x14ac:dyDescent="0.3">
      <c r="A546" s="199" t="e">
        <f>IF(AND(E545&lt;&gt;"", A541&lt;&gt;""), A541+1, "")</f>
        <v>#REF!</v>
      </c>
      <c r="B546" s="419"/>
      <c r="C546" s="422"/>
      <c r="D546" s="197" t="s">
        <v>420</v>
      </c>
      <c r="E546" s="247">
        <v>0</v>
      </c>
      <c r="F546" s="248">
        <v>0</v>
      </c>
      <c r="G546" s="248">
        <v>0</v>
      </c>
      <c r="H546" s="273">
        <v>0</v>
      </c>
      <c r="I546" s="274">
        <v>0</v>
      </c>
    </row>
    <row r="547" spans="1:9" x14ac:dyDescent="0.3">
      <c r="A547" s="199" t="e">
        <f>IF(AND(E545&lt;&gt;"", A542&lt;&gt;""), A542+1, "")</f>
        <v>#REF!</v>
      </c>
      <c r="B547" s="419"/>
      <c r="C547" s="422"/>
      <c r="D547" s="197" t="s">
        <v>426</v>
      </c>
      <c r="E547" s="247">
        <v>0</v>
      </c>
      <c r="F547" s="248">
        <v>0</v>
      </c>
      <c r="G547" s="248">
        <v>0</v>
      </c>
      <c r="H547" s="273">
        <v>0</v>
      </c>
      <c r="I547" s="274">
        <v>0</v>
      </c>
    </row>
    <row r="548" spans="1:9" x14ac:dyDescent="0.3">
      <c r="A548" s="199" t="e">
        <f>IF(AND(E545&lt;&gt;"", A543&lt;&gt;""), A543+1, "")</f>
        <v>#REF!</v>
      </c>
      <c r="B548" s="419"/>
      <c r="C548" s="422"/>
      <c r="D548" s="197" t="s">
        <v>424</v>
      </c>
      <c r="E548" s="247">
        <v>0</v>
      </c>
      <c r="F548" s="248">
        <v>0</v>
      </c>
      <c r="G548" s="248">
        <v>0</v>
      </c>
      <c r="H548" s="273">
        <v>0</v>
      </c>
      <c r="I548" s="274">
        <v>0</v>
      </c>
    </row>
    <row r="549" spans="1:9" ht="15.75" customHeight="1" thickBot="1" x14ac:dyDescent="0.35">
      <c r="A549" s="199" t="e">
        <f>IF(AND(E545&lt;&gt;"", A544&lt;&gt;""), A544+1, "")</f>
        <v>#REF!</v>
      </c>
      <c r="B549" s="420"/>
      <c r="C549" s="404"/>
      <c r="D549" s="198" t="s">
        <v>450</v>
      </c>
      <c r="E549" s="251">
        <v>0</v>
      </c>
      <c r="F549" s="252">
        <v>0</v>
      </c>
      <c r="G549" s="252">
        <v>0</v>
      </c>
      <c r="H549" s="275">
        <v>0</v>
      </c>
      <c r="I549" s="276">
        <v>0</v>
      </c>
    </row>
    <row r="550" spans="1:9" x14ac:dyDescent="0.3">
      <c r="A550" s="199" t="e">
        <f>IF(AND(E550&lt;&gt;"", A545&lt;&gt;""), A545+1, "")</f>
        <v>#REF!</v>
      </c>
      <c r="B550" s="418">
        <v>46358</v>
      </c>
      <c r="C550" s="421">
        <f>B550</f>
        <v>46358</v>
      </c>
      <c r="D550" s="196" t="s">
        <v>418</v>
      </c>
      <c r="E550" s="243">
        <v>0</v>
      </c>
      <c r="F550" s="244">
        <v>0</v>
      </c>
      <c r="G550" s="244">
        <v>0</v>
      </c>
      <c r="H550" s="271">
        <v>0</v>
      </c>
      <c r="I550" s="272">
        <v>0</v>
      </c>
    </row>
    <row r="551" spans="1:9" x14ac:dyDescent="0.3">
      <c r="A551" s="199" t="e">
        <f>IF(AND(E550&lt;&gt;"", A546&lt;&gt;""), A546+1, "")</f>
        <v>#REF!</v>
      </c>
      <c r="B551" s="419"/>
      <c r="C551" s="422"/>
      <c r="D551" s="197" t="s">
        <v>420</v>
      </c>
      <c r="E551" s="247">
        <v>0</v>
      </c>
      <c r="F551" s="248">
        <v>0</v>
      </c>
      <c r="G551" s="248">
        <v>0</v>
      </c>
      <c r="H551" s="273">
        <v>0</v>
      </c>
      <c r="I551" s="274">
        <v>0</v>
      </c>
    </row>
    <row r="552" spans="1:9" x14ac:dyDescent="0.3">
      <c r="A552" s="199" t="e">
        <f>IF(AND(E550&lt;&gt;"", A547&lt;&gt;""), A547+1, "")</f>
        <v>#REF!</v>
      </c>
      <c r="B552" s="419"/>
      <c r="C552" s="422"/>
      <c r="D552" s="197" t="s">
        <v>426</v>
      </c>
      <c r="E552" s="247">
        <v>0</v>
      </c>
      <c r="F552" s="248">
        <v>0</v>
      </c>
      <c r="G552" s="248">
        <v>0</v>
      </c>
      <c r="H552" s="273">
        <v>0</v>
      </c>
      <c r="I552" s="274">
        <v>0</v>
      </c>
    </row>
    <row r="553" spans="1:9" x14ac:dyDescent="0.3">
      <c r="A553" s="199" t="e">
        <f>IF(AND(E550&lt;&gt;"", A548&lt;&gt;""), A548+1, "")</f>
        <v>#REF!</v>
      </c>
      <c r="B553" s="419"/>
      <c r="C553" s="422"/>
      <c r="D553" s="197" t="s">
        <v>424</v>
      </c>
      <c r="E553" s="247">
        <v>0</v>
      </c>
      <c r="F553" s="248">
        <v>0</v>
      </c>
      <c r="G553" s="248">
        <v>0</v>
      </c>
      <c r="H553" s="273">
        <v>0</v>
      </c>
      <c r="I553" s="274">
        <v>0</v>
      </c>
    </row>
    <row r="554" spans="1:9" ht="15.75" customHeight="1" thickBot="1" x14ac:dyDescent="0.35">
      <c r="A554" s="199" t="e">
        <f>IF(AND(E550&lt;&gt;"", A549&lt;&gt;""), A549+1, "")</f>
        <v>#REF!</v>
      </c>
      <c r="B554" s="420"/>
      <c r="C554" s="404"/>
      <c r="D554" s="198" t="s">
        <v>450</v>
      </c>
      <c r="E554" s="251">
        <v>0</v>
      </c>
      <c r="F554" s="252">
        <v>0</v>
      </c>
      <c r="G554" s="252">
        <v>0</v>
      </c>
      <c r="H554" s="275">
        <v>0</v>
      </c>
      <c r="I554" s="276">
        <v>0</v>
      </c>
    </row>
    <row r="555" spans="1:9" x14ac:dyDescent="0.3">
      <c r="A555" s="199" t="e">
        <f>IF(AND(E555&lt;&gt;"", A550&lt;&gt;""), A550+1, "")</f>
        <v>#REF!</v>
      </c>
      <c r="B555" s="418">
        <v>46359</v>
      </c>
      <c r="C555" s="421">
        <f>B555</f>
        <v>46359</v>
      </c>
      <c r="D555" s="196" t="s">
        <v>418</v>
      </c>
      <c r="E555" s="243">
        <v>0</v>
      </c>
      <c r="F555" s="244">
        <v>0</v>
      </c>
      <c r="G555" s="244">
        <v>0</v>
      </c>
      <c r="H555" s="271">
        <v>0</v>
      </c>
      <c r="I555" s="272">
        <v>0</v>
      </c>
    </row>
    <row r="556" spans="1:9" x14ac:dyDescent="0.3">
      <c r="A556" s="199" t="e">
        <f>IF(AND(E555&lt;&gt;"", A551&lt;&gt;""), A551+1, "")</f>
        <v>#REF!</v>
      </c>
      <c r="B556" s="419"/>
      <c r="C556" s="422"/>
      <c r="D556" s="197" t="s">
        <v>420</v>
      </c>
      <c r="E556" s="247">
        <v>0</v>
      </c>
      <c r="F556" s="248">
        <v>0</v>
      </c>
      <c r="G556" s="248">
        <v>0</v>
      </c>
      <c r="H556" s="273">
        <v>0</v>
      </c>
      <c r="I556" s="274">
        <v>0</v>
      </c>
    </row>
    <row r="557" spans="1:9" x14ac:dyDescent="0.3">
      <c r="A557" s="199" t="e">
        <f>IF(AND(E555&lt;&gt;"", A552&lt;&gt;""), A552+1, "")</f>
        <v>#REF!</v>
      </c>
      <c r="B557" s="419"/>
      <c r="C557" s="422"/>
      <c r="D557" s="197" t="s">
        <v>426</v>
      </c>
      <c r="E557" s="247">
        <v>0</v>
      </c>
      <c r="F557" s="248">
        <v>0</v>
      </c>
      <c r="G557" s="248">
        <v>0</v>
      </c>
      <c r="H557" s="273">
        <v>0</v>
      </c>
      <c r="I557" s="274">
        <v>0</v>
      </c>
    </row>
    <row r="558" spans="1:9" x14ac:dyDescent="0.3">
      <c r="A558" s="199" t="e">
        <f>IF(AND(E555&lt;&gt;"", A553&lt;&gt;""), A553+1, "")</f>
        <v>#REF!</v>
      </c>
      <c r="B558" s="419"/>
      <c r="C558" s="422"/>
      <c r="D558" s="197" t="s">
        <v>424</v>
      </c>
      <c r="E558" s="247">
        <v>0</v>
      </c>
      <c r="F558" s="248">
        <v>0</v>
      </c>
      <c r="G558" s="248">
        <v>0</v>
      </c>
      <c r="H558" s="273">
        <v>0</v>
      </c>
      <c r="I558" s="274">
        <v>0</v>
      </c>
    </row>
    <row r="559" spans="1:9" ht="15.75" customHeight="1" thickBot="1" x14ac:dyDescent="0.35">
      <c r="A559" s="199" t="e">
        <f>IF(AND(E555&lt;&gt;"", A554&lt;&gt;""), A554+1, "")</f>
        <v>#REF!</v>
      </c>
      <c r="B559" s="420"/>
      <c r="C559" s="404"/>
      <c r="D559" s="198" t="s">
        <v>450</v>
      </c>
      <c r="E559" s="251">
        <v>0</v>
      </c>
      <c r="F559" s="252">
        <v>0</v>
      </c>
      <c r="G559" s="252">
        <v>0</v>
      </c>
      <c r="H559" s="275">
        <v>0</v>
      </c>
      <c r="I559" s="276">
        <v>0</v>
      </c>
    </row>
    <row r="560" spans="1:9" x14ac:dyDescent="0.3">
      <c r="A560" s="199" t="e">
        <f>IF(AND(E560&lt;&gt;"", A555&lt;&gt;""), A555+1, "")</f>
        <v>#REF!</v>
      </c>
      <c r="B560" s="418">
        <v>46360</v>
      </c>
      <c r="C560" s="421">
        <f>B560</f>
        <v>46360</v>
      </c>
      <c r="D560" s="196" t="s">
        <v>418</v>
      </c>
      <c r="E560" s="243">
        <v>0</v>
      </c>
      <c r="F560" s="244">
        <v>0</v>
      </c>
      <c r="G560" s="244">
        <v>0</v>
      </c>
      <c r="H560" s="271">
        <v>0</v>
      </c>
      <c r="I560" s="272">
        <v>0</v>
      </c>
    </row>
    <row r="561" spans="1:9" x14ac:dyDescent="0.3">
      <c r="A561" s="199" t="e">
        <f>IF(AND(E560&lt;&gt;"", A556&lt;&gt;""), A556+1, "")</f>
        <v>#REF!</v>
      </c>
      <c r="B561" s="419"/>
      <c r="C561" s="422"/>
      <c r="D561" s="197" t="s">
        <v>420</v>
      </c>
      <c r="E561" s="247">
        <v>0</v>
      </c>
      <c r="F561" s="248">
        <v>0</v>
      </c>
      <c r="G561" s="248">
        <v>0</v>
      </c>
      <c r="H561" s="273">
        <v>0</v>
      </c>
      <c r="I561" s="274">
        <v>0</v>
      </c>
    </row>
    <row r="562" spans="1:9" x14ac:dyDescent="0.3">
      <c r="A562" s="199" t="e">
        <f>IF(AND(E560&lt;&gt;"", A557&lt;&gt;""), A557+1, "")</f>
        <v>#REF!</v>
      </c>
      <c r="B562" s="419"/>
      <c r="C562" s="422"/>
      <c r="D562" s="197" t="s">
        <v>426</v>
      </c>
      <c r="E562" s="247">
        <v>0</v>
      </c>
      <c r="F562" s="248">
        <v>0</v>
      </c>
      <c r="G562" s="248">
        <v>0</v>
      </c>
      <c r="H562" s="273">
        <v>0</v>
      </c>
      <c r="I562" s="274">
        <v>0</v>
      </c>
    </row>
    <row r="563" spans="1:9" x14ac:dyDescent="0.3">
      <c r="A563" s="199" t="e">
        <f>IF(AND(E560&lt;&gt;"", A558&lt;&gt;""), A558+1, "")</f>
        <v>#REF!</v>
      </c>
      <c r="B563" s="419"/>
      <c r="C563" s="422"/>
      <c r="D563" s="197" t="s">
        <v>424</v>
      </c>
      <c r="E563" s="247">
        <v>0</v>
      </c>
      <c r="F563" s="248">
        <v>0</v>
      </c>
      <c r="G563" s="248">
        <v>0</v>
      </c>
      <c r="H563" s="273">
        <v>0</v>
      </c>
      <c r="I563" s="274">
        <v>0</v>
      </c>
    </row>
    <row r="564" spans="1:9" ht="15.75" customHeight="1" thickBot="1" x14ac:dyDescent="0.35">
      <c r="A564" s="199" t="e">
        <f>IF(AND(E560&lt;&gt;"", A559&lt;&gt;""), A559+1, "")</f>
        <v>#REF!</v>
      </c>
      <c r="B564" s="420"/>
      <c r="C564" s="404"/>
      <c r="D564" s="198" t="s">
        <v>450</v>
      </c>
      <c r="E564" s="251">
        <v>0</v>
      </c>
      <c r="F564" s="252">
        <v>0</v>
      </c>
      <c r="G564" s="252">
        <v>0</v>
      </c>
      <c r="H564" s="275">
        <v>0</v>
      </c>
      <c r="I564" s="276">
        <v>0</v>
      </c>
    </row>
    <row r="565" spans="1:9" x14ac:dyDescent="0.3">
      <c r="A565" s="199" t="e">
        <f>IF(AND(E565&lt;&gt;"", A560&lt;&gt;""), A560+1, "")</f>
        <v>#REF!</v>
      </c>
      <c r="B565" s="418">
        <v>46361</v>
      </c>
      <c r="C565" s="421">
        <f>B565</f>
        <v>46361</v>
      </c>
      <c r="D565" s="196" t="s">
        <v>418</v>
      </c>
      <c r="E565" s="243">
        <v>0</v>
      </c>
      <c r="F565" s="244">
        <v>0</v>
      </c>
      <c r="G565" s="244">
        <v>0</v>
      </c>
      <c r="H565" s="271">
        <v>0</v>
      </c>
      <c r="I565" s="272">
        <v>0</v>
      </c>
    </row>
    <row r="566" spans="1:9" x14ac:dyDescent="0.3">
      <c r="A566" s="199" t="e">
        <f>IF(AND(E565&lt;&gt;"", A561&lt;&gt;""), A561+1, "")</f>
        <v>#REF!</v>
      </c>
      <c r="B566" s="419"/>
      <c r="C566" s="422"/>
      <c r="D566" s="197" t="s">
        <v>420</v>
      </c>
      <c r="E566" s="247">
        <v>0</v>
      </c>
      <c r="F566" s="248">
        <v>0</v>
      </c>
      <c r="G566" s="248">
        <v>0</v>
      </c>
      <c r="H566" s="273">
        <v>0</v>
      </c>
      <c r="I566" s="274">
        <v>0</v>
      </c>
    </row>
    <row r="567" spans="1:9" x14ac:dyDescent="0.3">
      <c r="A567" s="199" t="e">
        <f>IF(AND(E565&lt;&gt;"", A562&lt;&gt;""), A562+1, "")</f>
        <v>#REF!</v>
      </c>
      <c r="B567" s="419"/>
      <c r="C567" s="422"/>
      <c r="D567" s="197" t="s">
        <v>426</v>
      </c>
      <c r="E567" s="247">
        <v>0</v>
      </c>
      <c r="F567" s="248">
        <v>0</v>
      </c>
      <c r="G567" s="248">
        <v>0</v>
      </c>
      <c r="H567" s="273">
        <v>0</v>
      </c>
      <c r="I567" s="274">
        <v>0</v>
      </c>
    </row>
    <row r="568" spans="1:9" x14ac:dyDescent="0.3">
      <c r="A568" s="199" t="e">
        <f>IF(AND(E565&lt;&gt;"", A563&lt;&gt;""), A563+1, "")</f>
        <v>#REF!</v>
      </c>
      <c r="B568" s="419"/>
      <c r="C568" s="422"/>
      <c r="D568" s="197" t="s">
        <v>424</v>
      </c>
      <c r="E568" s="247">
        <v>0</v>
      </c>
      <c r="F568" s="248">
        <v>0</v>
      </c>
      <c r="G568" s="248">
        <v>0</v>
      </c>
      <c r="H568" s="273">
        <v>0</v>
      </c>
      <c r="I568" s="274">
        <v>0</v>
      </c>
    </row>
    <row r="569" spans="1:9" ht="15.75" customHeight="1" thickBot="1" x14ac:dyDescent="0.35">
      <c r="A569" s="199" t="e">
        <f>IF(AND(E565&lt;&gt;"", A564&lt;&gt;""), A564+1, "")</f>
        <v>#REF!</v>
      </c>
      <c r="B569" s="420"/>
      <c r="C569" s="404"/>
      <c r="D569" s="198" t="s">
        <v>450</v>
      </c>
      <c r="E569" s="251">
        <v>0</v>
      </c>
      <c r="F569" s="252">
        <v>0</v>
      </c>
      <c r="G569" s="252">
        <v>0</v>
      </c>
      <c r="H569" s="275">
        <v>0</v>
      </c>
      <c r="I569" s="276">
        <v>0</v>
      </c>
    </row>
    <row r="570" spans="1:9" x14ac:dyDescent="0.3">
      <c r="A570" s="199" t="e">
        <f>IF(AND(E570&lt;&gt;"", A565&lt;&gt;""), A565+1, "")</f>
        <v>#REF!</v>
      </c>
      <c r="B570" s="418">
        <v>46362</v>
      </c>
      <c r="C570" s="421">
        <f>B570</f>
        <v>46362</v>
      </c>
      <c r="D570" s="196" t="s">
        <v>418</v>
      </c>
      <c r="E570" s="243">
        <v>0</v>
      </c>
      <c r="F570" s="244">
        <v>0</v>
      </c>
      <c r="G570" s="244">
        <v>0</v>
      </c>
      <c r="H570" s="271">
        <v>0</v>
      </c>
      <c r="I570" s="272">
        <v>0</v>
      </c>
    </row>
    <row r="571" spans="1:9" x14ac:dyDescent="0.3">
      <c r="A571" s="199" t="e">
        <f>IF(AND(E570&lt;&gt;"", A566&lt;&gt;""), A566+1, "")</f>
        <v>#REF!</v>
      </c>
      <c r="B571" s="419"/>
      <c r="C571" s="422"/>
      <c r="D571" s="197" t="s">
        <v>420</v>
      </c>
      <c r="E571" s="247">
        <v>0</v>
      </c>
      <c r="F571" s="248">
        <v>0</v>
      </c>
      <c r="G571" s="248">
        <v>0</v>
      </c>
      <c r="H571" s="273">
        <v>0</v>
      </c>
      <c r="I571" s="274">
        <v>0</v>
      </c>
    </row>
    <row r="572" spans="1:9" x14ac:dyDescent="0.3">
      <c r="A572" s="199" t="e">
        <f>IF(AND(E570&lt;&gt;"", A567&lt;&gt;""), A567+1, "")</f>
        <v>#REF!</v>
      </c>
      <c r="B572" s="419"/>
      <c r="C572" s="422"/>
      <c r="D572" s="197" t="s">
        <v>426</v>
      </c>
      <c r="E572" s="247">
        <v>0</v>
      </c>
      <c r="F572" s="248">
        <v>0</v>
      </c>
      <c r="G572" s="248">
        <v>0</v>
      </c>
      <c r="H572" s="273">
        <v>0</v>
      </c>
      <c r="I572" s="274">
        <v>0</v>
      </c>
    </row>
    <row r="573" spans="1:9" x14ac:dyDescent="0.3">
      <c r="A573" s="199" t="e">
        <f>IF(AND(E570&lt;&gt;"", A568&lt;&gt;""), A568+1, "")</f>
        <v>#REF!</v>
      </c>
      <c r="B573" s="419"/>
      <c r="C573" s="422"/>
      <c r="D573" s="197" t="s">
        <v>424</v>
      </c>
      <c r="E573" s="247">
        <v>0</v>
      </c>
      <c r="F573" s="248">
        <v>0</v>
      </c>
      <c r="G573" s="248">
        <v>0</v>
      </c>
      <c r="H573" s="273">
        <v>0</v>
      </c>
      <c r="I573" s="274">
        <v>0</v>
      </c>
    </row>
    <row r="574" spans="1:9" ht="15.75" customHeight="1" thickBot="1" x14ac:dyDescent="0.35">
      <c r="A574" s="199" t="e">
        <f>IF(AND(E570&lt;&gt;"", A569&lt;&gt;""), A569+1, "")</f>
        <v>#REF!</v>
      </c>
      <c r="B574" s="420"/>
      <c r="C574" s="404"/>
      <c r="D574" s="198" t="s">
        <v>450</v>
      </c>
      <c r="E574" s="251">
        <v>0</v>
      </c>
      <c r="F574" s="252">
        <v>0</v>
      </c>
      <c r="G574" s="252">
        <v>0</v>
      </c>
      <c r="H574" s="275">
        <v>0</v>
      </c>
      <c r="I574" s="276">
        <v>0</v>
      </c>
    </row>
    <row r="575" spans="1:9" x14ac:dyDescent="0.3">
      <c r="A575" s="199" t="e">
        <f>IF(AND(E575&lt;&gt;"", A570&lt;&gt;""), A570+1, "")</f>
        <v>#REF!</v>
      </c>
      <c r="B575" s="418">
        <v>46363</v>
      </c>
      <c r="C575" s="421">
        <f>B575</f>
        <v>46363</v>
      </c>
      <c r="D575" s="196" t="s">
        <v>418</v>
      </c>
      <c r="E575" s="243">
        <v>0</v>
      </c>
      <c r="F575" s="244">
        <v>0</v>
      </c>
      <c r="G575" s="244">
        <v>0</v>
      </c>
      <c r="H575" s="271">
        <v>0</v>
      </c>
      <c r="I575" s="272">
        <v>0</v>
      </c>
    </row>
    <row r="576" spans="1:9" x14ac:dyDescent="0.3">
      <c r="A576" s="199" t="e">
        <f>IF(AND(E575&lt;&gt;"", A571&lt;&gt;""), A571+1, "")</f>
        <v>#REF!</v>
      </c>
      <c r="B576" s="419"/>
      <c r="C576" s="422"/>
      <c r="D576" s="197" t="s">
        <v>420</v>
      </c>
      <c r="E576" s="247">
        <v>0</v>
      </c>
      <c r="F576" s="248">
        <v>0</v>
      </c>
      <c r="G576" s="248">
        <v>0</v>
      </c>
      <c r="H576" s="273">
        <v>0</v>
      </c>
      <c r="I576" s="274">
        <v>0</v>
      </c>
    </row>
    <row r="577" spans="1:9" x14ac:dyDescent="0.3">
      <c r="A577" s="199" t="e">
        <f>IF(AND(E575&lt;&gt;"", A572&lt;&gt;""), A572+1, "")</f>
        <v>#REF!</v>
      </c>
      <c r="B577" s="419"/>
      <c r="C577" s="422"/>
      <c r="D577" s="197" t="s">
        <v>426</v>
      </c>
      <c r="E577" s="247">
        <v>0</v>
      </c>
      <c r="F577" s="248">
        <v>0</v>
      </c>
      <c r="G577" s="248">
        <v>0</v>
      </c>
      <c r="H577" s="273">
        <v>0</v>
      </c>
      <c r="I577" s="274">
        <v>0</v>
      </c>
    </row>
    <row r="578" spans="1:9" x14ac:dyDescent="0.3">
      <c r="A578" s="199" t="e">
        <f>IF(AND(E575&lt;&gt;"", A573&lt;&gt;""), A573+1, "")</f>
        <v>#REF!</v>
      </c>
      <c r="B578" s="419"/>
      <c r="C578" s="422"/>
      <c r="D578" s="197" t="s">
        <v>424</v>
      </c>
      <c r="E578" s="247">
        <v>0</v>
      </c>
      <c r="F578" s="248">
        <v>0</v>
      </c>
      <c r="G578" s="248">
        <v>0</v>
      </c>
      <c r="H578" s="273">
        <v>0</v>
      </c>
      <c r="I578" s="274">
        <v>0</v>
      </c>
    </row>
    <row r="579" spans="1:9" ht="15.75" customHeight="1" thickBot="1" x14ac:dyDescent="0.35">
      <c r="A579" s="199" t="e">
        <f>IF(AND(E575&lt;&gt;"", A574&lt;&gt;""), A574+1, "")</f>
        <v>#REF!</v>
      </c>
      <c r="B579" s="420"/>
      <c r="C579" s="404"/>
      <c r="D579" s="198" t="s">
        <v>450</v>
      </c>
      <c r="E579" s="251">
        <v>0</v>
      </c>
      <c r="F579" s="252">
        <v>0</v>
      </c>
      <c r="G579" s="252">
        <v>0</v>
      </c>
      <c r="H579" s="275">
        <v>0</v>
      </c>
      <c r="I579" s="276">
        <v>0</v>
      </c>
    </row>
    <row r="580" spans="1:9" x14ac:dyDescent="0.3">
      <c r="A580" s="199" t="e">
        <f>IF(AND(E580&lt;&gt;"", A575&lt;&gt;""), A575+1, "")</f>
        <v>#REF!</v>
      </c>
      <c r="B580" s="418">
        <v>46364</v>
      </c>
      <c r="C580" s="421">
        <f>B580</f>
        <v>46364</v>
      </c>
      <c r="D580" s="196" t="s">
        <v>418</v>
      </c>
      <c r="E580" s="243">
        <v>0</v>
      </c>
      <c r="F580" s="244">
        <v>0</v>
      </c>
      <c r="G580" s="244">
        <v>0</v>
      </c>
      <c r="H580" s="271">
        <v>0</v>
      </c>
      <c r="I580" s="272">
        <v>0</v>
      </c>
    </row>
    <row r="581" spans="1:9" x14ac:dyDescent="0.3">
      <c r="A581" s="199" t="e">
        <f>IF(AND(E580&lt;&gt;"", A576&lt;&gt;""), A576+1, "")</f>
        <v>#REF!</v>
      </c>
      <c r="B581" s="419"/>
      <c r="C581" s="422"/>
      <c r="D581" s="197" t="s">
        <v>420</v>
      </c>
      <c r="E581" s="247">
        <v>0</v>
      </c>
      <c r="F581" s="248">
        <v>0</v>
      </c>
      <c r="G581" s="248">
        <v>0</v>
      </c>
      <c r="H581" s="273">
        <v>0</v>
      </c>
      <c r="I581" s="274">
        <v>0</v>
      </c>
    </row>
    <row r="582" spans="1:9" x14ac:dyDescent="0.3">
      <c r="A582" s="199" t="e">
        <f>IF(AND(E580&lt;&gt;"", A577&lt;&gt;""), A577+1, "")</f>
        <v>#REF!</v>
      </c>
      <c r="B582" s="419"/>
      <c r="C582" s="422"/>
      <c r="D582" s="197" t="s">
        <v>426</v>
      </c>
      <c r="E582" s="247">
        <v>0</v>
      </c>
      <c r="F582" s="248">
        <v>0</v>
      </c>
      <c r="G582" s="248">
        <v>0</v>
      </c>
      <c r="H582" s="273">
        <v>0</v>
      </c>
      <c r="I582" s="274">
        <v>0</v>
      </c>
    </row>
    <row r="583" spans="1:9" x14ac:dyDescent="0.3">
      <c r="A583" s="199" t="e">
        <f>IF(AND(E580&lt;&gt;"", A578&lt;&gt;""), A578+1, "")</f>
        <v>#REF!</v>
      </c>
      <c r="B583" s="419"/>
      <c r="C583" s="422"/>
      <c r="D583" s="197" t="s">
        <v>424</v>
      </c>
      <c r="E583" s="247">
        <v>0</v>
      </c>
      <c r="F583" s="248">
        <v>0</v>
      </c>
      <c r="G583" s="248">
        <v>0</v>
      </c>
      <c r="H583" s="273">
        <v>0</v>
      </c>
      <c r="I583" s="274">
        <v>0</v>
      </c>
    </row>
    <row r="584" spans="1:9" ht="15.75" customHeight="1" thickBot="1" x14ac:dyDescent="0.35">
      <c r="A584" s="199" t="e">
        <f>IF(AND(E580&lt;&gt;"", A579&lt;&gt;""), A579+1, "")</f>
        <v>#REF!</v>
      </c>
      <c r="B584" s="420"/>
      <c r="C584" s="404"/>
      <c r="D584" s="198" t="s">
        <v>450</v>
      </c>
      <c r="E584" s="251">
        <v>0</v>
      </c>
      <c r="F584" s="252">
        <v>0</v>
      </c>
      <c r="G584" s="252">
        <v>0</v>
      </c>
      <c r="H584" s="275">
        <v>0</v>
      </c>
      <c r="I584" s="276">
        <v>0</v>
      </c>
    </row>
    <row r="585" spans="1:9" x14ac:dyDescent="0.3">
      <c r="A585" s="199" t="e">
        <f>IF(AND(E585&lt;&gt;"", A580&lt;&gt;""), A580+1, "")</f>
        <v>#REF!</v>
      </c>
      <c r="B585" s="418">
        <v>46365</v>
      </c>
      <c r="C585" s="421">
        <f>B585</f>
        <v>46365</v>
      </c>
      <c r="D585" s="196" t="s">
        <v>418</v>
      </c>
      <c r="E585" s="243">
        <v>0</v>
      </c>
      <c r="F585" s="244">
        <v>0</v>
      </c>
      <c r="G585" s="244">
        <v>0</v>
      </c>
      <c r="H585" s="271">
        <v>0</v>
      </c>
      <c r="I585" s="272">
        <v>0</v>
      </c>
    </row>
    <row r="586" spans="1:9" x14ac:dyDescent="0.3">
      <c r="A586" s="199" t="e">
        <f>IF(AND(E585&lt;&gt;"", A581&lt;&gt;""), A581+1, "")</f>
        <v>#REF!</v>
      </c>
      <c r="B586" s="419"/>
      <c r="C586" s="422"/>
      <c r="D586" s="197" t="s">
        <v>420</v>
      </c>
      <c r="E586" s="247">
        <v>0</v>
      </c>
      <c r="F586" s="248">
        <v>0</v>
      </c>
      <c r="G586" s="248">
        <v>0</v>
      </c>
      <c r="H586" s="273">
        <v>0</v>
      </c>
      <c r="I586" s="274">
        <v>0</v>
      </c>
    </row>
    <row r="587" spans="1:9" x14ac:dyDescent="0.3">
      <c r="A587" s="199" t="e">
        <f>IF(AND(E585&lt;&gt;"", A582&lt;&gt;""), A582+1, "")</f>
        <v>#REF!</v>
      </c>
      <c r="B587" s="419"/>
      <c r="C587" s="422"/>
      <c r="D587" s="197" t="s">
        <v>426</v>
      </c>
      <c r="E587" s="247">
        <v>0</v>
      </c>
      <c r="F587" s="248">
        <v>0</v>
      </c>
      <c r="G587" s="248">
        <v>0</v>
      </c>
      <c r="H587" s="273">
        <v>0</v>
      </c>
      <c r="I587" s="274">
        <v>0</v>
      </c>
    </row>
    <row r="588" spans="1:9" x14ac:dyDescent="0.3">
      <c r="A588" s="199" t="e">
        <f>IF(AND(E585&lt;&gt;"", A583&lt;&gt;""), A583+1, "")</f>
        <v>#REF!</v>
      </c>
      <c r="B588" s="419"/>
      <c r="C588" s="422"/>
      <c r="D588" s="197" t="s">
        <v>424</v>
      </c>
      <c r="E588" s="247">
        <v>0</v>
      </c>
      <c r="F588" s="248">
        <v>0</v>
      </c>
      <c r="G588" s="248">
        <v>0</v>
      </c>
      <c r="H588" s="273">
        <v>0</v>
      </c>
      <c r="I588" s="274">
        <v>0</v>
      </c>
    </row>
    <row r="589" spans="1:9" ht="15.75" customHeight="1" thickBot="1" x14ac:dyDescent="0.35">
      <c r="A589" s="199" t="e">
        <f>IF(AND(E585&lt;&gt;"", A584&lt;&gt;""), A584+1, "")</f>
        <v>#REF!</v>
      </c>
      <c r="B589" s="420"/>
      <c r="C589" s="404"/>
      <c r="D589" s="198" t="s">
        <v>450</v>
      </c>
      <c r="E589" s="251">
        <v>0</v>
      </c>
      <c r="F589" s="252">
        <v>0</v>
      </c>
      <c r="G589" s="252">
        <v>0</v>
      </c>
      <c r="H589" s="275">
        <v>0</v>
      </c>
      <c r="I589" s="276">
        <v>0</v>
      </c>
    </row>
    <row r="590" spans="1:9" x14ac:dyDescent="0.3">
      <c r="A590" s="199" t="e">
        <f>IF(AND(E590&lt;&gt;"", A585&lt;&gt;""), A585+1, "")</f>
        <v>#REF!</v>
      </c>
      <c r="B590" s="418">
        <v>46366</v>
      </c>
      <c r="C590" s="421">
        <f>B590</f>
        <v>46366</v>
      </c>
      <c r="D590" s="196" t="s">
        <v>418</v>
      </c>
      <c r="E590" s="243">
        <v>0</v>
      </c>
      <c r="F590" s="244">
        <v>0</v>
      </c>
      <c r="G590" s="244">
        <v>0</v>
      </c>
      <c r="H590" s="271">
        <v>0</v>
      </c>
      <c r="I590" s="272">
        <v>0</v>
      </c>
    </row>
    <row r="591" spans="1:9" x14ac:dyDescent="0.3">
      <c r="A591" s="199" t="e">
        <f>IF(AND(E590&lt;&gt;"", A586&lt;&gt;""), A586+1, "")</f>
        <v>#REF!</v>
      </c>
      <c r="B591" s="419"/>
      <c r="C591" s="422"/>
      <c r="D591" s="197" t="s">
        <v>420</v>
      </c>
      <c r="E591" s="247">
        <v>0</v>
      </c>
      <c r="F591" s="248">
        <v>0</v>
      </c>
      <c r="G591" s="248">
        <v>0</v>
      </c>
      <c r="H591" s="273">
        <v>0</v>
      </c>
      <c r="I591" s="274">
        <v>0</v>
      </c>
    </row>
    <row r="592" spans="1:9" x14ac:dyDescent="0.3">
      <c r="A592" s="199" t="e">
        <f>IF(AND(E590&lt;&gt;"", A587&lt;&gt;""), A587+1, "")</f>
        <v>#REF!</v>
      </c>
      <c r="B592" s="419"/>
      <c r="C592" s="422"/>
      <c r="D592" s="197" t="s">
        <v>426</v>
      </c>
      <c r="E592" s="247">
        <v>0</v>
      </c>
      <c r="F592" s="248">
        <v>0</v>
      </c>
      <c r="G592" s="248">
        <v>0</v>
      </c>
      <c r="H592" s="273">
        <v>0</v>
      </c>
      <c r="I592" s="274">
        <v>0</v>
      </c>
    </row>
    <row r="593" spans="1:9" x14ac:dyDescent="0.3">
      <c r="A593" s="199" t="e">
        <f>IF(AND(E590&lt;&gt;"", A588&lt;&gt;""), A588+1, "")</f>
        <v>#REF!</v>
      </c>
      <c r="B593" s="419"/>
      <c r="C593" s="422"/>
      <c r="D593" s="197" t="s">
        <v>424</v>
      </c>
      <c r="E593" s="247">
        <v>0</v>
      </c>
      <c r="F593" s="248">
        <v>0</v>
      </c>
      <c r="G593" s="248">
        <v>0</v>
      </c>
      <c r="H593" s="273">
        <v>0</v>
      </c>
      <c r="I593" s="274">
        <v>0</v>
      </c>
    </row>
    <row r="594" spans="1:9" ht="15.75" customHeight="1" thickBot="1" x14ac:dyDescent="0.35">
      <c r="A594" s="199" t="e">
        <f>IF(AND(E590&lt;&gt;"", A589&lt;&gt;""), A589+1, "")</f>
        <v>#REF!</v>
      </c>
      <c r="B594" s="420"/>
      <c r="C594" s="404"/>
      <c r="D594" s="198" t="s">
        <v>450</v>
      </c>
      <c r="E594" s="251">
        <v>0</v>
      </c>
      <c r="F594" s="252">
        <v>0</v>
      </c>
      <c r="G594" s="252">
        <v>0</v>
      </c>
      <c r="H594" s="275">
        <v>0</v>
      </c>
      <c r="I594" s="276">
        <v>0</v>
      </c>
    </row>
    <row r="595" spans="1:9" x14ac:dyDescent="0.3">
      <c r="A595" s="199" t="e">
        <f>IF(AND(E595&lt;&gt;"", A590&lt;&gt;""), A590+1, "")</f>
        <v>#REF!</v>
      </c>
      <c r="B595" s="418">
        <v>46367</v>
      </c>
      <c r="C595" s="421">
        <f>B595</f>
        <v>46367</v>
      </c>
      <c r="D595" s="196" t="s">
        <v>418</v>
      </c>
      <c r="E595" s="243">
        <v>0</v>
      </c>
      <c r="F595" s="244">
        <v>0</v>
      </c>
      <c r="G595" s="244">
        <v>0</v>
      </c>
      <c r="H595" s="271">
        <v>0</v>
      </c>
      <c r="I595" s="272">
        <v>0</v>
      </c>
    </row>
    <row r="596" spans="1:9" x14ac:dyDescent="0.3">
      <c r="A596" s="199" t="e">
        <f>IF(AND(E595&lt;&gt;"", A591&lt;&gt;""), A591+1, "")</f>
        <v>#REF!</v>
      </c>
      <c r="B596" s="419"/>
      <c r="C596" s="422"/>
      <c r="D596" s="197" t="s">
        <v>420</v>
      </c>
      <c r="E596" s="247">
        <v>0</v>
      </c>
      <c r="F596" s="248">
        <v>0</v>
      </c>
      <c r="G596" s="248">
        <v>0</v>
      </c>
      <c r="H596" s="273">
        <v>0</v>
      </c>
      <c r="I596" s="274">
        <v>0</v>
      </c>
    </row>
    <row r="597" spans="1:9" x14ac:dyDescent="0.3">
      <c r="A597" s="199" t="e">
        <f>IF(AND(E595&lt;&gt;"", A592&lt;&gt;""), A592+1, "")</f>
        <v>#REF!</v>
      </c>
      <c r="B597" s="419"/>
      <c r="C597" s="422"/>
      <c r="D597" s="197" t="s">
        <v>426</v>
      </c>
      <c r="E597" s="247">
        <v>0</v>
      </c>
      <c r="F597" s="248">
        <v>0</v>
      </c>
      <c r="G597" s="248">
        <v>0</v>
      </c>
      <c r="H597" s="273">
        <v>0</v>
      </c>
      <c r="I597" s="274">
        <v>0</v>
      </c>
    </row>
    <row r="598" spans="1:9" x14ac:dyDescent="0.3">
      <c r="A598" s="199" t="e">
        <f>IF(AND(E595&lt;&gt;"", A593&lt;&gt;""), A593+1, "")</f>
        <v>#REF!</v>
      </c>
      <c r="B598" s="419"/>
      <c r="C598" s="422"/>
      <c r="D598" s="197" t="s">
        <v>424</v>
      </c>
      <c r="E598" s="247">
        <v>0</v>
      </c>
      <c r="F598" s="248">
        <v>0</v>
      </c>
      <c r="G598" s="248">
        <v>0</v>
      </c>
      <c r="H598" s="273">
        <v>0</v>
      </c>
      <c r="I598" s="274">
        <v>0</v>
      </c>
    </row>
    <row r="599" spans="1:9" ht="15.75" customHeight="1" thickBot="1" x14ac:dyDescent="0.35">
      <c r="A599" s="199" t="e">
        <f>IF(AND(E595&lt;&gt;"", A594&lt;&gt;""), A594+1, "")</f>
        <v>#REF!</v>
      </c>
      <c r="B599" s="420"/>
      <c r="C599" s="404"/>
      <c r="D599" s="198" t="s">
        <v>450</v>
      </c>
      <c r="E599" s="251">
        <v>0</v>
      </c>
      <c r="F599" s="252">
        <v>0</v>
      </c>
      <c r="G599" s="252">
        <v>0</v>
      </c>
      <c r="H599" s="275">
        <v>0</v>
      </c>
      <c r="I599" s="276">
        <v>0</v>
      </c>
    </row>
    <row r="600" spans="1:9" x14ac:dyDescent="0.3">
      <c r="A600" s="199" t="e">
        <f>IF(AND(E600&lt;&gt;"", A595&lt;&gt;""), A595+1, "")</f>
        <v>#REF!</v>
      </c>
      <c r="B600" s="418">
        <v>46368</v>
      </c>
      <c r="C600" s="421">
        <f>B600</f>
        <v>46368</v>
      </c>
      <c r="D600" s="196" t="s">
        <v>418</v>
      </c>
      <c r="E600" s="243">
        <v>0</v>
      </c>
      <c r="F600" s="244">
        <v>0</v>
      </c>
      <c r="G600" s="244">
        <v>0</v>
      </c>
      <c r="H600" s="271">
        <v>0</v>
      </c>
      <c r="I600" s="272">
        <v>0</v>
      </c>
    </row>
    <row r="601" spans="1:9" x14ac:dyDescent="0.3">
      <c r="A601" s="199" t="e">
        <f>IF(AND(E600&lt;&gt;"", A596&lt;&gt;""), A596+1, "")</f>
        <v>#REF!</v>
      </c>
      <c r="B601" s="419"/>
      <c r="C601" s="422"/>
      <c r="D601" s="197" t="s">
        <v>420</v>
      </c>
      <c r="E601" s="247">
        <v>0</v>
      </c>
      <c r="F601" s="248">
        <v>0</v>
      </c>
      <c r="G601" s="248">
        <v>0</v>
      </c>
      <c r="H601" s="273">
        <v>0</v>
      </c>
      <c r="I601" s="274">
        <v>0</v>
      </c>
    </row>
    <row r="602" spans="1:9" x14ac:dyDescent="0.3">
      <c r="A602" s="199" t="e">
        <f>IF(AND(E600&lt;&gt;"", A597&lt;&gt;""), A597+1, "")</f>
        <v>#REF!</v>
      </c>
      <c r="B602" s="419"/>
      <c r="C602" s="422"/>
      <c r="D602" s="197" t="s">
        <v>426</v>
      </c>
      <c r="E602" s="247">
        <v>0</v>
      </c>
      <c r="F602" s="248">
        <v>0</v>
      </c>
      <c r="G602" s="248">
        <v>0</v>
      </c>
      <c r="H602" s="273">
        <v>0</v>
      </c>
      <c r="I602" s="274">
        <v>0</v>
      </c>
    </row>
    <row r="603" spans="1:9" x14ac:dyDescent="0.3">
      <c r="A603" s="199" t="e">
        <f>IF(AND(E600&lt;&gt;"", A598&lt;&gt;""), A598+1, "")</f>
        <v>#REF!</v>
      </c>
      <c r="B603" s="419"/>
      <c r="C603" s="422"/>
      <c r="D603" s="197" t="s">
        <v>424</v>
      </c>
      <c r="E603" s="247">
        <v>0</v>
      </c>
      <c r="F603" s="248">
        <v>0</v>
      </c>
      <c r="G603" s="248">
        <v>0</v>
      </c>
      <c r="H603" s="273">
        <v>0</v>
      </c>
      <c r="I603" s="274">
        <v>0</v>
      </c>
    </row>
    <row r="604" spans="1:9" ht="15.75" customHeight="1" thickBot="1" x14ac:dyDescent="0.35">
      <c r="A604" s="199" t="e">
        <f>IF(AND(E600&lt;&gt;"", A599&lt;&gt;""), A599+1, "")</f>
        <v>#REF!</v>
      </c>
      <c r="B604" s="420"/>
      <c r="C604" s="404"/>
      <c r="D604" s="198" t="s">
        <v>450</v>
      </c>
      <c r="E604" s="251">
        <v>0</v>
      </c>
      <c r="F604" s="252">
        <v>0</v>
      </c>
      <c r="G604" s="252">
        <v>0</v>
      </c>
      <c r="H604" s="275">
        <v>0</v>
      </c>
      <c r="I604" s="276">
        <v>0</v>
      </c>
    </row>
    <row r="605" spans="1:9" x14ac:dyDescent="0.3">
      <c r="A605" s="199" t="e">
        <f>IF(AND(E605&lt;&gt;"", A600&lt;&gt;""), A600+1, "")</f>
        <v>#REF!</v>
      </c>
      <c r="B605" s="418">
        <v>46369</v>
      </c>
      <c r="C605" s="421">
        <f>B605</f>
        <v>46369</v>
      </c>
      <c r="D605" s="196" t="s">
        <v>418</v>
      </c>
      <c r="E605" s="243">
        <v>0</v>
      </c>
      <c r="F605" s="244">
        <v>0</v>
      </c>
      <c r="G605" s="244">
        <v>0</v>
      </c>
      <c r="H605" s="271">
        <v>0</v>
      </c>
      <c r="I605" s="272">
        <v>0</v>
      </c>
    </row>
    <row r="606" spans="1:9" x14ac:dyDescent="0.3">
      <c r="A606" s="199" t="e">
        <f>IF(AND(E605&lt;&gt;"", A601&lt;&gt;""), A601+1, "")</f>
        <v>#REF!</v>
      </c>
      <c r="B606" s="419"/>
      <c r="C606" s="422"/>
      <c r="D606" s="197" t="s">
        <v>420</v>
      </c>
      <c r="E606" s="247">
        <v>0</v>
      </c>
      <c r="F606" s="248">
        <v>0</v>
      </c>
      <c r="G606" s="248">
        <v>0</v>
      </c>
      <c r="H606" s="273">
        <v>0</v>
      </c>
      <c r="I606" s="274">
        <v>0</v>
      </c>
    </row>
    <row r="607" spans="1:9" x14ac:dyDescent="0.3">
      <c r="A607" s="199" t="e">
        <f>IF(AND(E605&lt;&gt;"", A602&lt;&gt;""), A602+1, "")</f>
        <v>#REF!</v>
      </c>
      <c r="B607" s="419"/>
      <c r="C607" s="422"/>
      <c r="D607" s="197" t="s">
        <v>426</v>
      </c>
      <c r="E607" s="247">
        <v>0</v>
      </c>
      <c r="F607" s="248">
        <v>0</v>
      </c>
      <c r="G607" s="248">
        <v>0</v>
      </c>
      <c r="H607" s="273">
        <v>0</v>
      </c>
      <c r="I607" s="274">
        <v>0</v>
      </c>
    </row>
    <row r="608" spans="1:9" x14ac:dyDescent="0.3">
      <c r="A608" s="199" t="e">
        <f>IF(AND(E605&lt;&gt;"", A603&lt;&gt;""), A603+1, "")</f>
        <v>#REF!</v>
      </c>
      <c r="B608" s="419"/>
      <c r="C608" s="422"/>
      <c r="D608" s="197" t="s">
        <v>424</v>
      </c>
      <c r="E608" s="247">
        <v>0</v>
      </c>
      <c r="F608" s="248">
        <v>0</v>
      </c>
      <c r="G608" s="248">
        <v>0</v>
      </c>
      <c r="H608" s="273">
        <v>0</v>
      </c>
      <c r="I608" s="274">
        <v>0</v>
      </c>
    </row>
    <row r="609" spans="1:9" ht="15.75" customHeight="1" thickBot="1" x14ac:dyDescent="0.35">
      <c r="A609" s="199" t="e">
        <f>IF(AND(E605&lt;&gt;"", A604&lt;&gt;""), A604+1, "")</f>
        <v>#REF!</v>
      </c>
      <c r="B609" s="420"/>
      <c r="C609" s="404"/>
      <c r="D609" s="198" t="s">
        <v>450</v>
      </c>
      <c r="E609" s="251">
        <v>0</v>
      </c>
      <c r="F609" s="252">
        <v>0</v>
      </c>
      <c r="G609" s="252">
        <v>0</v>
      </c>
      <c r="H609" s="275">
        <v>0</v>
      </c>
      <c r="I609" s="276">
        <v>0</v>
      </c>
    </row>
    <row r="610" spans="1:9" x14ac:dyDescent="0.3">
      <c r="A610" s="199" t="e">
        <f>IF(AND(E610&lt;&gt;"", A605&lt;&gt;""), A605+1, "")</f>
        <v>#REF!</v>
      </c>
      <c r="B610" s="418">
        <v>46370</v>
      </c>
      <c r="C610" s="421">
        <f>B610</f>
        <v>46370</v>
      </c>
      <c r="D610" s="196" t="s">
        <v>418</v>
      </c>
      <c r="E610" s="243">
        <v>0</v>
      </c>
      <c r="F610" s="244">
        <v>0</v>
      </c>
      <c r="G610" s="244">
        <v>0</v>
      </c>
      <c r="H610" s="271">
        <v>0</v>
      </c>
      <c r="I610" s="272">
        <v>0</v>
      </c>
    </row>
    <row r="611" spans="1:9" x14ac:dyDescent="0.3">
      <c r="A611" s="199" t="e">
        <f>IF(AND(E610&lt;&gt;"", A606&lt;&gt;""), A606+1, "")</f>
        <v>#REF!</v>
      </c>
      <c r="B611" s="419"/>
      <c r="C611" s="422"/>
      <c r="D611" s="197" t="s">
        <v>420</v>
      </c>
      <c r="E611" s="247">
        <v>0</v>
      </c>
      <c r="F611" s="248">
        <v>0</v>
      </c>
      <c r="G611" s="248">
        <v>0</v>
      </c>
      <c r="H611" s="273">
        <v>0</v>
      </c>
      <c r="I611" s="274">
        <v>0</v>
      </c>
    </row>
    <row r="612" spans="1:9" x14ac:dyDescent="0.3">
      <c r="A612" s="199" t="e">
        <f>IF(AND(E610&lt;&gt;"", A607&lt;&gt;""), A607+1, "")</f>
        <v>#REF!</v>
      </c>
      <c r="B612" s="419"/>
      <c r="C612" s="422"/>
      <c r="D612" s="197" t="s">
        <v>426</v>
      </c>
      <c r="E612" s="247">
        <v>0</v>
      </c>
      <c r="F612" s="248">
        <v>0</v>
      </c>
      <c r="G612" s="248">
        <v>0</v>
      </c>
      <c r="H612" s="273">
        <v>0</v>
      </c>
      <c r="I612" s="274">
        <v>0</v>
      </c>
    </row>
    <row r="613" spans="1:9" x14ac:dyDescent="0.3">
      <c r="A613" s="199" t="e">
        <f>IF(AND(E610&lt;&gt;"", A608&lt;&gt;""), A608+1, "")</f>
        <v>#REF!</v>
      </c>
      <c r="B613" s="419"/>
      <c r="C613" s="422"/>
      <c r="D613" s="197" t="s">
        <v>424</v>
      </c>
      <c r="E613" s="247">
        <v>0</v>
      </c>
      <c r="F613" s="248">
        <v>0</v>
      </c>
      <c r="G613" s="248">
        <v>0</v>
      </c>
      <c r="H613" s="273">
        <v>0</v>
      </c>
      <c r="I613" s="274">
        <v>0</v>
      </c>
    </row>
    <row r="614" spans="1:9" ht="15.75" customHeight="1" thickBot="1" x14ac:dyDescent="0.35">
      <c r="A614" s="199" t="e">
        <f>IF(AND(E610&lt;&gt;"", A609&lt;&gt;""), A609+1, "")</f>
        <v>#REF!</v>
      </c>
      <c r="B614" s="420"/>
      <c r="C614" s="404"/>
      <c r="D614" s="198" t="s">
        <v>450</v>
      </c>
      <c r="E614" s="251">
        <v>0</v>
      </c>
      <c r="F614" s="252">
        <v>0</v>
      </c>
      <c r="G614" s="252">
        <v>0</v>
      </c>
      <c r="H614" s="275">
        <v>0</v>
      </c>
      <c r="I614" s="276">
        <v>0</v>
      </c>
    </row>
    <row r="615" spans="1:9" x14ac:dyDescent="0.3">
      <c r="A615" s="199" t="e">
        <f>IF(AND(E615&lt;&gt;"", A610&lt;&gt;""), A610+1, "")</f>
        <v>#REF!</v>
      </c>
      <c r="B615" s="418">
        <v>46371</v>
      </c>
      <c r="C615" s="421">
        <f>B615</f>
        <v>46371</v>
      </c>
      <c r="D615" s="196" t="s">
        <v>418</v>
      </c>
      <c r="E615" s="243">
        <v>0</v>
      </c>
      <c r="F615" s="244">
        <v>0</v>
      </c>
      <c r="G615" s="244">
        <v>0</v>
      </c>
      <c r="H615" s="271">
        <v>0</v>
      </c>
      <c r="I615" s="272">
        <v>0</v>
      </c>
    </row>
    <row r="616" spans="1:9" x14ac:dyDescent="0.3">
      <c r="A616" s="199" t="e">
        <f>IF(AND(E615&lt;&gt;"", A611&lt;&gt;""), A611+1, "")</f>
        <v>#REF!</v>
      </c>
      <c r="B616" s="419"/>
      <c r="C616" s="422"/>
      <c r="D616" s="197" t="s">
        <v>420</v>
      </c>
      <c r="E616" s="247">
        <v>0</v>
      </c>
      <c r="F616" s="248">
        <v>0</v>
      </c>
      <c r="G616" s="248">
        <v>0</v>
      </c>
      <c r="H616" s="273">
        <v>0</v>
      </c>
      <c r="I616" s="274">
        <v>0</v>
      </c>
    </row>
    <row r="617" spans="1:9" x14ac:dyDescent="0.3">
      <c r="A617" s="199" t="e">
        <f>IF(AND(E615&lt;&gt;"", A612&lt;&gt;""), A612+1, "")</f>
        <v>#REF!</v>
      </c>
      <c r="B617" s="419"/>
      <c r="C617" s="422"/>
      <c r="D617" s="197" t="s">
        <v>426</v>
      </c>
      <c r="E617" s="247">
        <v>0</v>
      </c>
      <c r="F617" s="248">
        <v>0</v>
      </c>
      <c r="G617" s="248">
        <v>0</v>
      </c>
      <c r="H617" s="273">
        <v>0</v>
      </c>
      <c r="I617" s="274">
        <v>0</v>
      </c>
    </row>
    <row r="618" spans="1:9" x14ac:dyDescent="0.3">
      <c r="A618" s="199" t="e">
        <f>IF(AND(E615&lt;&gt;"", A613&lt;&gt;""), A613+1, "")</f>
        <v>#REF!</v>
      </c>
      <c r="B618" s="419"/>
      <c r="C618" s="422"/>
      <c r="D618" s="197" t="s">
        <v>424</v>
      </c>
      <c r="E618" s="247">
        <v>0</v>
      </c>
      <c r="F618" s="248">
        <v>0</v>
      </c>
      <c r="G618" s="248">
        <v>0</v>
      </c>
      <c r="H618" s="273">
        <v>0</v>
      </c>
      <c r="I618" s="274">
        <v>0</v>
      </c>
    </row>
    <row r="619" spans="1:9" ht="15.75" customHeight="1" thickBot="1" x14ac:dyDescent="0.35">
      <c r="A619" s="199" t="e">
        <f>IF(AND(E615&lt;&gt;"", A614&lt;&gt;""), A614+1, "")</f>
        <v>#REF!</v>
      </c>
      <c r="B619" s="420"/>
      <c r="C619" s="404"/>
      <c r="D619" s="198" t="s">
        <v>450</v>
      </c>
      <c r="E619" s="251">
        <v>0</v>
      </c>
      <c r="F619" s="252">
        <v>0</v>
      </c>
      <c r="G619" s="252">
        <v>0</v>
      </c>
      <c r="H619" s="275">
        <v>0</v>
      </c>
      <c r="I619" s="276">
        <v>0</v>
      </c>
    </row>
    <row r="620" spans="1:9" x14ac:dyDescent="0.3">
      <c r="A620" s="199" t="e">
        <f>IF(AND(E620&lt;&gt;"", A615&lt;&gt;""), A615+1, "")</f>
        <v>#REF!</v>
      </c>
      <c r="B620" s="418">
        <v>46372</v>
      </c>
      <c r="C620" s="421">
        <f>B620</f>
        <v>46372</v>
      </c>
      <c r="D620" s="196" t="s">
        <v>418</v>
      </c>
      <c r="E620" s="243">
        <v>0</v>
      </c>
      <c r="F620" s="244">
        <v>0</v>
      </c>
      <c r="G620" s="244">
        <v>0</v>
      </c>
      <c r="H620" s="271">
        <v>0</v>
      </c>
      <c r="I620" s="272">
        <v>0</v>
      </c>
    </row>
    <row r="621" spans="1:9" x14ac:dyDescent="0.3">
      <c r="A621" s="199" t="e">
        <f>IF(AND(E620&lt;&gt;"", A616&lt;&gt;""), A616+1, "")</f>
        <v>#REF!</v>
      </c>
      <c r="B621" s="419"/>
      <c r="C621" s="422"/>
      <c r="D621" s="197" t="s">
        <v>420</v>
      </c>
      <c r="E621" s="247">
        <v>0</v>
      </c>
      <c r="F621" s="248">
        <v>0</v>
      </c>
      <c r="G621" s="248">
        <v>0</v>
      </c>
      <c r="H621" s="273">
        <v>0</v>
      </c>
      <c r="I621" s="274">
        <v>0</v>
      </c>
    </row>
    <row r="622" spans="1:9" x14ac:dyDescent="0.3">
      <c r="A622" s="199" t="e">
        <f>IF(AND(E620&lt;&gt;"", A617&lt;&gt;""), A617+1, "")</f>
        <v>#REF!</v>
      </c>
      <c r="B622" s="419"/>
      <c r="C622" s="422"/>
      <c r="D622" s="197" t="s">
        <v>426</v>
      </c>
      <c r="E622" s="247">
        <v>0</v>
      </c>
      <c r="F622" s="248">
        <v>0</v>
      </c>
      <c r="G622" s="248">
        <v>0</v>
      </c>
      <c r="H622" s="273">
        <v>0</v>
      </c>
      <c r="I622" s="274">
        <v>0</v>
      </c>
    </row>
    <row r="623" spans="1:9" x14ac:dyDescent="0.3">
      <c r="A623" s="199" t="e">
        <f>IF(AND(E620&lt;&gt;"", A618&lt;&gt;""), A618+1, "")</f>
        <v>#REF!</v>
      </c>
      <c r="B623" s="419"/>
      <c r="C623" s="422"/>
      <c r="D623" s="197" t="s">
        <v>424</v>
      </c>
      <c r="E623" s="247">
        <v>0</v>
      </c>
      <c r="F623" s="248">
        <v>0</v>
      </c>
      <c r="G623" s="248">
        <v>0</v>
      </c>
      <c r="H623" s="273">
        <v>0</v>
      </c>
      <c r="I623" s="274">
        <v>0</v>
      </c>
    </row>
    <row r="624" spans="1:9" ht="15.75" customHeight="1" thickBot="1" x14ac:dyDescent="0.35">
      <c r="A624" s="199" t="e">
        <f>IF(AND(E620&lt;&gt;"", A619&lt;&gt;""), A619+1, "")</f>
        <v>#REF!</v>
      </c>
      <c r="B624" s="420"/>
      <c r="C624" s="404"/>
      <c r="D624" s="198" t="s">
        <v>450</v>
      </c>
      <c r="E624" s="251">
        <v>0</v>
      </c>
      <c r="F624" s="252">
        <v>0</v>
      </c>
      <c r="G624" s="252">
        <v>0</v>
      </c>
      <c r="H624" s="275">
        <v>0</v>
      </c>
      <c r="I624" s="276">
        <v>0</v>
      </c>
    </row>
    <row r="625" spans="1:9" x14ac:dyDescent="0.3">
      <c r="A625" s="199" t="e">
        <f>IF(AND(E625&lt;&gt;"", A620&lt;&gt;""), A620+1, "")</f>
        <v>#REF!</v>
      </c>
      <c r="B625" s="418">
        <v>46373</v>
      </c>
      <c r="C625" s="421">
        <f>B625</f>
        <v>46373</v>
      </c>
      <c r="D625" s="196" t="s">
        <v>418</v>
      </c>
      <c r="E625" s="243">
        <v>0</v>
      </c>
      <c r="F625" s="244">
        <v>0</v>
      </c>
      <c r="G625" s="244">
        <v>0</v>
      </c>
      <c r="H625" s="271">
        <v>0</v>
      </c>
      <c r="I625" s="272">
        <v>0</v>
      </c>
    </row>
    <row r="626" spans="1:9" x14ac:dyDescent="0.3">
      <c r="A626" s="199" t="e">
        <f>IF(AND(E625&lt;&gt;"", A621&lt;&gt;""), A621+1, "")</f>
        <v>#REF!</v>
      </c>
      <c r="B626" s="419"/>
      <c r="C626" s="422"/>
      <c r="D626" s="197" t="s">
        <v>420</v>
      </c>
      <c r="E626" s="247">
        <v>0</v>
      </c>
      <c r="F626" s="248">
        <v>0</v>
      </c>
      <c r="G626" s="248">
        <v>0</v>
      </c>
      <c r="H626" s="273">
        <v>0</v>
      </c>
      <c r="I626" s="274">
        <v>0</v>
      </c>
    </row>
    <row r="627" spans="1:9" x14ac:dyDescent="0.3">
      <c r="A627" s="199" t="e">
        <f>IF(AND(E625&lt;&gt;"", A622&lt;&gt;""), A622+1, "")</f>
        <v>#REF!</v>
      </c>
      <c r="B627" s="419"/>
      <c r="C627" s="422"/>
      <c r="D627" s="197" t="s">
        <v>426</v>
      </c>
      <c r="E627" s="247">
        <v>0</v>
      </c>
      <c r="F627" s="248">
        <v>0</v>
      </c>
      <c r="G627" s="248">
        <v>0</v>
      </c>
      <c r="H627" s="273">
        <v>0</v>
      </c>
      <c r="I627" s="274">
        <v>0</v>
      </c>
    </row>
    <row r="628" spans="1:9" x14ac:dyDescent="0.3">
      <c r="A628" s="199" t="e">
        <f>IF(AND(E625&lt;&gt;"", A623&lt;&gt;""), A623+1, "")</f>
        <v>#REF!</v>
      </c>
      <c r="B628" s="419"/>
      <c r="C628" s="422"/>
      <c r="D628" s="197" t="s">
        <v>424</v>
      </c>
      <c r="E628" s="247">
        <v>0</v>
      </c>
      <c r="F628" s="248">
        <v>0</v>
      </c>
      <c r="G628" s="248">
        <v>0</v>
      </c>
      <c r="H628" s="273">
        <v>0</v>
      </c>
      <c r="I628" s="274">
        <v>0</v>
      </c>
    </row>
    <row r="629" spans="1:9" ht="15.75" customHeight="1" thickBot="1" x14ac:dyDescent="0.35">
      <c r="A629" s="199" t="e">
        <f>IF(AND(E625&lt;&gt;"", A624&lt;&gt;""), A624+1, "")</f>
        <v>#REF!</v>
      </c>
      <c r="B629" s="420"/>
      <c r="C629" s="404"/>
      <c r="D629" s="198" t="s">
        <v>450</v>
      </c>
      <c r="E629" s="251">
        <v>0</v>
      </c>
      <c r="F629" s="252">
        <v>0</v>
      </c>
      <c r="G629" s="252">
        <v>0</v>
      </c>
      <c r="H629" s="275">
        <v>0</v>
      </c>
      <c r="I629" s="276">
        <v>0</v>
      </c>
    </row>
    <row r="630" spans="1:9" x14ac:dyDescent="0.3">
      <c r="A630" s="199" t="e">
        <f>IF(AND(E630&lt;&gt;"", A625&lt;&gt;""), A625+1, "")</f>
        <v>#REF!</v>
      </c>
      <c r="B630" s="418">
        <v>46374</v>
      </c>
      <c r="C630" s="421">
        <f>B630</f>
        <v>46374</v>
      </c>
      <c r="D630" s="196" t="s">
        <v>418</v>
      </c>
      <c r="E630" s="243">
        <v>0</v>
      </c>
      <c r="F630" s="244">
        <v>0</v>
      </c>
      <c r="G630" s="244">
        <v>0</v>
      </c>
      <c r="H630" s="271">
        <v>0</v>
      </c>
      <c r="I630" s="272">
        <v>0</v>
      </c>
    </row>
    <row r="631" spans="1:9" x14ac:dyDescent="0.3">
      <c r="A631" s="199" t="e">
        <f>IF(AND(E630&lt;&gt;"", A626&lt;&gt;""), A626+1, "")</f>
        <v>#REF!</v>
      </c>
      <c r="B631" s="419"/>
      <c r="C631" s="422"/>
      <c r="D631" s="197" t="s">
        <v>420</v>
      </c>
      <c r="E631" s="247">
        <v>0</v>
      </c>
      <c r="F631" s="248">
        <v>0</v>
      </c>
      <c r="G631" s="248">
        <v>0</v>
      </c>
      <c r="H631" s="273">
        <v>0</v>
      </c>
      <c r="I631" s="274">
        <v>0</v>
      </c>
    </row>
    <row r="632" spans="1:9" x14ac:dyDescent="0.3">
      <c r="A632" s="199" t="e">
        <f>IF(AND(E630&lt;&gt;"", A627&lt;&gt;""), A627+1, "")</f>
        <v>#REF!</v>
      </c>
      <c r="B632" s="419"/>
      <c r="C632" s="422"/>
      <c r="D632" s="197" t="s">
        <v>426</v>
      </c>
      <c r="E632" s="247">
        <v>0</v>
      </c>
      <c r="F632" s="248">
        <v>0</v>
      </c>
      <c r="G632" s="248">
        <v>0</v>
      </c>
      <c r="H632" s="273">
        <v>0</v>
      </c>
      <c r="I632" s="274">
        <v>0</v>
      </c>
    </row>
    <row r="633" spans="1:9" x14ac:dyDescent="0.3">
      <c r="A633" s="199" t="e">
        <f>IF(AND(E630&lt;&gt;"", A628&lt;&gt;""), A628+1, "")</f>
        <v>#REF!</v>
      </c>
      <c r="B633" s="419"/>
      <c r="C633" s="422"/>
      <c r="D633" s="197" t="s">
        <v>424</v>
      </c>
      <c r="E633" s="247">
        <v>0</v>
      </c>
      <c r="F633" s="248">
        <v>0</v>
      </c>
      <c r="G633" s="248">
        <v>0</v>
      </c>
      <c r="H633" s="273">
        <v>0</v>
      </c>
      <c r="I633" s="274">
        <v>0</v>
      </c>
    </row>
    <row r="634" spans="1:9" ht="15.75" customHeight="1" thickBot="1" x14ac:dyDescent="0.35">
      <c r="A634" s="199" t="e">
        <f>IF(AND(E630&lt;&gt;"", A629&lt;&gt;""), A629+1, "")</f>
        <v>#REF!</v>
      </c>
      <c r="B634" s="420"/>
      <c r="C634" s="404"/>
      <c r="D634" s="198" t="s">
        <v>450</v>
      </c>
      <c r="E634" s="251">
        <v>0</v>
      </c>
      <c r="F634" s="252">
        <v>0</v>
      </c>
      <c r="G634" s="252">
        <v>0</v>
      </c>
      <c r="H634" s="275">
        <v>0</v>
      </c>
      <c r="I634" s="276">
        <v>0</v>
      </c>
    </row>
    <row r="635" spans="1:9" x14ac:dyDescent="0.3">
      <c r="A635" s="199" t="e">
        <f>IF(AND(E635&lt;&gt;"", A630&lt;&gt;""), A630+1, "")</f>
        <v>#REF!</v>
      </c>
      <c r="B635" s="418">
        <v>46375</v>
      </c>
      <c r="C635" s="421">
        <f>B635</f>
        <v>46375</v>
      </c>
      <c r="D635" s="196" t="s">
        <v>418</v>
      </c>
      <c r="E635" s="243">
        <v>0</v>
      </c>
      <c r="F635" s="244">
        <v>0</v>
      </c>
      <c r="G635" s="244">
        <v>0</v>
      </c>
      <c r="H635" s="271">
        <v>0</v>
      </c>
      <c r="I635" s="272">
        <v>0</v>
      </c>
    </row>
    <row r="636" spans="1:9" x14ac:dyDescent="0.3">
      <c r="A636" s="199" t="e">
        <f>IF(AND(E635&lt;&gt;"", A631&lt;&gt;""), A631+1, "")</f>
        <v>#REF!</v>
      </c>
      <c r="B636" s="419"/>
      <c r="C636" s="422"/>
      <c r="D636" s="197" t="s">
        <v>420</v>
      </c>
      <c r="E636" s="247">
        <v>0</v>
      </c>
      <c r="F636" s="248">
        <v>0</v>
      </c>
      <c r="G636" s="248">
        <v>0</v>
      </c>
      <c r="H636" s="273">
        <v>0</v>
      </c>
      <c r="I636" s="274">
        <v>0</v>
      </c>
    </row>
    <row r="637" spans="1:9" x14ac:dyDescent="0.3">
      <c r="A637" s="199" t="e">
        <f>IF(AND(E635&lt;&gt;"", A632&lt;&gt;""), A632+1, "")</f>
        <v>#REF!</v>
      </c>
      <c r="B637" s="419"/>
      <c r="C637" s="422"/>
      <c r="D637" s="197" t="s">
        <v>426</v>
      </c>
      <c r="E637" s="247">
        <v>0</v>
      </c>
      <c r="F637" s="248">
        <v>0</v>
      </c>
      <c r="G637" s="248">
        <v>0</v>
      </c>
      <c r="H637" s="273">
        <v>0</v>
      </c>
      <c r="I637" s="274">
        <v>0</v>
      </c>
    </row>
    <row r="638" spans="1:9" x14ac:dyDescent="0.3">
      <c r="A638" s="199" t="e">
        <f>IF(AND(E635&lt;&gt;"", A633&lt;&gt;""), A633+1, "")</f>
        <v>#REF!</v>
      </c>
      <c r="B638" s="419"/>
      <c r="C638" s="422"/>
      <c r="D638" s="197" t="s">
        <v>424</v>
      </c>
      <c r="E638" s="247">
        <v>0</v>
      </c>
      <c r="F638" s="248">
        <v>0</v>
      </c>
      <c r="G638" s="248">
        <v>0</v>
      </c>
      <c r="H638" s="273">
        <v>0</v>
      </c>
      <c r="I638" s="274">
        <v>0</v>
      </c>
    </row>
    <row r="639" spans="1:9" ht="15.75" customHeight="1" thickBot="1" x14ac:dyDescent="0.35">
      <c r="A639" s="199" t="e">
        <f>IF(AND(E635&lt;&gt;"", A634&lt;&gt;""), A634+1, "")</f>
        <v>#REF!</v>
      </c>
      <c r="B639" s="420"/>
      <c r="C639" s="404"/>
      <c r="D639" s="198" t="s">
        <v>450</v>
      </c>
      <c r="E639" s="251">
        <v>0</v>
      </c>
      <c r="F639" s="252">
        <v>0</v>
      </c>
      <c r="G639" s="252">
        <v>0</v>
      </c>
      <c r="H639" s="275">
        <v>0</v>
      </c>
      <c r="I639" s="276">
        <v>0</v>
      </c>
    </row>
    <row r="640" spans="1:9" x14ac:dyDescent="0.3">
      <c r="A640" s="199" t="e">
        <f>IF(AND(E640&lt;&gt;"", A635&lt;&gt;""), A635+1, "")</f>
        <v>#REF!</v>
      </c>
      <c r="B640" s="418">
        <v>46376</v>
      </c>
      <c r="C640" s="421">
        <f>B640</f>
        <v>46376</v>
      </c>
      <c r="D640" s="196" t="s">
        <v>418</v>
      </c>
      <c r="E640" s="243">
        <v>0</v>
      </c>
      <c r="F640" s="244">
        <v>0</v>
      </c>
      <c r="G640" s="244">
        <v>0</v>
      </c>
      <c r="H640" s="271">
        <v>0</v>
      </c>
      <c r="I640" s="272">
        <v>0</v>
      </c>
    </row>
    <row r="641" spans="1:9" x14ac:dyDescent="0.3">
      <c r="A641" s="199" t="e">
        <f>IF(AND(E640&lt;&gt;"", A636&lt;&gt;""), A636+1, "")</f>
        <v>#REF!</v>
      </c>
      <c r="B641" s="419"/>
      <c r="C641" s="422"/>
      <c r="D641" s="197" t="s">
        <v>420</v>
      </c>
      <c r="E641" s="247">
        <v>0</v>
      </c>
      <c r="F641" s="248">
        <v>0</v>
      </c>
      <c r="G641" s="248">
        <v>0</v>
      </c>
      <c r="H641" s="273">
        <v>0</v>
      </c>
      <c r="I641" s="274">
        <v>0</v>
      </c>
    </row>
    <row r="642" spans="1:9" x14ac:dyDescent="0.3">
      <c r="A642" s="199" t="e">
        <f>IF(AND(E640&lt;&gt;"", A637&lt;&gt;""), A637+1, "")</f>
        <v>#REF!</v>
      </c>
      <c r="B642" s="419"/>
      <c r="C642" s="422"/>
      <c r="D642" s="197" t="s">
        <v>426</v>
      </c>
      <c r="E642" s="247">
        <v>0</v>
      </c>
      <c r="F642" s="248">
        <v>0</v>
      </c>
      <c r="G642" s="248">
        <v>0</v>
      </c>
      <c r="H642" s="273">
        <v>0</v>
      </c>
      <c r="I642" s="274">
        <v>0</v>
      </c>
    </row>
    <row r="643" spans="1:9" x14ac:dyDescent="0.3">
      <c r="A643" s="199" t="e">
        <f>IF(AND(E640&lt;&gt;"", A638&lt;&gt;""), A638+1, "")</f>
        <v>#REF!</v>
      </c>
      <c r="B643" s="419"/>
      <c r="C643" s="422"/>
      <c r="D643" s="197" t="s">
        <v>424</v>
      </c>
      <c r="E643" s="247">
        <v>0</v>
      </c>
      <c r="F643" s="248">
        <v>0</v>
      </c>
      <c r="G643" s="248">
        <v>0</v>
      </c>
      <c r="H643" s="273">
        <v>0</v>
      </c>
      <c r="I643" s="274">
        <v>0</v>
      </c>
    </row>
    <row r="644" spans="1:9" ht="15.75" customHeight="1" thickBot="1" x14ac:dyDescent="0.35">
      <c r="A644" s="199" t="e">
        <f>IF(AND(E640&lt;&gt;"", A639&lt;&gt;""), A639+1, "")</f>
        <v>#REF!</v>
      </c>
      <c r="B644" s="420"/>
      <c r="C644" s="404"/>
      <c r="D644" s="198" t="s">
        <v>450</v>
      </c>
      <c r="E644" s="251">
        <v>0</v>
      </c>
      <c r="F644" s="252">
        <v>0</v>
      </c>
      <c r="G644" s="252">
        <v>0</v>
      </c>
      <c r="H644" s="275">
        <v>0</v>
      </c>
      <c r="I644" s="276">
        <v>0</v>
      </c>
    </row>
    <row r="645" spans="1:9" x14ac:dyDescent="0.3">
      <c r="A645" s="199" t="e">
        <f>IF(AND(E645&lt;&gt;"", A640&lt;&gt;""), A640+1, "")</f>
        <v>#REF!</v>
      </c>
      <c r="B645" s="418">
        <v>46377</v>
      </c>
      <c r="C645" s="421">
        <f>B645</f>
        <v>46377</v>
      </c>
      <c r="D645" s="196" t="s">
        <v>418</v>
      </c>
      <c r="E645" s="243">
        <v>0</v>
      </c>
      <c r="F645" s="244">
        <v>0</v>
      </c>
      <c r="G645" s="244">
        <v>0</v>
      </c>
      <c r="H645" s="271">
        <v>0</v>
      </c>
      <c r="I645" s="272">
        <v>0</v>
      </c>
    </row>
    <row r="646" spans="1:9" x14ac:dyDescent="0.3">
      <c r="A646" s="199" t="e">
        <f>IF(AND(E645&lt;&gt;"", A641&lt;&gt;""), A641+1, "")</f>
        <v>#REF!</v>
      </c>
      <c r="B646" s="419"/>
      <c r="C646" s="422"/>
      <c r="D646" s="197" t="s">
        <v>420</v>
      </c>
      <c r="E646" s="247">
        <v>0</v>
      </c>
      <c r="F646" s="248">
        <v>0</v>
      </c>
      <c r="G646" s="248">
        <v>0</v>
      </c>
      <c r="H646" s="273">
        <v>0</v>
      </c>
      <c r="I646" s="274">
        <v>0</v>
      </c>
    </row>
    <row r="647" spans="1:9" x14ac:dyDescent="0.3">
      <c r="A647" s="199" t="e">
        <f>IF(AND(E645&lt;&gt;"", A642&lt;&gt;""), A642+1, "")</f>
        <v>#REF!</v>
      </c>
      <c r="B647" s="419"/>
      <c r="C647" s="422"/>
      <c r="D647" s="197" t="s">
        <v>426</v>
      </c>
      <c r="E647" s="247">
        <v>0</v>
      </c>
      <c r="F647" s="248">
        <v>0</v>
      </c>
      <c r="G647" s="248">
        <v>0</v>
      </c>
      <c r="H647" s="273">
        <v>0</v>
      </c>
      <c r="I647" s="274">
        <v>0</v>
      </c>
    </row>
    <row r="648" spans="1:9" x14ac:dyDescent="0.3">
      <c r="A648" s="199" t="e">
        <f>IF(AND(E645&lt;&gt;"", A643&lt;&gt;""), A643+1, "")</f>
        <v>#REF!</v>
      </c>
      <c r="B648" s="419"/>
      <c r="C648" s="422"/>
      <c r="D648" s="197" t="s">
        <v>424</v>
      </c>
      <c r="E648" s="247">
        <v>0</v>
      </c>
      <c r="F648" s="248">
        <v>0</v>
      </c>
      <c r="G648" s="248">
        <v>0</v>
      </c>
      <c r="H648" s="273">
        <v>0</v>
      </c>
      <c r="I648" s="274">
        <v>0</v>
      </c>
    </row>
    <row r="649" spans="1:9" ht="15.75" customHeight="1" thickBot="1" x14ac:dyDescent="0.35">
      <c r="A649" s="199" t="e">
        <f>IF(AND(E645&lt;&gt;"", A644&lt;&gt;""), A644+1, "")</f>
        <v>#REF!</v>
      </c>
      <c r="B649" s="420"/>
      <c r="C649" s="404"/>
      <c r="D649" s="198" t="s">
        <v>450</v>
      </c>
      <c r="E649" s="251">
        <v>0</v>
      </c>
      <c r="F649" s="252">
        <v>0</v>
      </c>
      <c r="G649" s="252">
        <v>0</v>
      </c>
      <c r="H649" s="275">
        <v>0</v>
      </c>
      <c r="I649" s="276">
        <v>0</v>
      </c>
    </row>
    <row r="650" spans="1:9" x14ac:dyDescent="0.3">
      <c r="A650" s="199" t="e">
        <f>IF(AND(E650&lt;&gt;"", A645&lt;&gt;""), A645+1, "")</f>
        <v>#REF!</v>
      </c>
      <c r="B650" s="418">
        <v>46378</v>
      </c>
      <c r="C650" s="421">
        <f>B650</f>
        <v>46378</v>
      </c>
      <c r="D650" s="196" t="s">
        <v>418</v>
      </c>
      <c r="E650" s="243">
        <v>0</v>
      </c>
      <c r="F650" s="244">
        <v>0</v>
      </c>
      <c r="G650" s="244">
        <v>0</v>
      </c>
      <c r="H650" s="271">
        <v>0</v>
      </c>
      <c r="I650" s="272">
        <v>0</v>
      </c>
    </row>
    <row r="651" spans="1:9" x14ac:dyDescent="0.3">
      <c r="A651" s="199" t="e">
        <f>IF(AND(E650&lt;&gt;"", A646&lt;&gt;""), A646+1, "")</f>
        <v>#REF!</v>
      </c>
      <c r="B651" s="419"/>
      <c r="C651" s="422"/>
      <c r="D651" s="197" t="s">
        <v>420</v>
      </c>
      <c r="E651" s="247">
        <v>0</v>
      </c>
      <c r="F651" s="248">
        <v>0</v>
      </c>
      <c r="G651" s="248">
        <v>0</v>
      </c>
      <c r="H651" s="273">
        <v>0</v>
      </c>
      <c r="I651" s="274">
        <v>0</v>
      </c>
    </row>
    <row r="652" spans="1:9" x14ac:dyDescent="0.3">
      <c r="A652" s="199" t="e">
        <f>IF(AND(E650&lt;&gt;"", A647&lt;&gt;""), A647+1, "")</f>
        <v>#REF!</v>
      </c>
      <c r="B652" s="419"/>
      <c r="C652" s="422"/>
      <c r="D652" s="197" t="s">
        <v>426</v>
      </c>
      <c r="E652" s="247">
        <v>0</v>
      </c>
      <c r="F652" s="248">
        <v>0</v>
      </c>
      <c r="G652" s="248">
        <v>0</v>
      </c>
      <c r="H652" s="273">
        <v>0</v>
      </c>
      <c r="I652" s="274">
        <v>0</v>
      </c>
    </row>
    <row r="653" spans="1:9" x14ac:dyDescent="0.3">
      <c r="A653" s="199" t="e">
        <f>IF(AND(E650&lt;&gt;"", A648&lt;&gt;""), A648+1, "")</f>
        <v>#REF!</v>
      </c>
      <c r="B653" s="419"/>
      <c r="C653" s="422"/>
      <c r="D653" s="197" t="s">
        <v>424</v>
      </c>
      <c r="E653" s="247">
        <v>0</v>
      </c>
      <c r="F653" s="248">
        <v>0</v>
      </c>
      <c r="G653" s="248">
        <v>0</v>
      </c>
      <c r="H653" s="273">
        <v>0</v>
      </c>
      <c r="I653" s="274">
        <v>0</v>
      </c>
    </row>
    <row r="654" spans="1:9" ht="15.75" customHeight="1" thickBot="1" x14ac:dyDescent="0.35">
      <c r="A654" s="199" t="e">
        <f>IF(AND(E650&lt;&gt;"", A649&lt;&gt;""), A649+1, "")</f>
        <v>#REF!</v>
      </c>
      <c r="B654" s="420"/>
      <c r="C654" s="404"/>
      <c r="D654" s="198" t="s">
        <v>450</v>
      </c>
      <c r="E654" s="251">
        <v>0</v>
      </c>
      <c r="F654" s="252">
        <v>0</v>
      </c>
      <c r="G654" s="252">
        <v>0</v>
      </c>
      <c r="H654" s="275">
        <v>0</v>
      </c>
      <c r="I654" s="276">
        <v>0</v>
      </c>
    </row>
    <row r="655" spans="1:9" x14ac:dyDescent="0.3">
      <c r="A655" s="199" t="e">
        <f>IF(AND(E655&lt;&gt;"", A650&lt;&gt;""), A650+1, "")</f>
        <v>#REF!</v>
      </c>
      <c r="B655" s="418">
        <v>46379</v>
      </c>
      <c r="C655" s="421">
        <f>B655</f>
        <v>46379</v>
      </c>
      <c r="D655" s="196" t="s">
        <v>418</v>
      </c>
      <c r="E655" s="243">
        <v>0</v>
      </c>
      <c r="F655" s="244">
        <v>0</v>
      </c>
      <c r="G655" s="244">
        <v>0</v>
      </c>
      <c r="H655" s="271">
        <v>0</v>
      </c>
      <c r="I655" s="272">
        <v>0</v>
      </c>
    </row>
    <row r="656" spans="1:9" x14ac:dyDescent="0.3">
      <c r="A656" s="199" t="e">
        <f>IF(AND(E655&lt;&gt;"", A651&lt;&gt;""), A651+1, "")</f>
        <v>#REF!</v>
      </c>
      <c r="B656" s="419"/>
      <c r="C656" s="422"/>
      <c r="D656" s="197" t="s">
        <v>420</v>
      </c>
      <c r="E656" s="247">
        <v>0</v>
      </c>
      <c r="F656" s="248">
        <v>0</v>
      </c>
      <c r="G656" s="248">
        <v>0</v>
      </c>
      <c r="H656" s="273">
        <v>0</v>
      </c>
      <c r="I656" s="274">
        <v>0</v>
      </c>
    </row>
    <row r="657" spans="1:9" x14ac:dyDescent="0.3">
      <c r="A657" s="199" t="e">
        <f>IF(AND(E655&lt;&gt;"", A652&lt;&gt;""), A652+1, "")</f>
        <v>#REF!</v>
      </c>
      <c r="B657" s="419"/>
      <c r="C657" s="422"/>
      <c r="D657" s="197" t="s">
        <v>426</v>
      </c>
      <c r="E657" s="247">
        <v>0</v>
      </c>
      <c r="F657" s="248">
        <v>0</v>
      </c>
      <c r="G657" s="248">
        <v>0</v>
      </c>
      <c r="H657" s="273">
        <v>0</v>
      </c>
      <c r="I657" s="274">
        <v>0</v>
      </c>
    </row>
    <row r="658" spans="1:9" x14ac:dyDescent="0.3">
      <c r="A658" s="199" t="e">
        <f>IF(AND(E655&lt;&gt;"", A653&lt;&gt;""), A653+1, "")</f>
        <v>#REF!</v>
      </c>
      <c r="B658" s="419"/>
      <c r="C658" s="422"/>
      <c r="D658" s="197" t="s">
        <v>424</v>
      </c>
      <c r="E658" s="247">
        <v>0</v>
      </c>
      <c r="F658" s="248">
        <v>0</v>
      </c>
      <c r="G658" s="248">
        <v>0</v>
      </c>
      <c r="H658" s="273">
        <v>0</v>
      </c>
      <c r="I658" s="274">
        <v>0</v>
      </c>
    </row>
    <row r="659" spans="1:9" ht="15.75" customHeight="1" thickBot="1" x14ac:dyDescent="0.35">
      <c r="A659" s="199" t="e">
        <f>IF(AND(E655&lt;&gt;"", A654&lt;&gt;""), A654+1, "")</f>
        <v>#REF!</v>
      </c>
      <c r="B659" s="420"/>
      <c r="C659" s="404"/>
      <c r="D659" s="198" t="s">
        <v>450</v>
      </c>
      <c r="E659" s="251">
        <v>0</v>
      </c>
      <c r="F659" s="252">
        <v>0</v>
      </c>
      <c r="G659" s="252">
        <v>0</v>
      </c>
      <c r="H659" s="275">
        <v>0</v>
      </c>
      <c r="I659" s="276">
        <v>0</v>
      </c>
    </row>
    <row r="660" spans="1:9" x14ac:dyDescent="0.3">
      <c r="A660" s="199" t="e">
        <f>IF(AND(E660&lt;&gt;"", A655&lt;&gt;""), A655+1, "")</f>
        <v>#REF!</v>
      </c>
      <c r="B660" s="418">
        <v>46380</v>
      </c>
      <c r="C660" s="421">
        <f>B660</f>
        <v>46380</v>
      </c>
      <c r="D660" s="196" t="s">
        <v>418</v>
      </c>
      <c r="E660" s="243">
        <v>0</v>
      </c>
      <c r="F660" s="244">
        <v>0</v>
      </c>
      <c r="G660" s="244">
        <v>0</v>
      </c>
      <c r="H660" s="271">
        <v>0</v>
      </c>
      <c r="I660" s="272">
        <v>0</v>
      </c>
    </row>
    <row r="661" spans="1:9" x14ac:dyDescent="0.3">
      <c r="A661" s="199" t="e">
        <f>IF(AND(E660&lt;&gt;"", A656&lt;&gt;""), A656+1, "")</f>
        <v>#REF!</v>
      </c>
      <c r="B661" s="419"/>
      <c r="C661" s="422"/>
      <c r="D661" s="197" t="s">
        <v>420</v>
      </c>
      <c r="E661" s="247">
        <v>0</v>
      </c>
      <c r="F661" s="248">
        <v>0</v>
      </c>
      <c r="G661" s="248">
        <v>0</v>
      </c>
      <c r="H661" s="273">
        <v>0</v>
      </c>
      <c r="I661" s="274">
        <v>0</v>
      </c>
    </row>
    <row r="662" spans="1:9" x14ac:dyDescent="0.3">
      <c r="A662" s="199" t="e">
        <f>IF(AND(E660&lt;&gt;"", A657&lt;&gt;""), A657+1, "")</f>
        <v>#REF!</v>
      </c>
      <c r="B662" s="419"/>
      <c r="C662" s="422"/>
      <c r="D662" s="197" t="s">
        <v>426</v>
      </c>
      <c r="E662" s="247">
        <v>0</v>
      </c>
      <c r="F662" s="248">
        <v>0</v>
      </c>
      <c r="G662" s="248">
        <v>0</v>
      </c>
      <c r="H662" s="273">
        <v>0</v>
      </c>
      <c r="I662" s="274">
        <v>0</v>
      </c>
    </row>
    <row r="663" spans="1:9" x14ac:dyDescent="0.3">
      <c r="A663" s="199" t="e">
        <f>IF(AND(E660&lt;&gt;"", A658&lt;&gt;""), A658+1, "")</f>
        <v>#REF!</v>
      </c>
      <c r="B663" s="419"/>
      <c r="C663" s="422"/>
      <c r="D663" s="197" t="s">
        <v>424</v>
      </c>
      <c r="E663" s="247">
        <v>0</v>
      </c>
      <c r="F663" s="248">
        <v>0</v>
      </c>
      <c r="G663" s="248">
        <v>0</v>
      </c>
      <c r="H663" s="273">
        <v>0</v>
      </c>
      <c r="I663" s="274">
        <v>0</v>
      </c>
    </row>
    <row r="664" spans="1:9" ht="15.75" customHeight="1" thickBot="1" x14ac:dyDescent="0.35">
      <c r="A664" s="199" t="e">
        <f>IF(AND(E660&lt;&gt;"", A659&lt;&gt;""), A659+1, "")</f>
        <v>#REF!</v>
      </c>
      <c r="B664" s="420"/>
      <c r="C664" s="404"/>
      <c r="D664" s="198" t="s">
        <v>450</v>
      </c>
      <c r="E664" s="251">
        <v>0</v>
      </c>
      <c r="F664" s="252">
        <v>0</v>
      </c>
      <c r="G664" s="252">
        <v>0</v>
      </c>
      <c r="H664" s="275">
        <v>0</v>
      </c>
      <c r="I664" s="276">
        <v>0</v>
      </c>
    </row>
    <row r="665" spans="1:9" x14ac:dyDescent="0.3">
      <c r="A665" s="199" t="e">
        <f>IF(AND(E665&lt;&gt;"", A660&lt;&gt;""), A660+1, "")</f>
        <v>#REF!</v>
      </c>
      <c r="B665" s="418">
        <v>46381</v>
      </c>
      <c r="C665" s="421">
        <f>B665</f>
        <v>46381</v>
      </c>
      <c r="D665" s="196" t="s">
        <v>418</v>
      </c>
      <c r="E665" s="243">
        <v>0</v>
      </c>
      <c r="F665" s="244">
        <v>0</v>
      </c>
      <c r="G665" s="244">
        <v>0</v>
      </c>
      <c r="H665" s="271">
        <v>0</v>
      </c>
      <c r="I665" s="272">
        <v>0</v>
      </c>
    </row>
    <row r="666" spans="1:9" x14ac:dyDescent="0.3">
      <c r="A666" s="199" t="e">
        <f>IF(AND(E665&lt;&gt;"", A661&lt;&gt;""), A661+1, "")</f>
        <v>#REF!</v>
      </c>
      <c r="B666" s="419"/>
      <c r="C666" s="422"/>
      <c r="D666" s="197" t="s">
        <v>420</v>
      </c>
      <c r="E666" s="247">
        <v>0</v>
      </c>
      <c r="F666" s="248">
        <v>0</v>
      </c>
      <c r="G666" s="248">
        <v>0</v>
      </c>
      <c r="H666" s="273">
        <v>0</v>
      </c>
      <c r="I666" s="274">
        <v>0</v>
      </c>
    </row>
    <row r="667" spans="1:9" x14ac:dyDescent="0.3">
      <c r="A667" s="199" t="e">
        <f>IF(AND(E665&lt;&gt;"", A662&lt;&gt;""), A662+1, "")</f>
        <v>#REF!</v>
      </c>
      <c r="B667" s="419"/>
      <c r="C667" s="422"/>
      <c r="D667" s="197" t="s">
        <v>426</v>
      </c>
      <c r="E667" s="247">
        <v>0</v>
      </c>
      <c r="F667" s="248">
        <v>0</v>
      </c>
      <c r="G667" s="248">
        <v>0</v>
      </c>
      <c r="H667" s="273">
        <v>0</v>
      </c>
      <c r="I667" s="274">
        <v>0</v>
      </c>
    </row>
    <row r="668" spans="1:9" x14ac:dyDescent="0.3">
      <c r="A668" s="199" t="e">
        <f>IF(AND(E665&lt;&gt;"", A663&lt;&gt;""), A663+1, "")</f>
        <v>#REF!</v>
      </c>
      <c r="B668" s="419"/>
      <c r="C668" s="422"/>
      <c r="D668" s="197" t="s">
        <v>424</v>
      </c>
      <c r="E668" s="247">
        <v>0</v>
      </c>
      <c r="F668" s="248">
        <v>0</v>
      </c>
      <c r="G668" s="248">
        <v>0</v>
      </c>
      <c r="H668" s="273">
        <v>0</v>
      </c>
      <c r="I668" s="274">
        <v>0</v>
      </c>
    </row>
    <row r="669" spans="1:9" ht="15.75" customHeight="1" thickBot="1" x14ac:dyDescent="0.35">
      <c r="A669" s="199" t="e">
        <f>IF(AND(E665&lt;&gt;"", A664&lt;&gt;""), A664+1, "")</f>
        <v>#REF!</v>
      </c>
      <c r="B669" s="420"/>
      <c r="C669" s="404"/>
      <c r="D669" s="198" t="s">
        <v>450</v>
      </c>
      <c r="E669" s="251">
        <v>0</v>
      </c>
      <c r="F669" s="252">
        <v>0</v>
      </c>
      <c r="G669" s="252">
        <v>0</v>
      </c>
      <c r="H669" s="275">
        <v>0</v>
      </c>
      <c r="I669" s="276">
        <v>0</v>
      </c>
    </row>
    <row r="670" spans="1:9" x14ac:dyDescent="0.3">
      <c r="A670" s="199" t="e">
        <f>IF(AND(E670&lt;&gt;"", A665&lt;&gt;""), A665+1, "")</f>
        <v>#REF!</v>
      </c>
      <c r="B670" s="418">
        <v>46382</v>
      </c>
      <c r="C670" s="421">
        <f>B670</f>
        <v>46382</v>
      </c>
      <c r="D670" s="196" t="s">
        <v>418</v>
      </c>
      <c r="E670" s="243">
        <v>0</v>
      </c>
      <c r="F670" s="244">
        <v>0</v>
      </c>
      <c r="G670" s="244">
        <v>0</v>
      </c>
      <c r="H670" s="271">
        <v>0</v>
      </c>
      <c r="I670" s="272">
        <v>0</v>
      </c>
    </row>
    <row r="671" spans="1:9" x14ac:dyDescent="0.3">
      <c r="A671" s="199" t="e">
        <f>IF(AND(E670&lt;&gt;"", A666&lt;&gt;""), A666+1, "")</f>
        <v>#REF!</v>
      </c>
      <c r="B671" s="419"/>
      <c r="C671" s="422"/>
      <c r="D671" s="197" t="s">
        <v>420</v>
      </c>
      <c r="E671" s="247">
        <v>0</v>
      </c>
      <c r="F671" s="248">
        <v>0</v>
      </c>
      <c r="G671" s="248">
        <v>0</v>
      </c>
      <c r="H671" s="273">
        <v>0</v>
      </c>
      <c r="I671" s="274">
        <v>0</v>
      </c>
    </row>
    <row r="672" spans="1:9" x14ac:dyDescent="0.3">
      <c r="A672" s="199" t="e">
        <f>IF(AND(E670&lt;&gt;"", A667&lt;&gt;""), A667+1, "")</f>
        <v>#REF!</v>
      </c>
      <c r="B672" s="419"/>
      <c r="C672" s="422"/>
      <c r="D672" s="197" t="s">
        <v>426</v>
      </c>
      <c r="E672" s="247">
        <v>0</v>
      </c>
      <c r="F672" s="248">
        <v>0</v>
      </c>
      <c r="G672" s="248">
        <v>0</v>
      </c>
      <c r="H672" s="273">
        <v>0</v>
      </c>
      <c r="I672" s="274">
        <v>0</v>
      </c>
    </row>
    <row r="673" spans="1:9" x14ac:dyDescent="0.3">
      <c r="A673" s="199" t="e">
        <f>IF(AND(E670&lt;&gt;"", A668&lt;&gt;""), A668+1, "")</f>
        <v>#REF!</v>
      </c>
      <c r="B673" s="419"/>
      <c r="C673" s="422"/>
      <c r="D673" s="197" t="s">
        <v>424</v>
      </c>
      <c r="E673" s="247">
        <v>0</v>
      </c>
      <c r="F673" s="248">
        <v>0</v>
      </c>
      <c r="G673" s="248">
        <v>0</v>
      </c>
      <c r="H673" s="273">
        <v>0</v>
      </c>
      <c r="I673" s="274">
        <v>0</v>
      </c>
    </row>
    <row r="674" spans="1:9" ht="15.75" customHeight="1" thickBot="1" x14ac:dyDescent="0.35">
      <c r="A674" s="199" t="e">
        <f>IF(AND(E670&lt;&gt;"", A669&lt;&gt;""), A669+1, "")</f>
        <v>#REF!</v>
      </c>
      <c r="B674" s="420"/>
      <c r="C674" s="404"/>
      <c r="D674" s="198" t="s">
        <v>450</v>
      </c>
      <c r="E674" s="251">
        <v>0</v>
      </c>
      <c r="F674" s="252">
        <v>0</v>
      </c>
      <c r="G674" s="252">
        <v>0</v>
      </c>
      <c r="H674" s="275">
        <v>0</v>
      </c>
      <c r="I674" s="276">
        <v>0</v>
      </c>
    </row>
    <row r="675" spans="1:9" x14ac:dyDescent="0.3">
      <c r="A675" s="199" t="e">
        <f>IF(AND(E675&lt;&gt;"", A670&lt;&gt;""), A670+1, "")</f>
        <v>#REF!</v>
      </c>
      <c r="B675" s="418">
        <v>46383</v>
      </c>
      <c r="C675" s="421">
        <f>B675</f>
        <v>46383</v>
      </c>
      <c r="D675" s="196" t="s">
        <v>418</v>
      </c>
      <c r="E675" s="243">
        <v>0</v>
      </c>
      <c r="F675" s="244">
        <v>0</v>
      </c>
      <c r="G675" s="244">
        <v>0</v>
      </c>
      <c r="H675" s="271">
        <v>0</v>
      </c>
      <c r="I675" s="272">
        <v>0</v>
      </c>
    </row>
    <row r="676" spans="1:9" x14ac:dyDescent="0.3">
      <c r="A676" s="199" t="e">
        <f>IF(AND(E675&lt;&gt;"", A671&lt;&gt;""), A671+1, "")</f>
        <v>#REF!</v>
      </c>
      <c r="B676" s="419"/>
      <c r="C676" s="422"/>
      <c r="D676" s="197" t="s">
        <v>420</v>
      </c>
      <c r="E676" s="247">
        <v>0</v>
      </c>
      <c r="F676" s="248">
        <v>0</v>
      </c>
      <c r="G676" s="248">
        <v>0</v>
      </c>
      <c r="H676" s="273">
        <v>0</v>
      </c>
      <c r="I676" s="274">
        <v>0</v>
      </c>
    </row>
    <row r="677" spans="1:9" x14ac:dyDescent="0.3">
      <c r="A677" s="199" t="e">
        <f>IF(AND(E675&lt;&gt;"", A672&lt;&gt;""), A672+1, "")</f>
        <v>#REF!</v>
      </c>
      <c r="B677" s="419"/>
      <c r="C677" s="422"/>
      <c r="D677" s="197" t="s">
        <v>426</v>
      </c>
      <c r="E677" s="247">
        <v>0</v>
      </c>
      <c r="F677" s="248">
        <v>0</v>
      </c>
      <c r="G677" s="248">
        <v>0</v>
      </c>
      <c r="H677" s="273">
        <v>0</v>
      </c>
      <c r="I677" s="274">
        <v>0</v>
      </c>
    </row>
    <row r="678" spans="1:9" x14ac:dyDescent="0.3">
      <c r="A678" s="199" t="e">
        <f>IF(AND(E675&lt;&gt;"", A673&lt;&gt;""), A673+1, "")</f>
        <v>#REF!</v>
      </c>
      <c r="B678" s="419"/>
      <c r="C678" s="422"/>
      <c r="D678" s="197" t="s">
        <v>424</v>
      </c>
      <c r="E678" s="247">
        <v>0</v>
      </c>
      <c r="F678" s="248">
        <v>0</v>
      </c>
      <c r="G678" s="248">
        <v>0</v>
      </c>
      <c r="H678" s="273">
        <v>0</v>
      </c>
      <c r="I678" s="274">
        <v>0</v>
      </c>
    </row>
    <row r="679" spans="1:9" ht="15.75" customHeight="1" thickBot="1" x14ac:dyDescent="0.35">
      <c r="A679" s="199" t="e">
        <f>IF(AND(E675&lt;&gt;"", A674&lt;&gt;""), A674+1, "")</f>
        <v>#REF!</v>
      </c>
      <c r="B679" s="420"/>
      <c r="C679" s="404"/>
      <c r="D679" s="198" t="s">
        <v>450</v>
      </c>
      <c r="E679" s="251">
        <v>0</v>
      </c>
      <c r="F679" s="252">
        <v>0</v>
      </c>
      <c r="G679" s="252">
        <v>0</v>
      </c>
      <c r="H679" s="275">
        <v>0</v>
      </c>
      <c r="I679" s="276">
        <v>0</v>
      </c>
    </row>
    <row r="680" spans="1:9" x14ac:dyDescent="0.3">
      <c r="A680" s="199" t="e">
        <f>IF(AND(E680&lt;&gt;"", A675&lt;&gt;""), A675+1, "")</f>
        <v>#REF!</v>
      </c>
      <c r="B680" s="418">
        <v>46384</v>
      </c>
      <c r="C680" s="421">
        <f>B680</f>
        <v>46384</v>
      </c>
      <c r="D680" s="196" t="s">
        <v>418</v>
      </c>
      <c r="E680" s="243">
        <v>0</v>
      </c>
      <c r="F680" s="244">
        <v>0</v>
      </c>
      <c r="G680" s="244">
        <v>0</v>
      </c>
      <c r="H680" s="271">
        <v>0</v>
      </c>
      <c r="I680" s="272">
        <v>0</v>
      </c>
    </row>
    <row r="681" spans="1:9" x14ac:dyDescent="0.3">
      <c r="A681" s="199" t="e">
        <f>IF(AND(E680&lt;&gt;"", A676&lt;&gt;""), A676+1, "")</f>
        <v>#REF!</v>
      </c>
      <c r="B681" s="419"/>
      <c r="C681" s="422"/>
      <c r="D681" s="197" t="s">
        <v>420</v>
      </c>
      <c r="E681" s="247">
        <v>0</v>
      </c>
      <c r="F681" s="248">
        <v>0</v>
      </c>
      <c r="G681" s="248">
        <v>0</v>
      </c>
      <c r="H681" s="273">
        <v>0</v>
      </c>
      <c r="I681" s="274">
        <v>0</v>
      </c>
    </row>
    <row r="682" spans="1:9" x14ac:dyDescent="0.3">
      <c r="A682" s="199" t="e">
        <f>IF(AND(E680&lt;&gt;"", A677&lt;&gt;""), A677+1, "")</f>
        <v>#REF!</v>
      </c>
      <c r="B682" s="419"/>
      <c r="C682" s="422"/>
      <c r="D682" s="197" t="s">
        <v>426</v>
      </c>
      <c r="E682" s="247">
        <v>0</v>
      </c>
      <c r="F682" s="248">
        <v>0</v>
      </c>
      <c r="G682" s="248">
        <v>0</v>
      </c>
      <c r="H682" s="273">
        <v>0</v>
      </c>
      <c r="I682" s="274">
        <v>0</v>
      </c>
    </row>
    <row r="683" spans="1:9" x14ac:dyDescent="0.3">
      <c r="A683" s="199" t="e">
        <f>IF(AND(E680&lt;&gt;"", A678&lt;&gt;""), A678+1, "")</f>
        <v>#REF!</v>
      </c>
      <c r="B683" s="419"/>
      <c r="C683" s="422"/>
      <c r="D683" s="197" t="s">
        <v>424</v>
      </c>
      <c r="E683" s="247">
        <v>0</v>
      </c>
      <c r="F683" s="248">
        <v>0</v>
      </c>
      <c r="G683" s="248">
        <v>0</v>
      </c>
      <c r="H683" s="273">
        <v>0</v>
      </c>
      <c r="I683" s="274">
        <v>0</v>
      </c>
    </row>
    <row r="684" spans="1:9" ht="15.75" customHeight="1" thickBot="1" x14ac:dyDescent="0.35">
      <c r="A684" s="199" t="e">
        <f>IF(AND(E680&lt;&gt;"", A679&lt;&gt;""), A679+1, "")</f>
        <v>#REF!</v>
      </c>
      <c r="B684" s="420"/>
      <c r="C684" s="404"/>
      <c r="D684" s="198" t="s">
        <v>450</v>
      </c>
      <c r="E684" s="251">
        <v>0</v>
      </c>
      <c r="F684" s="252">
        <v>0</v>
      </c>
      <c r="G684" s="252">
        <v>0</v>
      </c>
      <c r="H684" s="275">
        <v>0</v>
      </c>
      <c r="I684" s="276">
        <v>0</v>
      </c>
    </row>
    <row r="685" spans="1:9" x14ac:dyDescent="0.3">
      <c r="A685" s="199" t="e">
        <f>IF(AND(E685&lt;&gt;"", A680&lt;&gt;""), A680+1, "")</f>
        <v>#REF!</v>
      </c>
      <c r="B685" s="418">
        <v>46385</v>
      </c>
      <c r="C685" s="421">
        <f>B685</f>
        <v>46385</v>
      </c>
      <c r="D685" s="196" t="s">
        <v>418</v>
      </c>
      <c r="E685" s="243">
        <v>0</v>
      </c>
      <c r="F685" s="244">
        <v>0</v>
      </c>
      <c r="G685" s="244">
        <v>0</v>
      </c>
      <c r="H685" s="271">
        <v>0</v>
      </c>
      <c r="I685" s="272">
        <v>0</v>
      </c>
    </row>
    <row r="686" spans="1:9" x14ac:dyDescent="0.3">
      <c r="A686" s="199" t="e">
        <f>IF(AND(E685&lt;&gt;"", A681&lt;&gt;""), A681+1, "")</f>
        <v>#REF!</v>
      </c>
      <c r="B686" s="419"/>
      <c r="C686" s="422"/>
      <c r="D686" s="197" t="s">
        <v>420</v>
      </c>
      <c r="E686" s="247">
        <v>0</v>
      </c>
      <c r="F686" s="248">
        <v>0</v>
      </c>
      <c r="G686" s="248">
        <v>0</v>
      </c>
      <c r="H686" s="273">
        <v>0</v>
      </c>
      <c r="I686" s="274">
        <v>0</v>
      </c>
    </row>
    <row r="687" spans="1:9" x14ac:dyDescent="0.3">
      <c r="A687" s="199" t="e">
        <f>IF(AND(E685&lt;&gt;"", A682&lt;&gt;""), A682+1, "")</f>
        <v>#REF!</v>
      </c>
      <c r="B687" s="419"/>
      <c r="C687" s="422"/>
      <c r="D687" s="197" t="s">
        <v>426</v>
      </c>
      <c r="E687" s="247">
        <v>0</v>
      </c>
      <c r="F687" s="248">
        <v>0</v>
      </c>
      <c r="G687" s="248">
        <v>0</v>
      </c>
      <c r="H687" s="273">
        <v>0</v>
      </c>
      <c r="I687" s="274">
        <v>0</v>
      </c>
    </row>
    <row r="688" spans="1:9" x14ac:dyDescent="0.3">
      <c r="A688" s="199" t="e">
        <f>IF(AND(E685&lt;&gt;"", A683&lt;&gt;""), A683+1, "")</f>
        <v>#REF!</v>
      </c>
      <c r="B688" s="419"/>
      <c r="C688" s="422"/>
      <c r="D688" s="197" t="s">
        <v>424</v>
      </c>
      <c r="E688" s="247">
        <v>0</v>
      </c>
      <c r="F688" s="248">
        <v>0</v>
      </c>
      <c r="G688" s="248">
        <v>0</v>
      </c>
      <c r="H688" s="273">
        <v>0</v>
      </c>
      <c r="I688" s="274">
        <v>0</v>
      </c>
    </row>
    <row r="689" spans="1:9" ht="15.75" customHeight="1" thickBot="1" x14ac:dyDescent="0.35">
      <c r="A689" s="199" t="e">
        <f>IF(AND(E685&lt;&gt;"", A684&lt;&gt;""), A684+1, "")</f>
        <v>#REF!</v>
      </c>
      <c r="B689" s="420"/>
      <c r="C689" s="404"/>
      <c r="D689" s="198" t="s">
        <v>450</v>
      </c>
      <c r="E689" s="251">
        <v>0</v>
      </c>
      <c r="F689" s="252">
        <v>0</v>
      </c>
      <c r="G689" s="252">
        <v>0</v>
      </c>
      <c r="H689" s="275">
        <v>0</v>
      </c>
      <c r="I689" s="276">
        <v>0</v>
      </c>
    </row>
    <row r="690" spans="1:9" x14ac:dyDescent="0.3">
      <c r="A690" s="199" t="e">
        <f>IF(AND(E690&lt;&gt;"", A685&lt;&gt;""), A685+1, "")</f>
        <v>#REF!</v>
      </c>
      <c r="B690" s="418">
        <v>46386</v>
      </c>
      <c r="C690" s="421">
        <f>B690</f>
        <v>46386</v>
      </c>
      <c r="D690" s="196" t="s">
        <v>418</v>
      </c>
      <c r="E690" s="243">
        <v>0</v>
      </c>
      <c r="F690" s="244">
        <v>0</v>
      </c>
      <c r="G690" s="244">
        <v>0</v>
      </c>
      <c r="H690" s="271">
        <v>0</v>
      </c>
      <c r="I690" s="272">
        <v>0</v>
      </c>
    </row>
    <row r="691" spans="1:9" x14ac:dyDescent="0.3">
      <c r="A691" s="199" t="e">
        <f>IF(AND(E690&lt;&gt;"", A686&lt;&gt;""), A686+1, "")</f>
        <v>#REF!</v>
      </c>
      <c r="B691" s="419"/>
      <c r="C691" s="422"/>
      <c r="D691" s="197" t="s">
        <v>420</v>
      </c>
      <c r="E691" s="247">
        <v>0</v>
      </c>
      <c r="F691" s="248">
        <v>0</v>
      </c>
      <c r="G691" s="248">
        <v>0</v>
      </c>
      <c r="H691" s="273">
        <v>0</v>
      </c>
      <c r="I691" s="274">
        <v>0</v>
      </c>
    </row>
    <row r="692" spans="1:9" x14ac:dyDescent="0.3">
      <c r="A692" s="199" t="e">
        <f>IF(AND(E690&lt;&gt;"", A687&lt;&gt;""), A687+1, "")</f>
        <v>#REF!</v>
      </c>
      <c r="B692" s="419"/>
      <c r="C692" s="422"/>
      <c r="D692" s="197" t="s">
        <v>426</v>
      </c>
      <c r="E692" s="247">
        <v>0</v>
      </c>
      <c r="F692" s="248">
        <v>0</v>
      </c>
      <c r="G692" s="248">
        <v>0</v>
      </c>
      <c r="H692" s="273">
        <v>0</v>
      </c>
      <c r="I692" s="274">
        <v>0</v>
      </c>
    </row>
    <row r="693" spans="1:9" x14ac:dyDescent="0.3">
      <c r="A693" s="199" t="e">
        <f>IF(AND(E690&lt;&gt;"", A688&lt;&gt;""), A688+1, "")</f>
        <v>#REF!</v>
      </c>
      <c r="B693" s="419"/>
      <c r="C693" s="422"/>
      <c r="D693" s="197" t="s">
        <v>424</v>
      </c>
      <c r="E693" s="247">
        <v>0</v>
      </c>
      <c r="F693" s="248">
        <v>0</v>
      </c>
      <c r="G693" s="248">
        <v>0</v>
      </c>
      <c r="H693" s="273">
        <v>0</v>
      </c>
      <c r="I693" s="274">
        <v>0</v>
      </c>
    </row>
    <row r="694" spans="1:9" ht="15.75" customHeight="1" thickBot="1" x14ac:dyDescent="0.35">
      <c r="A694" s="199" t="e">
        <f>IF(AND(E690&lt;&gt;"", A689&lt;&gt;""), A689+1, "")</f>
        <v>#REF!</v>
      </c>
      <c r="B694" s="420"/>
      <c r="C694" s="404"/>
      <c r="D694" s="198" t="s">
        <v>450</v>
      </c>
      <c r="E694" s="251">
        <v>0</v>
      </c>
      <c r="F694" s="252">
        <v>0</v>
      </c>
      <c r="G694" s="252">
        <v>0</v>
      </c>
      <c r="H694" s="275">
        <v>0</v>
      </c>
      <c r="I694" s="276">
        <v>0</v>
      </c>
    </row>
    <row r="695" spans="1:9" x14ac:dyDescent="0.3">
      <c r="A695" s="199" t="e">
        <f>IF(AND(E695&lt;&gt;"", A690&lt;&gt;""), A690+1, "")</f>
        <v>#REF!</v>
      </c>
      <c r="B695" s="418">
        <v>46387</v>
      </c>
      <c r="C695" s="421">
        <f>B695</f>
        <v>46387</v>
      </c>
      <c r="D695" s="196" t="s">
        <v>418</v>
      </c>
      <c r="E695" s="243">
        <v>0</v>
      </c>
      <c r="F695" s="244">
        <v>0</v>
      </c>
      <c r="G695" s="244">
        <v>0</v>
      </c>
      <c r="H695" s="271">
        <v>0</v>
      </c>
      <c r="I695" s="272">
        <v>0</v>
      </c>
    </row>
    <row r="696" spans="1:9" x14ac:dyDescent="0.3">
      <c r="A696" s="199" t="e">
        <f>IF(AND(E695&lt;&gt;"", A691&lt;&gt;""), A691+1, "")</f>
        <v>#REF!</v>
      </c>
      <c r="B696" s="419"/>
      <c r="C696" s="422"/>
      <c r="D696" s="197" t="s">
        <v>420</v>
      </c>
      <c r="E696" s="247">
        <v>0</v>
      </c>
      <c r="F696" s="248">
        <v>0</v>
      </c>
      <c r="G696" s="248">
        <v>0</v>
      </c>
      <c r="H696" s="273">
        <v>0</v>
      </c>
      <c r="I696" s="274">
        <v>0</v>
      </c>
    </row>
    <row r="697" spans="1:9" x14ac:dyDescent="0.3">
      <c r="A697" s="199" t="e">
        <f>IF(AND(E695&lt;&gt;"", A692&lt;&gt;""), A692+1, "")</f>
        <v>#REF!</v>
      </c>
      <c r="B697" s="419"/>
      <c r="C697" s="422"/>
      <c r="D697" s="197" t="s">
        <v>426</v>
      </c>
      <c r="E697" s="247">
        <v>0</v>
      </c>
      <c r="F697" s="248">
        <v>0</v>
      </c>
      <c r="G697" s="248">
        <v>0</v>
      </c>
      <c r="H697" s="273">
        <v>0</v>
      </c>
      <c r="I697" s="274">
        <v>0</v>
      </c>
    </row>
    <row r="698" spans="1:9" x14ac:dyDescent="0.3">
      <c r="A698" s="199" t="e">
        <f>IF(AND(E695&lt;&gt;"", A693&lt;&gt;""), A693+1, "")</f>
        <v>#REF!</v>
      </c>
      <c r="B698" s="419"/>
      <c r="C698" s="422"/>
      <c r="D698" s="197" t="s">
        <v>424</v>
      </c>
      <c r="E698" s="247">
        <v>0</v>
      </c>
      <c r="F698" s="248">
        <v>0</v>
      </c>
      <c r="G698" s="248">
        <v>0</v>
      </c>
      <c r="H698" s="273">
        <v>0</v>
      </c>
      <c r="I698" s="274">
        <v>0</v>
      </c>
    </row>
    <row r="699" spans="1:9" ht="15.75" customHeight="1" thickBot="1" x14ac:dyDescent="0.35">
      <c r="A699" s="199" t="e">
        <f>IF(AND(E695&lt;&gt;"", A694&lt;&gt;""), A694+1, "")</f>
        <v>#REF!</v>
      </c>
      <c r="B699" s="420"/>
      <c r="C699" s="404"/>
      <c r="D699" s="198" t="s">
        <v>450</v>
      </c>
      <c r="E699" s="251">
        <v>0</v>
      </c>
      <c r="F699" s="252">
        <v>0</v>
      </c>
      <c r="G699" s="252">
        <v>0</v>
      </c>
      <c r="H699" s="275">
        <v>0</v>
      </c>
      <c r="I699" s="276">
        <v>0</v>
      </c>
    </row>
    <row r="700" spans="1:9" x14ac:dyDescent="0.3">
      <c r="A700" s="199" t="e">
        <f>IF(AND(E700&lt;&gt;"", A695&lt;&gt;""), A695+1, "")</f>
        <v>#REF!</v>
      </c>
      <c r="B700" s="418">
        <v>46388</v>
      </c>
      <c r="C700" s="421">
        <f>B700</f>
        <v>46388</v>
      </c>
      <c r="D700" s="196" t="s">
        <v>418</v>
      </c>
      <c r="E700" s="243">
        <v>0</v>
      </c>
      <c r="F700" s="244">
        <v>0</v>
      </c>
      <c r="G700" s="244">
        <v>0</v>
      </c>
      <c r="H700" s="271">
        <v>0</v>
      </c>
      <c r="I700" s="272">
        <v>0</v>
      </c>
    </row>
    <row r="701" spans="1:9" x14ac:dyDescent="0.3">
      <c r="A701" s="199" t="e">
        <f>IF(AND(E700&lt;&gt;"", A696&lt;&gt;""), A696+1, "")</f>
        <v>#REF!</v>
      </c>
      <c r="B701" s="419"/>
      <c r="C701" s="422"/>
      <c r="D701" s="197" t="s">
        <v>420</v>
      </c>
      <c r="E701" s="247">
        <v>0</v>
      </c>
      <c r="F701" s="248">
        <v>0</v>
      </c>
      <c r="G701" s="248">
        <v>0</v>
      </c>
      <c r="H701" s="273">
        <v>0</v>
      </c>
      <c r="I701" s="274">
        <v>0</v>
      </c>
    </row>
    <row r="702" spans="1:9" x14ac:dyDescent="0.3">
      <c r="A702" s="199" t="e">
        <f>IF(AND(E700&lt;&gt;"", A697&lt;&gt;""), A697+1, "")</f>
        <v>#REF!</v>
      </c>
      <c r="B702" s="419"/>
      <c r="C702" s="422"/>
      <c r="D702" s="197" t="s">
        <v>426</v>
      </c>
      <c r="E702" s="247">
        <v>0</v>
      </c>
      <c r="F702" s="248">
        <v>0</v>
      </c>
      <c r="G702" s="248">
        <v>0</v>
      </c>
      <c r="H702" s="273">
        <v>0</v>
      </c>
      <c r="I702" s="274">
        <v>0</v>
      </c>
    </row>
    <row r="703" spans="1:9" x14ac:dyDescent="0.3">
      <c r="A703" s="199" t="e">
        <f>IF(AND(E700&lt;&gt;"", A698&lt;&gt;""), A698+1, "")</f>
        <v>#REF!</v>
      </c>
      <c r="B703" s="419"/>
      <c r="C703" s="422"/>
      <c r="D703" s="197" t="s">
        <v>424</v>
      </c>
      <c r="E703" s="247">
        <v>0</v>
      </c>
      <c r="F703" s="248">
        <v>0</v>
      </c>
      <c r="G703" s="248">
        <v>0</v>
      </c>
      <c r="H703" s="273">
        <v>0</v>
      </c>
      <c r="I703" s="274">
        <v>0</v>
      </c>
    </row>
    <row r="704" spans="1:9" ht="15.75" customHeight="1" thickBot="1" x14ac:dyDescent="0.35">
      <c r="A704" s="199" t="e">
        <f>IF(AND(E700&lt;&gt;"", A699&lt;&gt;""), A699+1, "")</f>
        <v>#REF!</v>
      </c>
      <c r="B704" s="420"/>
      <c r="C704" s="404"/>
      <c r="D704" s="198" t="s">
        <v>450</v>
      </c>
      <c r="E704" s="251">
        <v>0</v>
      </c>
      <c r="F704" s="252">
        <v>0</v>
      </c>
      <c r="G704" s="252">
        <v>0</v>
      </c>
      <c r="H704" s="275">
        <v>0</v>
      </c>
      <c r="I704" s="276">
        <v>0</v>
      </c>
    </row>
    <row r="705" spans="1:9" x14ac:dyDescent="0.3">
      <c r="A705" s="199" t="e">
        <f>IF(AND(E705&lt;&gt;"", A700&lt;&gt;""), A700+1, "")</f>
        <v>#REF!</v>
      </c>
      <c r="B705" s="418">
        <v>46389</v>
      </c>
      <c r="C705" s="421">
        <f>B705</f>
        <v>46389</v>
      </c>
      <c r="D705" s="196" t="s">
        <v>418</v>
      </c>
      <c r="E705" s="243">
        <v>0</v>
      </c>
      <c r="F705" s="244">
        <v>0</v>
      </c>
      <c r="G705" s="244">
        <v>0</v>
      </c>
      <c r="H705" s="271">
        <v>0</v>
      </c>
      <c r="I705" s="272">
        <v>0</v>
      </c>
    </row>
    <row r="706" spans="1:9" x14ac:dyDescent="0.3">
      <c r="A706" s="199" t="e">
        <f>IF(AND(E705&lt;&gt;"", A701&lt;&gt;""), A701+1, "")</f>
        <v>#REF!</v>
      </c>
      <c r="B706" s="419"/>
      <c r="C706" s="422"/>
      <c r="D706" s="197" t="s">
        <v>420</v>
      </c>
      <c r="E706" s="247">
        <v>0</v>
      </c>
      <c r="F706" s="248">
        <v>0</v>
      </c>
      <c r="G706" s="248">
        <v>0</v>
      </c>
      <c r="H706" s="273">
        <v>0</v>
      </c>
      <c r="I706" s="274">
        <v>0</v>
      </c>
    </row>
    <row r="707" spans="1:9" x14ac:dyDescent="0.3">
      <c r="A707" s="199" t="e">
        <f>IF(AND(E705&lt;&gt;"", A702&lt;&gt;""), A702+1, "")</f>
        <v>#REF!</v>
      </c>
      <c r="B707" s="419"/>
      <c r="C707" s="422"/>
      <c r="D707" s="197" t="s">
        <v>426</v>
      </c>
      <c r="E707" s="247">
        <v>0</v>
      </c>
      <c r="F707" s="248">
        <v>0</v>
      </c>
      <c r="G707" s="248">
        <v>0</v>
      </c>
      <c r="H707" s="273">
        <v>0</v>
      </c>
      <c r="I707" s="274">
        <v>0</v>
      </c>
    </row>
    <row r="708" spans="1:9" x14ac:dyDescent="0.3">
      <c r="A708" s="199" t="e">
        <f>IF(AND(E705&lt;&gt;"", A703&lt;&gt;""), A703+1, "")</f>
        <v>#REF!</v>
      </c>
      <c r="B708" s="419"/>
      <c r="C708" s="422"/>
      <c r="D708" s="197" t="s">
        <v>424</v>
      </c>
      <c r="E708" s="247">
        <v>0</v>
      </c>
      <c r="F708" s="248">
        <v>0</v>
      </c>
      <c r="G708" s="248">
        <v>0</v>
      </c>
      <c r="H708" s="273">
        <v>0</v>
      </c>
      <c r="I708" s="274">
        <v>0</v>
      </c>
    </row>
    <row r="709" spans="1:9" ht="15.75" customHeight="1" thickBot="1" x14ac:dyDescent="0.35">
      <c r="A709" s="199" t="e">
        <f>IF(AND(E705&lt;&gt;"", A704&lt;&gt;""), A704+1, "")</f>
        <v>#REF!</v>
      </c>
      <c r="B709" s="420"/>
      <c r="C709" s="404"/>
      <c r="D709" s="198" t="s">
        <v>450</v>
      </c>
      <c r="E709" s="251">
        <v>0</v>
      </c>
      <c r="F709" s="252">
        <v>0</v>
      </c>
      <c r="G709" s="252">
        <v>0</v>
      </c>
      <c r="H709" s="275">
        <v>0</v>
      </c>
      <c r="I709" s="276">
        <v>0</v>
      </c>
    </row>
    <row r="710" spans="1:9" x14ac:dyDescent="0.3">
      <c r="A710" s="199" t="e">
        <f>IF(AND(E710&lt;&gt;"", A705&lt;&gt;""), A705+1, "")</f>
        <v>#REF!</v>
      </c>
      <c r="B710" s="418">
        <v>46390</v>
      </c>
      <c r="C710" s="421">
        <f>B710</f>
        <v>46390</v>
      </c>
      <c r="D710" s="196" t="s">
        <v>418</v>
      </c>
      <c r="E710" s="243">
        <v>0</v>
      </c>
      <c r="F710" s="244">
        <v>0</v>
      </c>
      <c r="G710" s="244">
        <v>0</v>
      </c>
      <c r="H710" s="271">
        <v>0</v>
      </c>
      <c r="I710" s="272">
        <v>0</v>
      </c>
    </row>
    <row r="711" spans="1:9" x14ac:dyDescent="0.3">
      <c r="A711" s="199" t="e">
        <f>IF(AND(E710&lt;&gt;"", A706&lt;&gt;""), A706+1, "")</f>
        <v>#REF!</v>
      </c>
      <c r="B711" s="419"/>
      <c r="C711" s="422"/>
      <c r="D711" s="197" t="s">
        <v>420</v>
      </c>
      <c r="E711" s="247">
        <v>0</v>
      </c>
      <c r="F711" s="248">
        <v>0</v>
      </c>
      <c r="G711" s="248">
        <v>0</v>
      </c>
      <c r="H711" s="273">
        <v>0</v>
      </c>
      <c r="I711" s="274">
        <v>0</v>
      </c>
    </row>
    <row r="712" spans="1:9" x14ac:dyDescent="0.3">
      <c r="A712" s="199" t="e">
        <f>IF(AND(E710&lt;&gt;"", A707&lt;&gt;""), A707+1, "")</f>
        <v>#REF!</v>
      </c>
      <c r="B712" s="419"/>
      <c r="C712" s="422"/>
      <c r="D712" s="197" t="s">
        <v>426</v>
      </c>
      <c r="E712" s="247">
        <v>0</v>
      </c>
      <c r="F712" s="248">
        <v>0</v>
      </c>
      <c r="G712" s="248">
        <v>0</v>
      </c>
      <c r="H712" s="273">
        <v>0</v>
      </c>
      <c r="I712" s="274">
        <v>0</v>
      </c>
    </row>
    <row r="713" spans="1:9" x14ac:dyDescent="0.3">
      <c r="A713" s="199" t="e">
        <f>IF(AND(E710&lt;&gt;"", A708&lt;&gt;""), A708+1, "")</f>
        <v>#REF!</v>
      </c>
      <c r="B713" s="419"/>
      <c r="C713" s="422"/>
      <c r="D713" s="197" t="s">
        <v>424</v>
      </c>
      <c r="E713" s="247">
        <v>0</v>
      </c>
      <c r="F713" s="248">
        <v>0</v>
      </c>
      <c r="G713" s="248">
        <v>0</v>
      </c>
      <c r="H713" s="273">
        <v>0</v>
      </c>
      <c r="I713" s="274">
        <v>0</v>
      </c>
    </row>
    <row r="714" spans="1:9" ht="15.75" customHeight="1" thickBot="1" x14ac:dyDescent="0.35">
      <c r="A714" s="199" t="e">
        <f>IF(AND(E710&lt;&gt;"", A709&lt;&gt;""), A709+1, "")</f>
        <v>#REF!</v>
      </c>
      <c r="B714" s="420"/>
      <c r="C714" s="404"/>
      <c r="D714" s="198" t="s">
        <v>450</v>
      </c>
      <c r="E714" s="251">
        <v>0</v>
      </c>
      <c r="F714" s="252">
        <v>0</v>
      </c>
      <c r="G714" s="252">
        <v>0</v>
      </c>
      <c r="H714" s="275">
        <v>0</v>
      </c>
      <c r="I714" s="276">
        <v>0</v>
      </c>
    </row>
    <row r="715" spans="1:9" x14ac:dyDescent="0.3">
      <c r="A715" s="199" t="e">
        <f>IF(AND(E715&lt;&gt;"", A710&lt;&gt;""), A710+1, "")</f>
        <v>#REF!</v>
      </c>
      <c r="B715" s="418">
        <v>46391</v>
      </c>
      <c r="C715" s="421">
        <f>B715</f>
        <v>46391</v>
      </c>
      <c r="D715" s="196" t="s">
        <v>418</v>
      </c>
      <c r="E715" s="243">
        <v>0</v>
      </c>
      <c r="F715" s="244">
        <v>0</v>
      </c>
      <c r="G715" s="244">
        <v>0</v>
      </c>
      <c r="H715" s="271">
        <v>0</v>
      </c>
      <c r="I715" s="272">
        <v>0</v>
      </c>
    </row>
    <row r="716" spans="1:9" x14ac:dyDescent="0.3">
      <c r="A716" s="199" t="e">
        <f>IF(AND(E715&lt;&gt;"", A711&lt;&gt;""), A711+1, "")</f>
        <v>#REF!</v>
      </c>
      <c r="B716" s="419"/>
      <c r="C716" s="422"/>
      <c r="D716" s="197" t="s">
        <v>420</v>
      </c>
      <c r="E716" s="247">
        <v>0</v>
      </c>
      <c r="F716" s="248">
        <v>0</v>
      </c>
      <c r="G716" s="248">
        <v>0</v>
      </c>
      <c r="H716" s="273">
        <v>0</v>
      </c>
      <c r="I716" s="274">
        <v>0</v>
      </c>
    </row>
    <row r="717" spans="1:9" x14ac:dyDescent="0.3">
      <c r="A717" s="199" t="e">
        <f>IF(AND(E715&lt;&gt;"", A712&lt;&gt;""), A712+1, "")</f>
        <v>#REF!</v>
      </c>
      <c r="B717" s="419"/>
      <c r="C717" s="422"/>
      <c r="D717" s="197" t="s">
        <v>426</v>
      </c>
      <c r="E717" s="247">
        <v>0</v>
      </c>
      <c r="F717" s="248">
        <v>0</v>
      </c>
      <c r="G717" s="248">
        <v>0</v>
      </c>
      <c r="H717" s="273">
        <v>0</v>
      </c>
      <c r="I717" s="274">
        <v>0</v>
      </c>
    </row>
    <row r="718" spans="1:9" x14ac:dyDescent="0.3">
      <c r="A718" s="199" t="e">
        <f>IF(AND(E715&lt;&gt;"", A713&lt;&gt;""), A713+1, "")</f>
        <v>#REF!</v>
      </c>
      <c r="B718" s="419"/>
      <c r="C718" s="422"/>
      <c r="D718" s="197" t="s">
        <v>424</v>
      </c>
      <c r="E718" s="247">
        <v>0</v>
      </c>
      <c r="F718" s="248">
        <v>0</v>
      </c>
      <c r="G718" s="248">
        <v>0</v>
      </c>
      <c r="H718" s="273">
        <v>0</v>
      </c>
      <c r="I718" s="274">
        <v>0</v>
      </c>
    </row>
    <row r="719" spans="1:9" ht="15.75" customHeight="1" thickBot="1" x14ac:dyDescent="0.35">
      <c r="A719" s="199" t="e">
        <f>IF(AND(E715&lt;&gt;"", A714&lt;&gt;""), A714+1, "")</f>
        <v>#REF!</v>
      </c>
      <c r="B719" s="420"/>
      <c r="C719" s="404"/>
      <c r="D719" s="198" t="s">
        <v>450</v>
      </c>
      <c r="E719" s="251">
        <v>0</v>
      </c>
      <c r="F719" s="252">
        <v>0</v>
      </c>
      <c r="G719" s="252">
        <v>0</v>
      </c>
      <c r="H719" s="275">
        <v>0</v>
      </c>
      <c r="I719" s="276">
        <v>0</v>
      </c>
    </row>
    <row r="720" spans="1:9" x14ac:dyDescent="0.3">
      <c r="A720" s="199" t="e">
        <f>IF(AND(E720&lt;&gt;"", A715&lt;&gt;""), A715+1, "")</f>
        <v>#REF!</v>
      </c>
      <c r="B720" s="418">
        <v>46392</v>
      </c>
      <c r="C720" s="421">
        <f>B720</f>
        <v>46392</v>
      </c>
      <c r="D720" s="196" t="s">
        <v>418</v>
      </c>
      <c r="E720" s="243">
        <v>0</v>
      </c>
      <c r="F720" s="244">
        <v>0</v>
      </c>
      <c r="G720" s="244">
        <v>0</v>
      </c>
      <c r="H720" s="271">
        <v>0</v>
      </c>
      <c r="I720" s="272">
        <v>0</v>
      </c>
    </row>
    <row r="721" spans="1:9" x14ac:dyDescent="0.3">
      <c r="A721" s="199" t="e">
        <f>IF(AND(E720&lt;&gt;"", A716&lt;&gt;""), A716+1, "")</f>
        <v>#REF!</v>
      </c>
      <c r="B721" s="419"/>
      <c r="C721" s="422"/>
      <c r="D721" s="197" t="s">
        <v>420</v>
      </c>
      <c r="E721" s="247">
        <v>0</v>
      </c>
      <c r="F721" s="248">
        <v>0</v>
      </c>
      <c r="G721" s="248">
        <v>0</v>
      </c>
      <c r="H721" s="273">
        <v>0</v>
      </c>
      <c r="I721" s="274">
        <v>0</v>
      </c>
    </row>
    <row r="722" spans="1:9" x14ac:dyDescent="0.3">
      <c r="A722" s="199" t="e">
        <f>IF(AND(E720&lt;&gt;"", A717&lt;&gt;""), A717+1, "")</f>
        <v>#REF!</v>
      </c>
      <c r="B722" s="419"/>
      <c r="C722" s="422"/>
      <c r="D722" s="197" t="s">
        <v>426</v>
      </c>
      <c r="E722" s="247">
        <v>0</v>
      </c>
      <c r="F722" s="248">
        <v>0</v>
      </c>
      <c r="G722" s="248">
        <v>0</v>
      </c>
      <c r="H722" s="273">
        <v>0</v>
      </c>
      <c r="I722" s="274">
        <v>0</v>
      </c>
    </row>
    <row r="723" spans="1:9" x14ac:dyDescent="0.3">
      <c r="A723" s="199" t="e">
        <f>IF(AND(E720&lt;&gt;"", A718&lt;&gt;""), A718+1, "")</f>
        <v>#REF!</v>
      </c>
      <c r="B723" s="419"/>
      <c r="C723" s="422"/>
      <c r="D723" s="197" t="s">
        <v>424</v>
      </c>
      <c r="E723" s="247">
        <v>0</v>
      </c>
      <c r="F723" s="248">
        <v>0</v>
      </c>
      <c r="G723" s="248">
        <v>0</v>
      </c>
      <c r="H723" s="273">
        <v>0</v>
      </c>
      <c r="I723" s="274">
        <v>0</v>
      </c>
    </row>
    <row r="724" spans="1:9" ht="15.75" customHeight="1" thickBot="1" x14ac:dyDescent="0.35">
      <c r="A724" s="199" t="e">
        <f>IF(AND(E720&lt;&gt;"", A719&lt;&gt;""), A719+1, "")</f>
        <v>#REF!</v>
      </c>
      <c r="B724" s="420"/>
      <c r="C724" s="404"/>
      <c r="D724" s="198" t="s">
        <v>450</v>
      </c>
      <c r="E724" s="251">
        <v>0</v>
      </c>
      <c r="F724" s="252">
        <v>0</v>
      </c>
      <c r="G724" s="252">
        <v>0</v>
      </c>
      <c r="H724" s="275">
        <v>0</v>
      </c>
      <c r="I724" s="276">
        <v>0</v>
      </c>
    </row>
    <row r="725" spans="1:9" x14ac:dyDescent="0.3">
      <c r="A725" s="199" t="e">
        <f>IF(AND(E725&lt;&gt;"", A720&lt;&gt;""), A720+1, "")</f>
        <v>#REF!</v>
      </c>
      <c r="B725" s="418">
        <v>46393</v>
      </c>
      <c r="C725" s="421">
        <f>B725</f>
        <v>46393</v>
      </c>
      <c r="D725" s="196" t="s">
        <v>418</v>
      </c>
      <c r="E725" s="243">
        <v>0</v>
      </c>
      <c r="F725" s="244">
        <v>0</v>
      </c>
      <c r="G725" s="244">
        <v>0</v>
      </c>
      <c r="H725" s="271">
        <v>0</v>
      </c>
      <c r="I725" s="272">
        <v>0</v>
      </c>
    </row>
    <row r="726" spans="1:9" x14ac:dyDescent="0.3">
      <c r="A726" s="199" t="e">
        <f>IF(AND(E725&lt;&gt;"", A721&lt;&gt;""), A721+1, "")</f>
        <v>#REF!</v>
      </c>
      <c r="B726" s="419"/>
      <c r="C726" s="422"/>
      <c r="D726" s="197" t="s">
        <v>420</v>
      </c>
      <c r="E726" s="247">
        <v>0</v>
      </c>
      <c r="F726" s="248">
        <v>0</v>
      </c>
      <c r="G726" s="248">
        <v>0</v>
      </c>
      <c r="H726" s="273">
        <v>0</v>
      </c>
      <c r="I726" s="274">
        <v>0</v>
      </c>
    </row>
    <row r="727" spans="1:9" x14ac:dyDescent="0.3">
      <c r="A727" s="199" t="e">
        <f>IF(AND(E725&lt;&gt;"", A722&lt;&gt;""), A722+1, "")</f>
        <v>#REF!</v>
      </c>
      <c r="B727" s="419"/>
      <c r="C727" s="422"/>
      <c r="D727" s="197" t="s">
        <v>426</v>
      </c>
      <c r="E727" s="247">
        <v>0</v>
      </c>
      <c r="F727" s="248">
        <v>0</v>
      </c>
      <c r="G727" s="248">
        <v>0</v>
      </c>
      <c r="H727" s="273">
        <v>0</v>
      </c>
      <c r="I727" s="274">
        <v>0</v>
      </c>
    </row>
    <row r="728" spans="1:9" x14ac:dyDescent="0.3">
      <c r="A728" s="199" t="e">
        <f>IF(AND(E725&lt;&gt;"", A723&lt;&gt;""), A723+1, "")</f>
        <v>#REF!</v>
      </c>
      <c r="B728" s="419"/>
      <c r="C728" s="422"/>
      <c r="D728" s="197" t="s">
        <v>424</v>
      </c>
      <c r="E728" s="247">
        <v>0</v>
      </c>
      <c r="F728" s="248">
        <v>0</v>
      </c>
      <c r="G728" s="248">
        <v>0</v>
      </c>
      <c r="H728" s="273">
        <v>0</v>
      </c>
      <c r="I728" s="274">
        <v>0</v>
      </c>
    </row>
    <row r="729" spans="1:9" ht="15.75" customHeight="1" thickBot="1" x14ac:dyDescent="0.35">
      <c r="A729" s="199" t="e">
        <f>IF(AND(E725&lt;&gt;"", A724&lt;&gt;""), A724+1, "")</f>
        <v>#REF!</v>
      </c>
      <c r="B729" s="420"/>
      <c r="C729" s="404"/>
      <c r="D729" s="198" t="s">
        <v>450</v>
      </c>
      <c r="E729" s="251">
        <v>0</v>
      </c>
      <c r="F729" s="252">
        <v>0</v>
      </c>
      <c r="G729" s="252">
        <v>0</v>
      </c>
      <c r="H729" s="275">
        <v>0</v>
      </c>
      <c r="I729" s="276">
        <v>0</v>
      </c>
    </row>
    <row r="730" spans="1:9" x14ac:dyDescent="0.3">
      <c r="A730" s="199" t="e">
        <f>IF(AND(E730&lt;&gt;"", A725&lt;&gt;""), A725+1, "")</f>
        <v>#REF!</v>
      </c>
      <c r="B730" s="418">
        <v>46394</v>
      </c>
      <c r="C730" s="421">
        <f>B730</f>
        <v>46394</v>
      </c>
      <c r="D730" s="196" t="s">
        <v>418</v>
      </c>
      <c r="E730" s="243">
        <v>0</v>
      </c>
      <c r="F730" s="244">
        <v>0</v>
      </c>
      <c r="G730" s="244">
        <v>0</v>
      </c>
      <c r="H730" s="271">
        <v>0</v>
      </c>
      <c r="I730" s="272">
        <v>0</v>
      </c>
    </row>
    <row r="731" spans="1:9" x14ac:dyDescent="0.3">
      <c r="A731" s="199" t="e">
        <f>IF(AND(E730&lt;&gt;"", A726&lt;&gt;""), A726+1, "")</f>
        <v>#REF!</v>
      </c>
      <c r="B731" s="419"/>
      <c r="C731" s="422"/>
      <c r="D731" s="197" t="s">
        <v>420</v>
      </c>
      <c r="E731" s="247">
        <v>0</v>
      </c>
      <c r="F731" s="248">
        <v>0</v>
      </c>
      <c r="G731" s="248">
        <v>0</v>
      </c>
      <c r="H731" s="273">
        <v>0</v>
      </c>
      <c r="I731" s="274">
        <v>0</v>
      </c>
    </row>
    <row r="732" spans="1:9" x14ac:dyDescent="0.3">
      <c r="A732" s="199" t="e">
        <f>IF(AND(E730&lt;&gt;"", A727&lt;&gt;""), A727+1, "")</f>
        <v>#REF!</v>
      </c>
      <c r="B732" s="419"/>
      <c r="C732" s="422"/>
      <c r="D732" s="197" t="s">
        <v>426</v>
      </c>
      <c r="E732" s="247">
        <v>0</v>
      </c>
      <c r="F732" s="248">
        <v>0</v>
      </c>
      <c r="G732" s="248">
        <v>0</v>
      </c>
      <c r="H732" s="273">
        <v>0</v>
      </c>
      <c r="I732" s="274">
        <v>0</v>
      </c>
    </row>
    <row r="733" spans="1:9" x14ac:dyDescent="0.3">
      <c r="A733" s="199" t="e">
        <f>IF(AND(E730&lt;&gt;"", A728&lt;&gt;""), A728+1, "")</f>
        <v>#REF!</v>
      </c>
      <c r="B733" s="419"/>
      <c r="C733" s="422"/>
      <c r="D733" s="197" t="s">
        <v>424</v>
      </c>
      <c r="E733" s="247">
        <v>0</v>
      </c>
      <c r="F733" s="248">
        <v>0</v>
      </c>
      <c r="G733" s="248">
        <v>0</v>
      </c>
      <c r="H733" s="273">
        <v>0</v>
      </c>
      <c r="I733" s="274">
        <v>0</v>
      </c>
    </row>
    <row r="734" spans="1:9" ht="15.75" customHeight="1" thickBot="1" x14ac:dyDescent="0.35">
      <c r="A734" s="199" t="e">
        <f>IF(AND(E730&lt;&gt;"", A729&lt;&gt;""), A729+1, "")</f>
        <v>#REF!</v>
      </c>
      <c r="B734" s="420"/>
      <c r="C734" s="404"/>
      <c r="D734" s="198" t="s">
        <v>450</v>
      </c>
      <c r="E734" s="251">
        <v>0</v>
      </c>
      <c r="F734" s="252">
        <v>0</v>
      </c>
      <c r="G734" s="252">
        <v>0</v>
      </c>
      <c r="H734" s="275">
        <v>0</v>
      </c>
      <c r="I734" s="276">
        <v>0</v>
      </c>
    </row>
    <row r="735" spans="1:9" x14ac:dyDescent="0.3">
      <c r="A735" s="199" t="e">
        <f>IF(AND(E735&lt;&gt;"", A730&lt;&gt;""), A730+1, "")</f>
        <v>#REF!</v>
      </c>
      <c r="B735" s="418">
        <v>46395</v>
      </c>
      <c r="C735" s="421">
        <f>B735</f>
        <v>46395</v>
      </c>
      <c r="D735" s="196" t="s">
        <v>418</v>
      </c>
      <c r="E735" s="243">
        <v>0</v>
      </c>
      <c r="F735" s="244">
        <v>0</v>
      </c>
      <c r="G735" s="244">
        <v>0</v>
      </c>
      <c r="H735" s="271">
        <v>0</v>
      </c>
      <c r="I735" s="272">
        <v>0</v>
      </c>
    </row>
    <row r="736" spans="1:9" x14ac:dyDescent="0.3">
      <c r="A736" s="199" t="e">
        <f>IF(AND(E735&lt;&gt;"", A731&lt;&gt;""), A731+1, "")</f>
        <v>#REF!</v>
      </c>
      <c r="B736" s="419"/>
      <c r="C736" s="422"/>
      <c r="D736" s="197" t="s">
        <v>420</v>
      </c>
      <c r="E736" s="247">
        <v>0</v>
      </c>
      <c r="F736" s="248">
        <v>0</v>
      </c>
      <c r="G736" s="248">
        <v>0</v>
      </c>
      <c r="H736" s="273">
        <v>0</v>
      </c>
      <c r="I736" s="274">
        <v>0</v>
      </c>
    </row>
    <row r="737" spans="1:9" x14ac:dyDescent="0.3">
      <c r="A737" s="199" t="e">
        <f>IF(AND(E735&lt;&gt;"", A732&lt;&gt;""), A732+1, "")</f>
        <v>#REF!</v>
      </c>
      <c r="B737" s="419"/>
      <c r="C737" s="422"/>
      <c r="D737" s="197" t="s">
        <v>426</v>
      </c>
      <c r="E737" s="247">
        <v>0</v>
      </c>
      <c r="F737" s="248">
        <v>0</v>
      </c>
      <c r="G737" s="248">
        <v>0</v>
      </c>
      <c r="H737" s="273">
        <v>0</v>
      </c>
      <c r="I737" s="274">
        <v>0</v>
      </c>
    </row>
    <row r="738" spans="1:9" x14ac:dyDescent="0.3">
      <c r="A738" s="199" t="e">
        <f>IF(AND(E735&lt;&gt;"", A733&lt;&gt;""), A733+1, "")</f>
        <v>#REF!</v>
      </c>
      <c r="B738" s="419"/>
      <c r="C738" s="422"/>
      <c r="D738" s="197" t="s">
        <v>424</v>
      </c>
      <c r="E738" s="247">
        <v>0</v>
      </c>
      <c r="F738" s="248">
        <v>0</v>
      </c>
      <c r="G738" s="248">
        <v>0</v>
      </c>
      <c r="H738" s="273">
        <v>0</v>
      </c>
      <c r="I738" s="274">
        <v>0</v>
      </c>
    </row>
    <row r="739" spans="1:9" ht="15.75" customHeight="1" thickBot="1" x14ac:dyDescent="0.35">
      <c r="A739" s="199" t="e">
        <f>IF(AND(E735&lt;&gt;"", A734&lt;&gt;""), A734+1, "")</f>
        <v>#REF!</v>
      </c>
      <c r="B739" s="420"/>
      <c r="C739" s="404"/>
      <c r="D739" s="198" t="s">
        <v>450</v>
      </c>
      <c r="E739" s="251">
        <v>0</v>
      </c>
      <c r="F739" s="252">
        <v>0</v>
      </c>
      <c r="G739" s="252">
        <v>0</v>
      </c>
      <c r="H739" s="275">
        <v>0</v>
      </c>
      <c r="I739" s="276">
        <v>0</v>
      </c>
    </row>
    <row r="740" spans="1:9" x14ac:dyDescent="0.3">
      <c r="A740" s="199" t="e">
        <f>IF(AND(E740&lt;&gt;"", A735&lt;&gt;""), A735+1, "")</f>
        <v>#REF!</v>
      </c>
      <c r="B740" s="418">
        <v>46396</v>
      </c>
      <c r="C740" s="421">
        <f>B740</f>
        <v>46396</v>
      </c>
      <c r="D740" s="196" t="s">
        <v>418</v>
      </c>
      <c r="E740" s="243">
        <v>0</v>
      </c>
      <c r="F740" s="244">
        <v>0</v>
      </c>
      <c r="G740" s="244">
        <v>0</v>
      </c>
      <c r="H740" s="271">
        <v>0</v>
      </c>
      <c r="I740" s="272">
        <v>0</v>
      </c>
    </row>
    <row r="741" spans="1:9" x14ac:dyDescent="0.3">
      <c r="A741" s="199" t="e">
        <f>IF(AND(E740&lt;&gt;"", A736&lt;&gt;""), A736+1, "")</f>
        <v>#REF!</v>
      </c>
      <c r="B741" s="419"/>
      <c r="C741" s="422"/>
      <c r="D741" s="197" t="s">
        <v>420</v>
      </c>
      <c r="E741" s="247">
        <v>0</v>
      </c>
      <c r="F741" s="248">
        <v>0</v>
      </c>
      <c r="G741" s="248">
        <v>0</v>
      </c>
      <c r="H741" s="273">
        <v>0</v>
      </c>
      <c r="I741" s="274">
        <v>0</v>
      </c>
    </row>
    <row r="742" spans="1:9" x14ac:dyDescent="0.3">
      <c r="A742" s="199" t="e">
        <f>IF(AND(E740&lt;&gt;"", A737&lt;&gt;""), A737+1, "")</f>
        <v>#REF!</v>
      </c>
      <c r="B742" s="419"/>
      <c r="C742" s="422"/>
      <c r="D742" s="197" t="s">
        <v>426</v>
      </c>
      <c r="E742" s="247">
        <v>0</v>
      </c>
      <c r="F742" s="248">
        <v>0</v>
      </c>
      <c r="G742" s="248">
        <v>0</v>
      </c>
      <c r="H742" s="273">
        <v>0</v>
      </c>
      <c r="I742" s="274">
        <v>0</v>
      </c>
    </row>
    <row r="743" spans="1:9" x14ac:dyDescent="0.3">
      <c r="A743" s="199" t="e">
        <f>IF(AND(E740&lt;&gt;"", A738&lt;&gt;""), A738+1, "")</f>
        <v>#REF!</v>
      </c>
      <c r="B743" s="419"/>
      <c r="C743" s="422"/>
      <c r="D743" s="197" t="s">
        <v>424</v>
      </c>
      <c r="E743" s="247">
        <v>0</v>
      </c>
      <c r="F743" s="248">
        <v>0</v>
      </c>
      <c r="G743" s="248">
        <v>0</v>
      </c>
      <c r="H743" s="273">
        <v>0</v>
      </c>
      <c r="I743" s="274">
        <v>0</v>
      </c>
    </row>
    <row r="744" spans="1:9" ht="15.75" customHeight="1" thickBot="1" x14ac:dyDescent="0.35">
      <c r="A744" s="199" t="e">
        <f>IF(AND(E740&lt;&gt;"", A739&lt;&gt;""), A739+1, "")</f>
        <v>#REF!</v>
      </c>
      <c r="B744" s="420"/>
      <c r="C744" s="404"/>
      <c r="D744" s="198" t="s">
        <v>450</v>
      </c>
      <c r="E744" s="251">
        <v>0</v>
      </c>
      <c r="F744" s="252">
        <v>0</v>
      </c>
      <c r="G744" s="252">
        <v>0</v>
      </c>
      <c r="H744" s="275">
        <v>0</v>
      </c>
      <c r="I744" s="276">
        <v>0</v>
      </c>
    </row>
    <row r="745" spans="1:9" x14ac:dyDescent="0.3">
      <c r="A745" s="199" t="e">
        <f>IF(AND(E745&lt;&gt;"", A740&lt;&gt;""), A740+1, "")</f>
        <v>#REF!</v>
      </c>
      <c r="B745" s="418">
        <v>46397</v>
      </c>
      <c r="C745" s="421">
        <f>B745</f>
        <v>46397</v>
      </c>
      <c r="D745" s="196" t="s">
        <v>418</v>
      </c>
      <c r="E745" s="243">
        <v>0</v>
      </c>
      <c r="F745" s="244">
        <v>0</v>
      </c>
      <c r="G745" s="244">
        <v>0</v>
      </c>
      <c r="H745" s="271">
        <v>0</v>
      </c>
      <c r="I745" s="272">
        <v>0</v>
      </c>
    </row>
    <row r="746" spans="1:9" x14ac:dyDescent="0.3">
      <c r="A746" s="199" t="e">
        <f>IF(AND(E745&lt;&gt;"", A741&lt;&gt;""), A741+1, "")</f>
        <v>#REF!</v>
      </c>
      <c r="B746" s="419"/>
      <c r="C746" s="422"/>
      <c r="D746" s="197" t="s">
        <v>420</v>
      </c>
      <c r="E746" s="247">
        <v>0</v>
      </c>
      <c r="F746" s="248">
        <v>0</v>
      </c>
      <c r="G746" s="248">
        <v>0</v>
      </c>
      <c r="H746" s="273">
        <v>0</v>
      </c>
      <c r="I746" s="274">
        <v>0</v>
      </c>
    </row>
    <row r="747" spans="1:9" x14ac:dyDescent="0.3">
      <c r="A747" s="199" t="e">
        <f>IF(AND(E745&lt;&gt;"", A742&lt;&gt;""), A742+1, "")</f>
        <v>#REF!</v>
      </c>
      <c r="B747" s="419"/>
      <c r="C747" s="422"/>
      <c r="D747" s="197" t="s">
        <v>426</v>
      </c>
      <c r="E747" s="247">
        <v>0</v>
      </c>
      <c r="F747" s="248">
        <v>0</v>
      </c>
      <c r="G747" s="248">
        <v>0</v>
      </c>
      <c r="H747" s="273">
        <v>0</v>
      </c>
      <c r="I747" s="274">
        <v>0</v>
      </c>
    </row>
    <row r="748" spans="1:9" x14ac:dyDescent="0.3">
      <c r="A748" s="199" t="e">
        <f>IF(AND(E745&lt;&gt;"", A743&lt;&gt;""), A743+1, "")</f>
        <v>#REF!</v>
      </c>
      <c r="B748" s="419"/>
      <c r="C748" s="422"/>
      <c r="D748" s="197" t="s">
        <v>424</v>
      </c>
      <c r="E748" s="247">
        <v>0</v>
      </c>
      <c r="F748" s="248">
        <v>0</v>
      </c>
      <c r="G748" s="248">
        <v>0</v>
      </c>
      <c r="H748" s="273">
        <v>0</v>
      </c>
      <c r="I748" s="274">
        <v>0</v>
      </c>
    </row>
    <row r="749" spans="1:9" ht="15.75" customHeight="1" thickBot="1" x14ac:dyDescent="0.35">
      <c r="A749" s="199" t="e">
        <f>IF(AND(E745&lt;&gt;"", A744&lt;&gt;""), A744+1, "")</f>
        <v>#REF!</v>
      </c>
      <c r="B749" s="420"/>
      <c r="C749" s="404"/>
      <c r="D749" s="198" t="s">
        <v>450</v>
      </c>
      <c r="E749" s="251">
        <v>0</v>
      </c>
      <c r="F749" s="252">
        <v>0</v>
      </c>
      <c r="G749" s="252">
        <v>0</v>
      </c>
      <c r="H749" s="275">
        <v>0</v>
      </c>
      <c r="I749" s="276">
        <v>0</v>
      </c>
    </row>
    <row r="750" spans="1:9" x14ac:dyDescent="0.3">
      <c r="A750" s="199" t="e">
        <f>IF(AND(E750&lt;&gt;"", A745&lt;&gt;""), A745+1, "")</f>
        <v>#REF!</v>
      </c>
      <c r="B750" s="418">
        <v>46398</v>
      </c>
      <c r="C750" s="421">
        <f>B750</f>
        <v>46398</v>
      </c>
      <c r="D750" s="196" t="s">
        <v>418</v>
      </c>
      <c r="E750" s="243">
        <v>0</v>
      </c>
      <c r="F750" s="244">
        <v>0</v>
      </c>
      <c r="G750" s="244">
        <v>0</v>
      </c>
      <c r="H750" s="271">
        <v>0</v>
      </c>
      <c r="I750" s="272">
        <v>0</v>
      </c>
    </row>
    <row r="751" spans="1:9" x14ac:dyDescent="0.3">
      <c r="A751" s="199" t="e">
        <f>IF(AND(E750&lt;&gt;"", A746&lt;&gt;""), A746+1, "")</f>
        <v>#REF!</v>
      </c>
      <c r="B751" s="419"/>
      <c r="C751" s="422"/>
      <c r="D751" s="197" t="s">
        <v>420</v>
      </c>
      <c r="E751" s="247">
        <v>0</v>
      </c>
      <c r="F751" s="248">
        <v>0</v>
      </c>
      <c r="G751" s="248">
        <v>0</v>
      </c>
      <c r="H751" s="273">
        <v>0</v>
      </c>
      <c r="I751" s="274">
        <v>0</v>
      </c>
    </row>
    <row r="752" spans="1:9" x14ac:dyDescent="0.3">
      <c r="A752" s="199" t="e">
        <f>IF(AND(E750&lt;&gt;"", A747&lt;&gt;""), A747+1, "")</f>
        <v>#REF!</v>
      </c>
      <c r="B752" s="419"/>
      <c r="C752" s="422"/>
      <c r="D752" s="197" t="s">
        <v>426</v>
      </c>
      <c r="E752" s="247">
        <v>0</v>
      </c>
      <c r="F752" s="248">
        <v>0</v>
      </c>
      <c r="G752" s="248">
        <v>0</v>
      </c>
      <c r="H752" s="273">
        <v>0</v>
      </c>
      <c r="I752" s="274">
        <v>0</v>
      </c>
    </row>
    <row r="753" spans="1:9" x14ac:dyDescent="0.3">
      <c r="A753" s="199" t="e">
        <f>IF(AND(E750&lt;&gt;"", A748&lt;&gt;""), A748+1, "")</f>
        <v>#REF!</v>
      </c>
      <c r="B753" s="419"/>
      <c r="C753" s="422"/>
      <c r="D753" s="197" t="s">
        <v>424</v>
      </c>
      <c r="E753" s="247">
        <v>0</v>
      </c>
      <c r="F753" s="248">
        <v>0</v>
      </c>
      <c r="G753" s="248">
        <v>0</v>
      </c>
      <c r="H753" s="273">
        <v>0</v>
      </c>
      <c r="I753" s="274">
        <v>0</v>
      </c>
    </row>
    <row r="754" spans="1:9" ht="15.75" customHeight="1" thickBot="1" x14ac:dyDescent="0.35">
      <c r="A754" s="199" t="e">
        <f>IF(AND(E750&lt;&gt;"", A749&lt;&gt;""), A749+1, "")</f>
        <v>#REF!</v>
      </c>
      <c r="B754" s="420"/>
      <c r="C754" s="404"/>
      <c r="D754" s="198" t="s">
        <v>450</v>
      </c>
      <c r="E754" s="251">
        <v>0</v>
      </c>
      <c r="F754" s="252">
        <v>0</v>
      </c>
      <c r="G754" s="252">
        <v>0</v>
      </c>
      <c r="H754" s="275">
        <v>0</v>
      </c>
      <c r="I754" s="276">
        <v>0</v>
      </c>
    </row>
    <row r="755" spans="1:9" x14ac:dyDescent="0.3">
      <c r="A755" s="199" t="e">
        <f>IF(AND(E755&lt;&gt;"", A750&lt;&gt;""), A750+1, "")</f>
        <v>#REF!</v>
      </c>
      <c r="B755" s="418">
        <v>46399</v>
      </c>
      <c r="C755" s="421">
        <f>B755</f>
        <v>46399</v>
      </c>
      <c r="D755" s="196" t="s">
        <v>418</v>
      </c>
      <c r="E755" s="243">
        <v>0</v>
      </c>
      <c r="F755" s="244">
        <v>0</v>
      </c>
      <c r="G755" s="244">
        <v>0</v>
      </c>
      <c r="H755" s="271">
        <v>0</v>
      </c>
      <c r="I755" s="272">
        <v>0</v>
      </c>
    </row>
    <row r="756" spans="1:9" x14ac:dyDescent="0.3">
      <c r="A756" s="199" t="e">
        <f>IF(AND(E755&lt;&gt;"", A751&lt;&gt;""), A751+1, "")</f>
        <v>#REF!</v>
      </c>
      <c r="B756" s="419"/>
      <c r="C756" s="422"/>
      <c r="D756" s="197" t="s">
        <v>420</v>
      </c>
      <c r="E756" s="247">
        <v>0</v>
      </c>
      <c r="F756" s="248">
        <v>0</v>
      </c>
      <c r="G756" s="248">
        <v>0</v>
      </c>
      <c r="H756" s="273">
        <v>0</v>
      </c>
      <c r="I756" s="274">
        <v>0</v>
      </c>
    </row>
    <row r="757" spans="1:9" x14ac:dyDescent="0.3">
      <c r="A757" s="199" t="e">
        <f>IF(AND(E755&lt;&gt;"", A752&lt;&gt;""), A752+1, "")</f>
        <v>#REF!</v>
      </c>
      <c r="B757" s="419"/>
      <c r="C757" s="422"/>
      <c r="D757" s="197" t="s">
        <v>426</v>
      </c>
      <c r="E757" s="247">
        <v>0</v>
      </c>
      <c r="F757" s="248">
        <v>0</v>
      </c>
      <c r="G757" s="248">
        <v>0</v>
      </c>
      <c r="H757" s="273">
        <v>0</v>
      </c>
      <c r="I757" s="274">
        <v>0</v>
      </c>
    </row>
    <row r="758" spans="1:9" x14ac:dyDescent="0.3">
      <c r="A758" s="199" t="e">
        <f>IF(AND(E755&lt;&gt;"", A753&lt;&gt;""), A753+1, "")</f>
        <v>#REF!</v>
      </c>
      <c r="B758" s="419"/>
      <c r="C758" s="422"/>
      <c r="D758" s="197" t="s">
        <v>424</v>
      </c>
      <c r="E758" s="247">
        <v>0</v>
      </c>
      <c r="F758" s="248">
        <v>0</v>
      </c>
      <c r="G758" s="248">
        <v>0</v>
      </c>
      <c r="H758" s="273">
        <v>0</v>
      </c>
      <c r="I758" s="274">
        <v>0</v>
      </c>
    </row>
    <row r="759" spans="1:9" ht="15.75" customHeight="1" thickBot="1" x14ac:dyDescent="0.35">
      <c r="A759" s="199" t="e">
        <f>IF(AND(E755&lt;&gt;"", A754&lt;&gt;""), A754+1, "")</f>
        <v>#REF!</v>
      </c>
      <c r="B759" s="420"/>
      <c r="C759" s="404"/>
      <c r="D759" s="198" t="s">
        <v>450</v>
      </c>
      <c r="E759" s="251">
        <v>0</v>
      </c>
      <c r="F759" s="252">
        <v>0</v>
      </c>
      <c r="G759" s="252">
        <v>0</v>
      </c>
      <c r="H759" s="275">
        <v>0</v>
      </c>
      <c r="I759" s="276">
        <v>0</v>
      </c>
    </row>
    <row r="760" spans="1:9" x14ac:dyDescent="0.3">
      <c r="A760" s="199" t="e">
        <f>IF(AND(E760&lt;&gt;"", A755&lt;&gt;""), A755+1, "")</f>
        <v>#REF!</v>
      </c>
      <c r="B760" s="418">
        <v>46400</v>
      </c>
      <c r="C760" s="421">
        <f>B760</f>
        <v>46400</v>
      </c>
      <c r="D760" s="196" t="s">
        <v>418</v>
      </c>
      <c r="E760" s="243">
        <v>0</v>
      </c>
      <c r="F760" s="244">
        <v>0</v>
      </c>
      <c r="G760" s="244">
        <v>0</v>
      </c>
      <c r="H760" s="271">
        <v>0</v>
      </c>
      <c r="I760" s="272">
        <v>0</v>
      </c>
    </row>
    <row r="761" spans="1:9" x14ac:dyDescent="0.3">
      <c r="A761" s="199" t="e">
        <f>IF(AND(E760&lt;&gt;"", A756&lt;&gt;""), A756+1, "")</f>
        <v>#REF!</v>
      </c>
      <c r="B761" s="419"/>
      <c r="C761" s="422"/>
      <c r="D761" s="197" t="s">
        <v>420</v>
      </c>
      <c r="E761" s="247">
        <v>0</v>
      </c>
      <c r="F761" s="248">
        <v>0</v>
      </c>
      <c r="G761" s="248">
        <v>0</v>
      </c>
      <c r="H761" s="273">
        <v>0</v>
      </c>
      <c r="I761" s="274">
        <v>0</v>
      </c>
    </row>
    <row r="762" spans="1:9" x14ac:dyDescent="0.3">
      <c r="A762" s="199" t="e">
        <f>IF(AND(E760&lt;&gt;"", A757&lt;&gt;""), A757+1, "")</f>
        <v>#REF!</v>
      </c>
      <c r="B762" s="419"/>
      <c r="C762" s="422"/>
      <c r="D762" s="197" t="s">
        <v>426</v>
      </c>
      <c r="E762" s="247">
        <v>0</v>
      </c>
      <c r="F762" s="248">
        <v>0</v>
      </c>
      <c r="G762" s="248">
        <v>0</v>
      </c>
      <c r="H762" s="273">
        <v>0</v>
      </c>
      <c r="I762" s="274">
        <v>0</v>
      </c>
    </row>
    <row r="763" spans="1:9" x14ac:dyDescent="0.3">
      <c r="A763" s="199" t="e">
        <f>IF(AND(E760&lt;&gt;"", A758&lt;&gt;""), A758+1, "")</f>
        <v>#REF!</v>
      </c>
      <c r="B763" s="419"/>
      <c r="C763" s="422"/>
      <c r="D763" s="197" t="s">
        <v>424</v>
      </c>
      <c r="E763" s="247">
        <v>0</v>
      </c>
      <c r="F763" s="248">
        <v>0</v>
      </c>
      <c r="G763" s="248">
        <v>0</v>
      </c>
      <c r="H763" s="273">
        <v>0</v>
      </c>
      <c r="I763" s="274">
        <v>0</v>
      </c>
    </row>
    <row r="764" spans="1:9" ht="15.75" customHeight="1" thickBot="1" x14ac:dyDescent="0.35">
      <c r="A764" s="199" t="e">
        <f>IF(AND(E760&lt;&gt;"", A759&lt;&gt;""), A759+1, "")</f>
        <v>#REF!</v>
      </c>
      <c r="B764" s="420"/>
      <c r="C764" s="404"/>
      <c r="D764" s="198" t="s">
        <v>450</v>
      </c>
      <c r="E764" s="251">
        <v>0</v>
      </c>
      <c r="F764" s="252">
        <v>0</v>
      </c>
      <c r="G764" s="252">
        <v>0</v>
      </c>
      <c r="H764" s="275">
        <v>0</v>
      </c>
      <c r="I764" s="276">
        <v>0</v>
      </c>
    </row>
    <row r="765" spans="1:9" x14ac:dyDescent="0.3">
      <c r="A765" s="199" t="e">
        <f>IF(AND(E765&lt;&gt;"", A760&lt;&gt;""), A760+1, "")</f>
        <v>#REF!</v>
      </c>
      <c r="B765" s="418">
        <v>46401</v>
      </c>
      <c r="C765" s="421">
        <f>B765</f>
        <v>46401</v>
      </c>
      <c r="D765" s="196" t="s">
        <v>418</v>
      </c>
      <c r="E765" s="243">
        <v>0</v>
      </c>
      <c r="F765" s="244">
        <v>0</v>
      </c>
      <c r="G765" s="244">
        <v>0</v>
      </c>
      <c r="H765" s="271">
        <v>0</v>
      </c>
      <c r="I765" s="272">
        <v>0</v>
      </c>
    </row>
    <row r="766" spans="1:9" x14ac:dyDescent="0.3">
      <c r="A766" s="199" t="e">
        <f>IF(AND(E765&lt;&gt;"", A761&lt;&gt;""), A761+1, "")</f>
        <v>#REF!</v>
      </c>
      <c r="B766" s="419"/>
      <c r="C766" s="422"/>
      <c r="D766" s="197" t="s">
        <v>420</v>
      </c>
      <c r="E766" s="247">
        <v>0</v>
      </c>
      <c r="F766" s="248">
        <v>0</v>
      </c>
      <c r="G766" s="248">
        <v>0</v>
      </c>
      <c r="H766" s="273">
        <v>0</v>
      </c>
      <c r="I766" s="274">
        <v>0</v>
      </c>
    </row>
    <row r="767" spans="1:9" x14ac:dyDescent="0.3">
      <c r="A767" s="199" t="e">
        <f>IF(AND(E765&lt;&gt;"", A762&lt;&gt;""), A762+1, "")</f>
        <v>#REF!</v>
      </c>
      <c r="B767" s="419"/>
      <c r="C767" s="422"/>
      <c r="D767" s="197" t="s">
        <v>426</v>
      </c>
      <c r="E767" s="247">
        <v>0</v>
      </c>
      <c r="F767" s="248">
        <v>0</v>
      </c>
      <c r="G767" s="248">
        <v>0</v>
      </c>
      <c r="H767" s="273">
        <v>0</v>
      </c>
      <c r="I767" s="274">
        <v>0</v>
      </c>
    </row>
    <row r="768" spans="1:9" x14ac:dyDescent="0.3">
      <c r="A768" s="199" t="e">
        <f>IF(AND(E765&lt;&gt;"", A763&lt;&gt;""), A763+1, "")</f>
        <v>#REF!</v>
      </c>
      <c r="B768" s="419"/>
      <c r="C768" s="422"/>
      <c r="D768" s="197" t="s">
        <v>424</v>
      </c>
      <c r="E768" s="247">
        <v>0</v>
      </c>
      <c r="F768" s="248">
        <v>0</v>
      </c>
      <c r="G768" s="248">
        <v>0</v>
      </c>
      <c r="H768" s="273">
        <v>0</v>
      </c>
      <c r="I768" s="274">
        <v>0</v>
      </c>
    </row>
    <row r="769" spans="1:9" ht="15.75" customHeight="1" thickBot="1" x14ac:dyDescent="0.35">
      <c r="A769" s="199" t="e">
        <f>IF(AND(E765&lt;&gt;"", A764&lt;&gt;""), A764+1, "")</f>
        <v>#REF!</v>
      </c>
      <c r="B769" s="420"/>
      <c r="C769" s="404"/>
      <c r="D769" s="198" t="s">
        <v>450</v>
      </c>
      <c r="E769" s="251">
        <v>0</v>
      </c>
      <c r="F769" s="252">
        <v>0</v>
      </c>
      <c r="G769" s="252">
        <v>0</v>
      </c>
      <c r="H769" s="275">
        <v>0</v>
      </c>
      <c r="I769" s="276">
        <v>0</v>
      </c>
    </row>
    <row r="770" spans="1:9" x14ac:dyDescent="0.3">
      <c r="A770" s="199" t="e">
        <f>IF(AND(E770&lt;&gt;"", A765&lt;&gt;""), A765+1, "")</f>
        <v>#REF!</v>
      </c>
      <c r="B770" s="418">
        <v>46402</v>
      </c>
      <c r="C770" s="421">
        <f>B770</f>
        <v>46402</v>
      </c>
      <c r="D770" s="196" t="s">
        <v>418</v>
      </c>
      <c r="E770" s="243">
        <v>0</v>
      </c>
      <c r="F770" s="244">
        <v>0</v>
      </c>
      <c r="G770" s="244">
        <v>0</v>
      </c>
      <c r="H770" s="271">
        <v>0</v>
      </c>
      <c r="I770" s="272">
        <v>0</v>
      </c>
    </row>
    <row r="771" spans="1:9" x14ac:dyDescent="0.3">
      <c r="A771" s="199" t="e">
        <f>IF(AND(E770&lt;&gt;"", A766&lt;&gt;""), A766+1, "")</f>
        <v>#REF!</v>
      </c>
      <c r="B771" s="419"/>
      <c r="C771" s="422"/>
      <c r="D771" s="197" t="s">
        <v>420</v>
      </c>
      <c r="E771" s="247">
        <v>0</v>
      </c>
      <c r="F771" s="248">
        <v>0</v>
      </c>
      <c r="G771" s="248">
        <v>0</v>
      </c>
      <c r="H771" s="273">
        <v>0</v>
      </c>
      <c r="I771" s="274">
        <v>0</v>
      </c>
    </row>
    <row r="772" spans="1:9" x14ac:dyDescent="0.3">
      <c r="A772" s="199" t="e">
        <f>IF(AND(E770&lt;&gt;"", A767&lt;&gt;""), A767+1, "")</f>
        <v>#REF!</v>
      </c>
      <c r="B772" s="419"/>
      <c r="C772" s="422"/>
      <c r="D772" s="197" t="s">
        <v>426</v>
      </c>
      <c r="E772" s="247">
        <v>0</v>
      </c>
      <c r="F772" s="248">
        <v>0</v>
      </c>
      <c r="G772" s="248">
        <v>0</v>
      </c>
      <c r="H772" s="273">
        <v>0</v>
      </c>
      <c r="I772" s="274">
        <v>0</v>
      </c>
    </row>
    <row r="773" spans="1:9" x14ac:dyDescent="0.3">
      <c r="A773" s="199" t="e">
        <f>IF(AND(E770&lt;&gt;"", A768&lt;&gt;""), A768+1, "")</f>
        <v>#REF!</v>
      </c>
      <c r="B773" s="419"/>
      <c r="C773" s="422"/>
      <c r="D773" s="197" t="s">
        <v>424</v>
      </c>
      <c r="E773" s="247">
        <v>0</v>
      </c>
      <c r="F773" s="248">
        <v>0</v>
      </c>
      <c r="G773" s="248">
        <v>0</v>
      </c>
      <c r="H773" s="273">
        <v>0</v>
      </c>
      <c r="I773" s="274">
        <v>0</v>
      </c>
    </row>
    <row r="774" spans="1:9" ht="15.75" customHeight="1" thickBot="1" x14ac:dyDescent="0.35">
      <c r="A774" s="199" t="e">
        <f>IF(AND(E770&lt;&gt;"", A769&lt;&gt;""), A769+1, "")</f>
        <v>#REF!</v>
      </c>
      <c r="B774" s="420"/>
      <c r="C774" s="404"/>
      <c r="D774" s="198" t="s">
        <v>450</v>
      </c>
      <c r="E774" s="251">
        <v>0</v>
      </c>
      <c r="F774" s="252">
        <v>0</v>
      </c>
      <c r="G774" s="252">
        <v>0</v>
      </c>
      <c r="H774" s="275">
        <v>0</v>
      </c>
      <c r="I774" s="276">
        <v>0</v>
      </c>
    </row>
    <row r="775" spans="1:9" x14ac:dyDescent="0.3">
      <c r="A775" s="199" t="e">
        <f>IF(AND(E775&lt;&gt;"", A770&lt;&gt;""), A770+1, "")</f>
        <v>#REF!</v>
      </c>
      <c r="B775" s="418">
        <v>46403</v>
      </c>
      <c r="C775" s="421">
        <f>B775</f>
        <v>46403</v>
      </c>
      <c r="D775" s="196" t="s">
        <v>418</v>
      </c>
      <c r="E775" s="243">
        <v>0</v>
      </c>
      <c r="F775" s="244">
        <v>0</v>
      </c>
      <c r="G775" s="244">
        <v>0</v>
      </c>
      <c r="H775" s="271">
        <v>0</v>
      </c>
      <c r="I775" s="272">
        <v>0</v>
      </c>
    </row>
    <row r="776" spans="1:9" x14ac:dyDescent="0.3">
      <c r="A776" s="199" t="e">
        <f>IF(AND(E775&lt;&gt;"", A771&lt;&gt;""), A771+1, "")</f>
        <v>#REF!</v>
      </c>
      <c r="B776" s="419"/>
      <c r="C776" s="422"/>
      <c r="D776" s="197" t="s">
        <v>420</v>
      </c>
      <c r="E776" s="247">
        <v>0</v>
      </c>
      <c r="F776" s="248">
        <v>0</v>
      </c>
      <c r="G776" s="248">
        <v>0</v>
      </c>
      <c r="H776" s="273">
        <v>0</v>
      </c>
      <c r="I776" s="274">
        <v>0</v>
      </c>
    </row>
    <row r="777" spans="1:9" x14ac:dyDescent="0.3">
      <c r="A777" s="199" t="e">
        <f>IF(AND(E775&lt;&gt;"", A772&lt;&gt;""), A772+1, "")</f>
        <v>#REF!</v>
      </c>
      <c r="B777" s="419"/>
      <c r="C777" s="422"/>
      <c r="D777" s="197" t="s">
        <v>426</v>
      </c>
      <c r="E777" s="247">
        <v>0</v>
      </c>
      <c r="F777" s="248">
        <v>0</v>
      </c>
      <c r="G777" s="248">
        <v>0</v>
      </c>
      <c r="H777" s="273">
        <v>0</v>
      </c>
      <c r="I777" s="274">
        <v>0</v>
      </c>
    </row>
    <row r="778" spans="1:9" x14ac:dyDescent="0.3">
      <c r="A778" s="199" t="e">
        <f>IF(AND(E775&lt;&gt;"", A773&lt;&gt;""), A773+1, "")</f>
        <v>#REF!</v>
      </c>
      <c r="B778" s="419"/>
      <c r="C778" s="422"/>
      <c r="D778" s="197" t="s">
        <v>424</v>
      </c>
      <c r="E778" s="247">
        <v>0</v>
      </c>
      <c r="F778" s="248">
        <v>0</v>
      </c>
      <c r="G778" s="248">
        <v>0</v>
      </c>
      <c r="H778" s="273">
        <v>0</v>
      </c>
      <c r="I778" s="274">
        <v>0</v>
      </c>
    </row>
    <row r="779" spans="1:9" ht="15.75" customHeight="1" thickBot="1" x14ac:dyDescent="0.35">
      <c r="A779" s="199" t="e">
        <f>IF(AND(E775&lt;&gt;"", A774&lt;&gt;""), A774+1, "")</f>
        <v>#REF!</v>
      </c>
      <c r="B779" s="420"/>
      <c r="C779" s="404"/>
      <c r="D779" s="198" t="s">
        <v>450</v>
      </c>
      <c r="E779" s="251">
        <v>0</v>
      </c>
      <c r="F779" s="252">
        <v>0</v>
      </c>
      <c r="G779" s="252">
        <v>0</v>
      </c>
      <c r="H779" s="275">
        <v>0</v>
      </c>
      <c r="I779" s="276">
        <v>0</v>
      </c>
    </row>
    <row r="780" spans="1:9" x14ac:dyDescent="0.3">
      <c r="A780" s="199" t="e">
        <f>IF(AND(E780&lt;&gt;"", A775&lt;&gt;""), A775+1, "")</f>
        <v>#REF!</v>
      </c>
      <c r="B780" s="418">
        <v>46404</v>
      </c>
      <c r="C780" s="421">
        <f>B780</f>
        <v>46404</v>
      </c>
      <c r="D780" s="196" t="s">
        <v>418</v>
      </c>
      <c r="E780" s="243">
        <v>0</v>
      </c>
      <c r="F780" s="244">
        <v>0</v>
      </c>
      <c r="G780" s="244">
        <v>0</v>
      </c>
      <c r="H780" s="271">
        <v>0</v>
      </c>
      <c r="I780" s="272">
        <v>0</v>
      </c>
    </row>
    <row r="781" spans="1:9" x14ac:dyDescent="0.3">
      <c r="A781" s="199" t="e">
        <f>IF(AND(E780&lt;&gt;"", A776&lt;&gt;""), A776+1, "")</f>
        <v>#REF!</v>
      </c>
      <c r="B781" s="419"/>
      <c r="C781" s="422"/>
      <c r="D781" s="197" t="s">
        <v>420</v>
      </c>
      <c r="E781" s="247">
        <v>0</v>
      </c>
      <c r="F781" s="248">
        <v>0</v>
      </c>
      <c r="G781" s="248">
        <v>0</v>
      </c>
      <c r="H781" s="273">
        <v>0</v>
      </c>
      <c r="I781" s="274">
        <v>0</v>
      </c>
    </row>
    <row r="782" spans="1:9" x14ac:dyDescent="0.3">
      <c r="A782" s="199" t="e">
        <f>IF(AND(E780&lt;&gt;"", A777&lt;&gt;""), A777+1, "")</f>
        <v>#REF!</v>
      </c>
      <c r="B782" s="419"/>
      <c r="C782" s="422"/>
      <c r="D782" s="197" t="s">
        <v>426</v>
      </c>
      <c r="E782" s="247">
        <v>0</v>
      </c>
      <c r="F782" s="248">
        <v>0</v>
      </c>
      <c r="G782" s="248">
        <v>0</v>
      </c>
      <c r="H782" s="273">
        <v>0</v>
      </c>
      <c r="I782" s="274">
        <v>0</v>
      </c>
    </row>
    <row r="783" spans="1:9" x14ac:dyDescent="0.3">
      <c r="A783" s="199" t="e">
        <f>IF(AND(E780&lt;&gt;"", A778&lt;&gt;""), A778+1, "")</f>
        <v>#REF!</v>
      </c>
      <c r="B783" s="419"/>
      <c r="C783" s="422"/>
      <c r="D783" s="197" t="s">
        <v>424</v>
      </c>
      <c r="E783" s="247">
        <v>0</v>
      </c>
      <c r="F783" s="248">
        <v>0</v>
      </c>
      <c r="G783" s="248">
        <v>0</v>
      </c>
      <c r="H783" s="273">
        <v>0</v>
      </c>
      <c r="I783" s="274">
        <v>0</v>
      </c>
    </row>
    <row r="784" spans="1:9" ht="15.75" customHeight="1" thickBot="1" x14ac:dyDescent="0.35">
      <c r="A784" s="199" t="e">
        <f>IF(AND(E780&lt;&gt;"", A779&lt;&gt;""), A779+1, "")</f>
        <v>#REF!</v>
      </c>
      <c r="B784" s="420"/>
      <c r="C784" s="404"/>
      <c r="D784" s="198" t="s">
        <v>450</v>
      </c>
      <c r="E784" s="251">
        <v>0</v>
      </c>
      <c r="F784" s="252">
        <v>0</v>
      </c>
      <c r="G784" s="252">
        <v>0</v>
      </c>
      <c r="H784" s="275">
        <v>0</v>
      </c>
      <c r="I784" s="276">
        <v>0</v>
      </c>
    </row>
    <row r="785" spans="1:9" x14ac:dyDescent="0.3">
      <c r="A785" s="199" t="e">
        <f>IF(AND(E785&lt;&gt;"", A780&lt;&gt;""), A780+1, "")</f>
        <v>#REF!</v>
      </c>
      <c r="B785" s="418">
        <v>46405</v>
      </c>
      <c r="C785" s="421">
        <f>B785</f>
        <v>46405</v>
      </c>
      <c r="D785" s="196" t="s">
        <v>418</v>
      </c>
      <c r="E785" s="243">
        <v>0</v>
      </c>
      <c r="F785" s="244">
        <v>0</v>
      </c>
      <c r="G785" s="244">
        <v>0</v>
      </c>
      <c r="H785" s="271">
        <v>0</v>
      </c>
      <c r="I785" s="272">
        <v>0</v>
      </c>
    </row>
    <row r="786" spans="1:9" x14ac:dyDescent="0.3">
      <c r="A786" s="199" t="e">
        <f>IF(AND(E785&lt;&gt;"", A781&lt;&gt;""), A781+1, "")</f>
        <v>#REF!</v>
      </c>
      <c r="B786" s="419"/>
      <c r="C786" s="422"/>
      <c r="D786" s="197" t="s">
        <v>420</v>
      </c>
      <c r="E786" s="247">
        <v>0</v>
      </c>
      <c r="F786" s="248">
        <v>0</v>
      </c>
      <c r="G786" s="248">
        <v>0</v>
      </c>
      <c r="H786" s="273">
        <v>0</v>
      </c>
      <c r="I786" s="274">
        <v>0</v>
      </c>
    </row>
    <row r="787" spans="1:9" x14ac:dyDescent="0.3">
      <c r="A787" s="199" t="e">
        <f>IF(AND(E785&lt;&gt;"", A782&lt;&gt;""), A782+1, "")</f>
        <v>#REF!</v>
      </c>
      <c r="B787" s="419"/>
      <c r="C787" s="422"/>
      <c r="D787" s="197" t="s">
        <v>426</v>
      </c>
      <c r="E787" s="247">
        <v>0</v>
      </c>
      <c r="F787" s="248">
        <v>0</v>
      </c>
      <c r="G787" s="248">
        <v>0</v>
      </c>
      <c r="H787" s="273">
        <v>0</v>
      </c>
      <c r="I787" s="274">
        <v>0</v>
      </c>
    </row>
    <row r="788" spans="1:9" x14ac:dyDescent="0.3">
      <c r="A788" s="199" t="e">
        <f>IF(AND(E785&lt;&gt;"", A783&lt;&gt;""), A783+1, "")</f>
        <v>#REF!</v>
      </c>
      <c r="B788" s="419"/>
      <c r="C788" s="422"/>
      <c r="D788" s="197" t="s">
        <v>424</v>
      </c>
      <c r="E788" s="247">
        <v>0</v>
      </c>
      <c r="F788" s="248">
        <v>0</v>
      </c>
      <c r="G788" s="248">
        <v>0</v>
      </c>
      <c r="H788" s="273">
        <v>0</v>
      </c>
      <c r="I788" s="274">
        <v>0</v>
      </c>
    </row>
    <row r="789" spans="1:9" ht="15.75" customHeight="1" thickBot="1" x14ac:dyDescent="0.35">
      <c r="A789" s="199" t="e">
        <f>IF(AND(E785&lt;&gt;"", A784&lt;&gt;""), A784+1, "")</f>
        <v>#REF!</v>
      </c>
      <c r="B789" s="420"/>
      <c r="C789" s="404"/>
      <c r="D789" s="198" t="s">
        <v>450</v>
      </c>
      <c r="E789" s="251">
        <v>0</v>
      </c>
      <c r="F789" s="252">
        <v>0</v>
      </c>
      <c r="G789" s="252">
        <v>0</v>
      </c>
      <c r="H789" s="275">
        <v>0</v>
      </c>
      <c r="I789" s="276">
        <v>0</v>
      </c>
    </row>
    <row r="790" spans="1:9" x14ac:dyDescent="0.3">
      <c r="A790" s="199" t="e">
        <f>IF(AND(E790&lt;&gt;"", A785&lt;&gt;""), A785+1, "")</f>
        <v>#REF!</v>
      </c>
      <c r="B790" s="418">
        <v>46406</v>
      </c>
      <c r="C790" s="421">
        <f>B790</f>
        <v>46406</v>
      </c>
      <c r="D790" s="196" t="s">
        <v>418</v>
      </c>
      <c r="E790" s="243">
        <v>0</v>
      </c>
      <c r="F790" s="244">
        <v>0</v>
      </c>
      <c r="G790" s="244">
        <v>0</v>
      </c>
      <c r="H790" s="271">
        <v>0</v>
      </c>
      <c r="I790" s="272">
        <v>0</v>
      </c>
    </row>
    <row r="791" spans="1:9" x14ac:dyDescent="0.3">
      <c r="A791" s="199" t="e">
        <f>IF(AND(E790&lt;&gt;"", A786&lt;&gt;""), A786+1, "")</f>
        <v>#REF!</v>
      </c>
      <c r="B791" s="419"/>
      <c r="C791" s="422"/>
      <c r="D791" s="197" t="s">
        <v>420</v>
      </c>
      <c r="E791" s="247">
        <v>0</v>
      </c>
      <c r="F791" s="248">
        <v>0</v>
      </c>
      <c r="G791" s="248">
        <v>0</v>
      </c>
      <c r="H791" s="273">
        <v>0</v>
      </c>
      <c r="I791" s="274">
        <v>0</v>
      </c>
    </row>
    <row r="792" spans="1:9" x14ac:dyDescent="0.3">
      <c r="A792" s="199" t="e">
        <f>IF(AND(E790&lt;&gt;"", A787&lt;&gt;""), A787+1, "")</f>
        <v>#REF!</v>
      </c>
      <c r="B792" s="419"/>
      <c r="C792" s="422"/>
      <c r="D792" s="197" t="s">
        <v>426</v>
      </c>
      <c r="E792" s="247">
        <v>0</v>
      </c>
      <c r="F792" s="248">
        <v>0</v>
      </c>
      <c r="G792" s="248">
        <v>0</v>
      </c>
      <c r="H792" s="273">
        <v>0</v>
      </c>
      <c r="I792" s="274">
        <v>0</v>
      </c>
    </row>
    <row r="793" spans="1:9" x14ac:dyDescent="0.3">
      <c r="A793" s="199" t="e">
        <f>IF(AND(E790&lt;&gt;"", A788&lt;&gt;""), A788+1, "")</f>
        <v>#REF!</v>
      </c>
      <c r="B793" s="419"/>
      <c r="C793" s="422"/>
      <c r="D793" s="197" t="s">
        <v>424</v>
      </c>
      <c r="E793" s="247">
        <v>0</v>
      </c>
      <c r="F793" s="248">
        <v>0</v>
      </c>
      <c r="G793" s="248">
        <v>0</v>
      </c>
      <c r="H793" s="273">
        <v>0</v>
      </c>
      <c r="I793" s="274">
        <v>0</v>
      </c>
    </row>
    <row r="794" spans="1:9" ht="15.75" customHeight="1" thickBot="1" x14ac:dyDescent="0.35">
      <c r="A794" s="199" t="e">
        <f>IF(AND(E790&lt;&gt;"", A789&lt;&gt;""), A789+1, "")</f>
        <v>#REF!</v>
      </c>
      <c r="B794" s="420"/>
      <c r="C794" s="404"/>
      <c r="D794" s="198" t="s">
        <v>450</v>
      </c>
      <c r="E794" s="251">
        <v>0</v>
      </c>
      <c r="F794" s="252">
        <v>0</v>
      </c>
      <c r="G794" s="252">
        <v>0</v>
      </c>
      <c r="H794" s="275">
        <v>0</v>
      </c>
      <c r="I794" s="276">
        <v>0</v>
      </c>
    </row>
    <row r="795" spans="1:9" x14ac:dyDescent="0.3">
      <c r="A795" s="199" t="e">
        <f>IF(AND(E795&lt;&gt;"", A790&lt;&gt;""), A790+1, "")</f>
        <v>#REF!</v>
      </c>
      <c r="B795" s="418">
        <v>46407</v>
      </c>
      <c r="C795" s="421">
        <f>B795</f>
        <v>46407</v>
      </c>
      <c r="D795" s="196" t="s">
        <v>418</v>
      </c>
      <c r="E795" s="243">
        <v>0</v>
      </c>
      <c r="F795" s="244">
        <v>0</v>
      </c>
      <c r="G795" s="244">
        <v>0</v>
      </c>
      <c r="H795" s="271">
        <v>0</v>
      </c>
      <c r="I795" s="272">
        <v>0</v>
      </c>
    </row>
    <row r="796" spans="1:9" x14ac:dyDescent="0.3">
      <c r="A796" s="199" t="e">
        <f>IF(AND(E795&lt;&gt;"", A791&lt;&gt;""), A791+1, "")</f>
        <v>#REF!</v>
      </c>
      <c r="B796" s="419"/>
      <c r="C796" s="422"/>
      <c r="D796" s="197" t="s">
        <v>420</v>
      </c>
      <c r="E796" s="247">
        <v>0</v>
      </c>
      <c r="F796" s="248">
        <v>0</v>
      </c>
      <c r="G796" s="248">
        <v>0</v>
      </c>
      <c r="H796" s="273">
        <v>0</v>
      </c>
      <c r="I796" s="274">
        <v>0</v>
      </c>
    </row>
    <row r="797" spans="1:9" x14ac:dyDescent="0.3">
      <c r="A797" s="199" t="e">
        <f>IF(AND(E795&lt;&gt;"", A792&lt;&gt;""), A792+1, "")</f>
        <v>#REF!</v>
      </c>
      <c r="B797" s="419"/>
      <c r="C797" s="422"/>
      <c r="D797" s="197" t="s">
        <v>426</v>
      </c>
      <c r="E797" s="247">
        <v>0</v>
      </c>
      <c r="F797" s="248">
        <v>0</v>
      </c>
      <c r="G797" s="248">
        <v>0</v>
      </c>
      <c r="H797" s="273">
        <v>0</v>
      </c>
      <c r="I797" s="274">
        <v>0</v>
      </c>
    </row>
    <row r="798" spans="1:9" x14ac:dyDescent="0.3">
      <c r="A798" s="199" t="e">
        <f>IF(AND(E795&lt;&gt;"", A793&lt;&gt;""), A793+1, "")</f>
        <v>#REF!</v>
      </c>
      <c r="B798" s="419"/>
      <c r="C798" s="422"/>
      <c r="D798" s="197" t="s">
        <v>424</v>
      </c>
      <c r="E798" s="247">
        <v>0</v>
      </c>
      <c r="F798" s="248">
        <v>0</v>
      </c>
      <c r="G798" s="248">
        <v>0</v>
      </c>
      <c r="H798" s="273">
        <v>0</v>
      </c>
      <c r="I798" s="274">
        <v>0</v>
      </c>
    </row>
    <row r="799" spans="1:9" ht="15.75" customHeight="1" thickBot="1" x14ac:dyDescent="0.35">
      <c r="A799" s="199" t="e">
        <f>IF(AND(E795&lt;&gt;"", A794&lt;&gt;""), A794+1, "")</f>
        <v>#REF!</v>
      </c>
      <c r="B799" s="420"/>
      <c r="C799" s="404"/>
      <c r="D799" s="198" t="s">
        <v>450</v>
      </c>
      <c r="E799" s="251">
        <v>0</v>
      </c>
      <c r="F799" s="252">
        <v>0</v>
      </c>
      <c r="G799" s="252">
        <v>0</v>
      </c>
      <c r="H799" s="275">
        <v>0</v>
      </c>
      <c r="I799" s="276">
        <v>0</v>
      </c>
    </row>
    <row r="800" spans="1:9" x14ac:dyDescent="0.3">
      <c r="A800" s="199" t="e">
        <f>IF(AND(E800&lt;&gt;"", A795&lt;&gt;""), A795+1, "")</f>
        <v>#REF!</v>
      </c>
      <c r="B800" s="418">
        <v>46408</v>
      </c>
      <c r="C800" s="421">
        <f>B800</f>
        <v>46408</v>
      </c>
      <c r="D800" s="196" t="s">
        <v>418</v>
      </c>
      <c r="E800" s="243">
        <v>0</v>
      </c>
      <c r="F800" s="244">
        <v>0</v>
      </c>
      <c r="G800" s="244">
        <v>0</v>
      </c>
      <c r="H800" s="271">
        <v>0</v>
      </c>
      <c r="I800" s="272">
        <v>0</v>
      </c>
    </row>
    <row r="801" spans="1:9" x14ac:dyDescent="0.3">
      <c r="A801" s="199" t="e">
        <f>IF(AND(E800&lt;&gt;"", A796&lt;&gt;""), A796+1, "")</f>
        <v>#REF!</v>
      </c>
      <c r="B801" s="419"/>
      <c r="C801" s="422"/>
      <c r="D801" s="197" t="s">
        <v>420</v>
      </c>
      <c r="E801" s="247">
        <v>0</v>
      </c>
      <c r="F801" s="248">
        <v>0</v>
      </c>
      <c r="G801" s="248">
        <v>0</v>
      </c>
      <c r="H801" s="273">
        <v>0</v>
      </c>
      <c r="I801" s="274">
        <v>0</v>
      </c>
    </row>
    <row r="802" spans="1:9" x14ac:dyDescent="0.3">
      <c r="A802" s="199" t="e">
        <f>IF(AND(E800&lt;&gt;"", A797&lt;&gt;""), A797+1, "")</f>
        <v>#REF!</v>
      </c>
      <c r="B802" s="419"/>
      <c r="C802" s="422"/>
      <c r="D802" s="197" t="s">
        <v>426</v>
      </c>
      <c r="E802" s="247">
        <v>0</v>
      </c>
      <c r="F802" s="248">
        <v>0</v>
      </c>
      <c r="G802" s="248">
        <v>0</v>
      </c>
      <c r="H802" s="273">
        <v>0</v>
      </c>
      <c r="I802" s="274">
        <v>0</v>
      </c>
    </row>
    <row r="803" spans="1:9" x14ac:dyDescent="0.3">
      <c r="A803" s="199" t="e">
        <f>IF(AND(E800&lt;&gt;"", A798&lt;&gt;""), A798+1, "")</f>
        <v>#REF!</v>
      </c>
      <c r="B803" s="419"/>
      <c r="C803" s="422"/>
      <c r="D803" s="197" t="s">
        <v>424</v>
      </c>
      <c r="E803" s="247">
        <v>0</v>
      </c>
      <c r="F803" s="248">
        <v>0</v>
      </c>
      <c r="G803" s="248">
        <v>0</v>
      </c>
      <c r="H803" s="273">
        <v>0</v>
      </c>
      <c r="I803" s="274">
        <v>0</v>
      </c>
    </row>
    <row r="804" spans="1:9" ht="15.75" customHeight="1" thickBot="1" x14ac:dyDescent="0.35">
      <c r="A804" s="199" t="e">
        <f>IF(AND(E800&lt;&gt;"", A799&lt;&gt;""), A799+1, "")</f>
        <v>#REF!</v>
      </c>
      <c r="B804" s="420"/>
      <c r="C804" s="404"/>
      <c r="D804" s="198" t="s">
        <v>450</v>
      </c>
      <c r="E804" s="251">
        <v>0</v>
      </c>
      <c r="F804" s="252">
        <v>0</v>
      </c>
      <c r="G804" s="252">
        <v>0</v>
      </c>
      <c r="H804" s="275">
        <v>0</v>
      </c>
      <c r="I804" s="276">
        <v>0</v>
      </c>
    </row>
    <row r="805" spans="1:9" x14ac:dyDescent="0.3">
      <c r="A805" s="199" t="e">
        <f>IF(AND(E805&lt;&gt;"", A800&lt;&gt;""), A800+1, "")</f>
        <v>#REF!</v>
      </c>
      <c r="B805" s="418">
        <v>46409</v>
      </c>
      <c r="C805" s="421">
        <f>B805</f>
        <v>46409</v>
      </c>
      <c r="D805" s="196" t="s">
        <v>418</v>
      </c>
      <c r="E805" s="243">
        <v>0</v>
      </c>
      <c r="F805" s="244">
        <v>0</v>
      </c>
      <c r="G805" s="244">
        <v>0</v>
      </c>
      <c r="H805" s="271">
        <v>0</v>
      </c>
      <c r="I805" s="272">
        <v>0</v>
      </c>
    </row>
    <row r="806" spans="1:9" x14ac:dyDescent="0.3">
      <c r="A806" s="199" t="e">
        <f>IF(AND(E805&lt;&gt;"", A801&lt;&gt;""), A801+1, "")</f>
        <v>#REF!</v>
      </c>
      <c r="B806" s="419"/>
      <c r="C806" s="422"/>
      <c r="D806" s="197" t="s">
        <v>420</v>
      </c>
      <c r="E806" s="247">
        <v>0</v>
      </c>
      <c r="F806" s="248">
        <v>0</v>
      </c>
      <c r="G806" s="248">
        <v>0</v>
      </c>
      <c r="H806" s="273">
        <v>0</v>
      </c>
      <c r="I806" s="274">
        <v>0</v>
      </c>
    </row>
    <row r="807" spans="1:9" x14ac:dyDescent="0.3">
      <c r="A807" s="199" t="e">
        <f>IF(AND(E805&lt;&gt;"", A802&lt;&gt;""), A802+1, "")</f>
        <v>#REF!</v>
      </c>
      <c r="B807" s="419"/>
      <c r="C807" s="422"/>
      <c r="D807" s="197" t="s">
        <v>426</v>
      </c>
      <c r="E807" s="247">
        <v>0</v>
      </c>
      <c r="F807" s="248">
        <v>0</v>
      </c>
      <c r="G807" s="248">
        <v>0</v>
      </c>
      <c r="H807" s="273">
        <v>0</v>
      </c>
      <c r="I807" s="274">
        <v>0</v>
      </c>
    </row>
    <row r="808" spans="1:9" x14ac:dyDescent="0.3">
      <c r="A808" s="199" t="e">
        <f>IF(AND(E805&lt;&gt;"", A803&lt;&gt;""), A803+1, "")</f>
        <v>#REF!</v>
      </c>
      <c r="B808" s="419"/>
      <c r="C808" s="422"/>
      <c r="D808" s="197" t="s">
        <v>424</v>
      </c>
      <c r="E808" s="247">
        <v>0</v>
      </c>
      <c r="F808" s="248">
        <v>0</v>
      </c>
      <c r="G808" s="248">
        <v>0</v>
      </c>
      <c r="H808" s="273">
        <v>0</v>
      </c>
      <c r="I808" s="274">
        <v>0</v>
      </c>
    </row>
    <row r="809" spans="1:9" ht="15.75" customHeight="1" thickBot="1" x14ac:dyDescent="0.35">
      <c r="A809" s="199" t="e">
        <f>IF(AND(E805&lt;&gt;"", A804&lt;&gt;""), A804+1, "")</f>
        <v>#REF!</v>
      </c>
      <c r="B809" s="420"/>
      <c r="C809" s="404"/>
      <c r="D809" s="198" t="s">
        <v>450</v>
      </c>
      <c r="E809" s="251">
        <v>0</v>
      </c>
      <c r="F809" s="252">
        <v>0</v>
      </c>
      <c r="G809" s="252">
        <v>0</v>
      </c>
      <c r="H809" s="275">
        <v>0</v>
      </c>
      <c r="I809" s="276">
        <v>0</v>
      </c>
    </row>
    <row r="810" spans="1:9" x14ac:dyDescent="0.3">
      <c r="A810" s="199" t="e">
        <f>IF(AND(E810&lt;&gt;"", A805&lt;&gt;""), A805+1, "")</f>
        <v>#REF!</v>
      </c>
      <c r="B810" s="418">
        <v>46410</v>
      </c>
      <c r="C810" s="421">
        <f>B810</f>
        <v>46410</v>
      </c>
      <c r="D810" s="196" t="s">
        <v>418</v>
      </c>
      <c r="E810" s="243">
        <v>0</v>
      </c>
      <c r="F810" s="244">
        <v>0</v>
      </c>
      <c r="G810" s="244">
        <v>0</v>
      </c>
      <c r="H810" s="271">
        <v>0</v>
      </c>
      <c r="I810" s="272">
        <v>0</v>
      </c>
    </row>
    <row r="811" spans="1:9" x14ac:dyDescent="0.3">
      <c r="A811" s="199" t="e">
        <f>IF(AND(E810&lt;&gt;"", A806&lt;&gt;""), A806+1, "")</f>
        <v>#REF!</v>
      </c>
      <c r="B811" s="419"/>
      <c r="C811" s="422"/>
      <c r="D811" s="197" t="s">
        <v>420</v>
      </c>
      <c r="E811" s="247">
        <v>0</v>
      </c>
      <c r="F811" s="248">
        <v>0</v>
      </c>
      <c r="G811" s="248">
        <v>0</v>
      </c>
      <c r="H811" s="273">
        <v>0</v>
      </c>
      <c r="I811" s="274">
        <v>0</v>
      </c>
    </row>
    <row r="812" spans="1:9" x14ac:dyDescent="0.3">
      <c r="A812" s="199" t="e">
        <f>IF(AND(E810&lt;&gt;"", A807&lt;&gt;""), A807+1, "")</f>
        <v>#REF!</v>
      </c>
      <c r="B812" s="419"/>
      <c r="C812" s="422"/>
      <c r="D812" s="197" t="s">
        <v>426</v>
      </c>
      <c r="E812" s="247">
        <v>0</v>
      </c>
      <c r="F812" s="248">
        <v>0</v>
      </c>
      <c r="G812" s="248">
        <v>0</v>
      </c>
      <c r="H812" s="273">
        <v>0</v>
      </c>
      <c r="I812" s="274">
        <v>0</v>
      </c>
    </row>
    <row r="813" spans="1:9" x14ac:dyDescent="0.3">
      <c r="A813" s="199" t="e">
        <f>IF(AND(E810&lt;&gt;"", A808&lt;&gt;""), A808+1, "")</f>
        <v>#REF!</v>
      </c>
      <c r="B813" s="419"/>
      <c r="C813" s="422"/>
      <c r="D813" s="197" t="s">
        <v>424</v>
      </c>
      <c r="E813" s="247">
        <v>0</v>
      </c>
      <c r="F813" s="248">
        <v>0</v>
      </c>
      <c r="G813" s="248">
        <v>0</v>
      </c>
      <c r="H813" s="273">
        <v>0</v>
      </c>
      <c r="I813" s="274">
        <v>0</v>
      </c>
    </row>
    <row r="814" spans="1:9" ht="15.75" customHeight="1" thickBot="1" x14ac:dyDescent="0.35">
      <c r="A814" s="199" t="e">
        <f>IF(AND(E810&lt;&gt;"", A809&lt;&gt;""), A809+1, "")</f>
        <v>#REF!</v>
      </c>
      <c r="B814" s="420"/>
      <c r="C814" s="404"/>
      <c r="D814" s="198" t="s">
        <v>450</v>
      </c>
      <c r="E814" s="251">
        <v>0</v>
      </c>
      <c r="F814" s="252">
        <v>0</v>
      </c>
      <c r="G814" s="252">
        <v>0</v>
      </c>
      <c r="H814" s="275">
        <v>0</v>
      </c>
      <c r="I814" s="276">
        <v>0</v>
      </c>
    </row>
    <row r="815" spans="1:9" x14ac:dyDescent="0.3">
      <c r="A815" s="199" t="e">
        <f>IF(AND(E815&lt;&gt;"", A810&lt;&gt;""), A810+1, "")</f>
        <v>#REF!</v>
      </c>
      <c r="B815" s="418">
        <v>46411</v>
      </c>
      <c r="C815" s="421">
        <f>B815</f>
        <v>46411</v>
      </c>
      <c r="D815" s="196" t="s">
        <v>418</v>
      </c>
      <c r="E815" s="243">
        <v>0</v>
      </c>
      <c r="F815" s="244">
        <v>0</v>
      </c>
      <c r="G815" s="244">
        <v>0</v>
      </c>
      <c r="H815" s="271">
        <v>0</v>
      </c>
      <c r="I815" s="272">
        <v>0</v>
      </c>
    </row>
    <row r="816" spans="1:9" x14ac:dyDescent="0.3">
      <c r="A816" s="199" t="e">
        <f>IF(AND(E815&lt;&gt;"", A811&lt;&gt;""), A811+1, "")</f>
        <v>#REF!</v>
      </c>
      <c r="B816" s="419"/>
      <c r="C816" s="422"/>
      <c r="D816" s="197" t="s">
        <v>420</v>
      </c>
      <c r="E816" s="247">
        <v>0</v>
      </c>
      <c r="F816" s="248">
        <v>0</v>
      </c>
      <c r="G816" s="248">
        <v>0</v>
      </c>
      <c r="H816" s="273">
        <v>0</v>
      </c>
      <c r="I816" s="274">
        <v>0</v>
      </c>
    </row>
    <row r="817" spans="1:9" x14ac:dyDescent="0.3">
      <c r="A817" s="199" t="e">
        <f>IF(AND(E815&lt;&gt;"", A812&lt;&gt;""), A812+1, "")</f>
        <v>#REF!</v>
      </c>
      <c r="B817" s="419"/>
      <c r="C817" s="422"/>
      <c r="D817" s="197" t="s">
        <v>426</v>
      </c>
      <c r="E817" s="247">
        <v>0</v>
      </c>
      <c r="F817" s="248">
        <v>0</v>
      </c>
      <c r="G817" s="248">
        <v>0</v>
      </c>
      <c r="H817" s="273">
        <v>0</v>
      </c>
      <c r="I817" s="274">
        <v>0</v>
      </c>
    </row>
    <row r="818" spans="1:9" x14ac:dyDescent="0.3">
      <c r="A818" s="199" t="e">
        <f>IF(AND(E815&lt;&gt;"", A813&lt;&gt;""), A813+1, "")</f>
        <v>#REF!</v>
      </c>
      <c r="B818" s="419"/>
      <c r="C818" s="422"/>
      <c r="D818" s="197" t="s">
        <v>424</v>
      </c>
      <c r="E818" s="247">
        <v>0</v>
      </c>
      <c r="F818" s="248">
        <v>0</v>
      </c>
      <c r="G818" s="248">
        <v>0</v>
      </c>
      <c r="H818" s="273">
        <v>0</v>
      </c>
      <c r="I818" s="274">
        <v>0</v>
      </c>
    </row>
    <row r="819" spans="1:9" ht="15.75" customHeight="1" thickBot="1" x14ac:dyDescent="0.35">
      <c r="A819" s="199" t="e">
        <f>IF(AND(E815&lt;&gt;"", A814&lt;&gt;""), A814+1, "")</f>
        <v>#REF!</v>
      </c>
      <c r="B819" s="420"/>
      <c r="C819" s="404"/>
      <c r="D819" s="198" t="s">
        <v>450</v>
      </c>
      <c r="E819" s="251">
        <v>0</v>
      </c>
      <c r="F819" s="252">
        <v>0</v>
      </c>
      <c r="G819" s="252">
        <v>0</v>
      </c>
      <c r="H819" s="275">
        <v>0</v>
      </c>
      <c r="I819" s="276">
        <v>0</v>
      </c>
    </row>
    <row r="820" spans="1:9" x14ac:dyDescent="0.3">
      <c r="A820" s="199" t="e">
        <f>IF(AND(E820&lt;&gt;"", A815&lt;&gt;""), A815+1, "")</f>
        <v>#REF!</v>
      </c>
      <c r="B820" s="418">
        <v>46412</v>
      </c>
      <c r="C820" s="421">
        <f>B820</f>
        <v>46412</v>
      </c>
      <c r="D820" s="196" t="s">
        <v>418</v>
      </c>
      <c r="E820" s="243">
        <v>0</v>
      </c>
      <c r="F820" s="244">
        <v>0</v>
      </c>
      <c r="G820" s="244">
        <v>0</v>
      </c>
      <c r="H820" s="271">
        <v>0</v>
      </c>
      <c r="I820" s="272">
        <v>0</v>
      </c>
    </row>
    <row r="821" spans="1:9" x14ac:dyDescent="0.3">
      <c r="A821" s="199" t="e">
        <f>IF(AND(E820&lt;&gt;"", A816&lt;&gt;""), A816+1, "")</f>
        <v>#REF!</v>
      </c>
      <c r="B821" s="419"/>
      <c r="C821" s="422"/>
      <c r="D821" s="197" t="s">
        <v>420</v>
      </c>
      <c r="E821" s="247">
        <v>0</v>
      </c>
      <c r="F821" s="248">
        <v>0</v>
      </c>
      <c r="G821" s="248">
        <v>0</v>
      </c>
      <c r="H821" s="273">
        <v>0</v>
      </c>
      <c r="I821" s="274">
        <v>0</v>
      </c>
    </row>
    <row r="822" spans="1:9" x14ac:dyDescent="0.3">
      <c r="A822" s="199" t="e">
        <f>IF(AND(E820&lt;&gt;"", A817&lt;&gt;""), A817+1, "")</f>
        <v>#REF!</v>
      </c>
      <c r="B822" s="419"/>
      <c r="C822" s="422"/>
      <c r="D822" s="197" t="s">
        <v>426</v>
      </c>
      <c r="E822" s="247">
        <v>0</v>
      </c>
      <c r="F822" s="248">
        <v>0</v>
      </c>
      <c r="G822" s="248">
        <v>0</v>
      </c>
      <c r="H822" s="273">
        <v>0</v>
      </c>
      <c r="I822" s="274">
        <v>0</v>
      </c>
    </row>
    <row r="823" spans="1:9" x14ac:dyDescent="0.3">
      <c r="A823" s="199" t="e">
        <f>IF(AND(E820&lt;&gt;"", A818&lt;&gt;""), A818+1, "")</f>
        <v>#REF!</v>
      </c>
      <c r="B823" s="419"/>
      <c r="C823" s="422"/>
      <c r="D823" s="197" t="s">
        <v>424</v>
      </c>
      <c r="E823" s="247">
        <v>0</v>
      </c>
      <c r="F823" s="248">
        <v>0</v>
      </c>
      <c r="G823" s="248">
        <v>0</v>
      </c>
      <c r="H823" s="273">
        <v>0</v>
      </c>
      <c r="I823" s="274">
        <v>0</v>
      </c>
    </row>
    <row r="824" spans="1:9" ht="15.75" customHeight="1" thickBot="1" x14ac:dyDescent="0.35">
      <c r="A824" s="199" t="e">
        <f>IF(AND(E820&lt;&gt;"", A819&lt;&gt;""), A819+1, "")</f>
        <v>#REF!</v>
      </c>
      <c r="B824" s="420"/>
      <c r="C824" s="404"/>
      <c r="D824" s="198" t="s">
        <v>450</v>
      </c>
      <c r="E824" s="251">
        <v>0</v>
      </c>
      <c r="F824" s="252">
        <v>0</v>
      </c>
      <c r="G824" s="252">
        <v>0</v>
      </c>
      <c r="H824" s="275">
        <v>0</v>
      </c>
      <c r="I824" s="276">
        <v>0</v>
      </c>
    </row>
    <row r="825" spans="1:9" x14ac:dyDescent="0.3">
      <c r="A825" s="199" t="e">
        <f>IF(AND(E825&lt;&gt;"", A820&lt;&gt;""), A820+1, "")</f>
        <v>#REF!</v>
      </c>
      <c r="B825" s="418">
        <v>46413</v>
      </c>
      <c r="C825" s="421">
        <f>B825</f>
        <v>46413</v>
      </c>
      <c r="D825" s="196" t="s">
        <v>418</v>
      </c>
      <c r="E825" s="243">
        <v>0</v>
      </c>
      <c r="F825" s="244">
        <v>0</v>
      </c>
      <c r="G825" s="244">
        <v>0</v>
      </c>
      <c r="H825" s="271">
        <v>0</v>
      </c>
      <c r="I825" s="272">
        <v>0</v>
      </c>
    </row>
    <row r="826" spans="1:9" x14ac:dyDescent="0.3">
      <c r="A826" s="199" t="e">
        <f>IF(AND(E825&lt;&gt;"", A821&lt;&gt;""), A821+1, "")</f>
        <v>#REF!</v>
      </c>
      <c r="B826" s="419"/>
      <c r="C826" s="422"/>
      <c r="D826" s="197" t="s">
        <v>420</v>
      </c>
      <c r="E826" s="247">
        <v>0</v>
      </c>
      <c r="F826" s="248">
        <v>0</v>
      </c>
      <c r="G826" s="248">
        <v>0</v>
      </c>
      <c r="H826" s="273">
        <v>0</v>
      </c>
      <c r="I826" s="274">
        <v>0</v>
      </c>
    </row>
    <row r="827" spans="1:9" x14ac:dyDescent="0.3">
      <c r="A827" s="199" t="e">
        <f>IF(AND(E825&lt;&gt;"", A822&lt;&gt;""), A822+1, "")</f>
        <v>#REF!</v>
      </c>
      <c r="B827" s="419"/>
      <c r="C827" s="422"/>
      <c r="D827" s="197" t="s">
        <v>426</v>
      </c>
      <c r="E827" s="247">
        <v>0</v>
      </c>
      <c r="F827" s="248">
        <v>0</v>
      </c>
      <c r="G827" s="248">
        <v>0</v>
      </c>
      <c r="H827" s="273">
        <v>0</v>
      </c>
      <c r="I827" s="274">
        <v>0</v>
      </c>
    </row>
    <row r="828" spans="1:9" x14ac:dyDescent="0.3">
      <c r="A828" s="199" t="e">
        <f>IF(AND(E825&lt;&gt;"", A823&lt;&gt;""), A823+1, "")</f>
        <v>#REF!</v>
      </c>
      <c r="B828" s="419"/>
      <c r="C828" s="422"/>
      <c r="D828" s="197" t="s">
        <v>424</v>
      </c>
      <c r="E828" s="247">
        <v>0</v>
      </c>
      <c r="F828" s="248">
        <v>0</v>
      </c>
      <c r="G828" s="248">
        <v>0</v>
      </c>
      <c r="H828" s="273">
        <v>0</v>
      </c>
      <c r="I828" s="274">
        <v>0</v>
      </c>
    </row>
    <row r="829" spans="1:9" ht="15.75" customHeight="1" thickBot="1" x14ac:dyDescent="0.35">
      <c r="A829" s="199" t="e">
        <f>IF(AND(E825&lt;&gt;"", A824&lt;&gt;""), A824+1, "")</f>
        <v>#REF!</v>
      </c>
      <c r="B829" s="420"/>
      <c r="C829" s="404"/>
      <c r="D829" s="198" t="s">
        <v>450</v>
      </c>
      <c r="E829" s="251">
        <v>0</v>
      </c>
      <c r="F829" s="252">
        <v>0</v>
      </c>
      <c r="G829" s="252">
        <v>0</v>
      </c>
      <c r="H829" s="275">
        <v>0</v>
      </c>
      <c r="I829" s="276">
        <v>0</v>
      </c>
    </row>
    <row r="830" spans="1:9" x14ac:dyDescent="0.3">
      <c r="A830" s="199" t="e">
        <f>IF(AND(E830&lt;&gt;"", A825&lt;&gt;""), A825+1, "")</f>
        <v>#REF!</v>
      </c>
      <c r="B830" s="418">
        <v>46414</v>
      </c>
      <c r="C830" s="421">
        <f>B830</f>
        <v>46414</v>
      </c>
      <c r="D830" s="196" t="s">
        <v>418</v>
      </c>
      <c r="E830" s="243">
        <v>0</v>
      </c>
      <c r="F830" s="244">
        <v>0</v>
      </c>
      <c r="G830" s="244">
        <v>0</v>
      </c>
      <c r="H830" s="271">
        <v>0</v>
      </c>
      <c r="I830" s="272">
        <v>0</v>
      </c>
    </row>
    <row r="831" spans="1:9" x14ac:dyDescent="0.3">
      <c r="A831" s="199" t="e">
        <f>IF(AND(E830&lt;&gt;"", A826&lt;&gt;""), A826+1, "")</f>
        <v>#REF!</v>
      </c>
      <c r="B831" s="419"/>
      <c r="C831" s="422"/>
      <c r="D831" s="197" t="s">
        <v>420</v>
      </c>
      <c r="E831" s="247">
        <v>0</v>
      </c>
      <c r="F831" s="248">
        <v>0</v>
      </c>
      <c r="G831" s="248">
        <v>0</v>
      </c>
      <c r="H831" s="273">
        <v>0</v>
      </c>
      <c r="I831" s="274">
        <v>0</v>
      </c>
    </row>
    <row r="832" spans="1:9" x14ac:dyDescent="0.3">
      <c r="A832" s="199" t="e">
        <f>IF(AND(E830&lt;&gt;"", A827&lt;&gt;""), A827+1, "")</f>
        <v>#REF!</v>
      </c>
      <c r="B832" s="419"/>
      <c r="C832" s="422"/>
      <c r="D832" s="197" t="s">
        <v>426</v>
      </c>
      <c r="E832" s="247">
        <v>0</v>
      </c>
      <c r="F832" s="248">
        <v>0</v>
      </c>
      <c r="G832" s="248">
        <v>0</v>
      </c>
      <c r="H832" s="273">
        <v>0</v>
      </c>
      <c r="I832" s="274">
        <v>0</v>
      </c>
    </row>
    <row r="833" spans="1:9" x14ac:dyDescent="0.3">
      <c r="A833" s="199" t="e">
        <f>IF(AND(E830&lt;&gt;"", A828&lt;&gt;""), A828+1, "")</f>
        <v>#REF!</v>
      </c>
      <c r="B833" s="419"/>
      <c r="C833" s="422"/>
      <c r="D833" s="197" t="s">
        <v>424</v>
      </c>
      <c r="E833" s="247">
        <v>0</v>
      </c>
      <c r="F833" s="248">
        <v>0</v>
      </c>
      <c r="G833" s="248">
        <v>0</v>
      </c>
      <c r="H833" s="273">
        <v>0</v>
      </c>
      <c r="I833" s="274">
        <v>0</v>
      </c>
    </row>
    <row r="834" spans="1:9" ht="15.75" customHeight="1" thickBot="1" x14ac:dyDescent="0.35">
      <c r="A834" s="199" t="e">
        <f>IF(AND(E830&lt;&gt;"", A829&lt;&gt;""), A829+1, "")</f>
        <v>#REF!</v>
      </c>
      <c r="B834" s="420"/>
      <c r="C834" s="404"/>
      <c r="D834" s="198" t="s">
        <v>450</v>
      </c>
      <c r="E834" s="251">
        <v>0</v>
      </c>
      <c r="F834" s="252">
        <v>0</v>
      </c>
      <c r="G834" s="252">
        <v>0</v>
      </c>
      <c r="H834" s="275">
        <v>0</v>
      </c>
      <c r="I834" s="276">
        <v>0</v>
      </c>
    </row>
    <row r="835" spans="1:9" x14ac:dyDescent="0.3">
      <c r="A835" s="199" t="e">
        <f>IF(AND(E835&lt;&gt;"", A830&lt;&gt;""), A830+1, "")</f>
        <v>#REF!</v>
      </c>
      <c r="B835" s="418">
        <v>46415</v>
      </c>
      <c r="C835" s="421">
        <f>B835</f>
        <v>46415</v>
      </c>
      <c r="D835" s="196" t="s">
        <v>418</v>
      </c>
      <c r="E835" s="243">
        <v>0</v>
      </c>
      <c r="F835" s="244">
        <v>0</v>
      </c>
      <c r="G835" s="244">
        <v>0</v>
      </c>
      <c r="H835" s="271">
        <v>0</v>
      </c>
      <c r="I835" s="272">
        <v>0</v>
      </c>
    </row>
    <row r="836" spans="1:9" x14ac:dyDescent="0.3">
      <c r="A836" s="199" t="e">
        <f>IF(AND(E835&lt;&gt;"", A831&lt;&gt;""), A831+1, "")</f>
        <v>#REF!</v>
      </c>
      <c r="B836" s="419"/>
      <c r="C836" s="422"/>
      <c r="D836" s="197" t="s">
        <v>420</v>
      </c>
      <c r="E836" s="247">
        <v>0</v>
      </c>
      <c r="F836" s="248">
        <v>0</v>
      </c>
      <c r="G836" s="248">
        <v>0</v>
      </c>
      <c r="H836" s="273">
        <v>0</v>
      </c>
      <c r="I836" s="274">
        <v>0</v>
      </c>
    </row>
    <row r="837" spans="1:9" x14ac:dyDescent="0.3">
      <c r="A837" s="199" t="e">
        <f>IF(AND(E835&lt;&gt;"", A832&lt;&gt;""), A832+1, "")</f>
        <v>#REF!</v>
      </c>
      <c r="B837" s="419"/>
      <c r="C837" s="422"/>
      <c r="D837" s="197" t="s">
        <v>426</v>
      </c>
      <c r="E837" s="247">
        <v>0</v>
      </c>
      <c r="F837" s="248">
        <v>0</v>
      </c>
      <c r="G837" s="248">
        <v>0</v>
      </c>
      <c r="H837" s="273">
        <v>0</v>
      </c>
      <c r="I837" s="274">
        <v>0</v>
      </c>
    </row>
    <row r="838" spans="1:9" x14ac:dyDescent="0.3">
      <c r="A838" s="199" t="e">
        <f>IF(AND(E835&lt;&gt;"", A833&lt;&gt;""), A833+1, "")</f>
        <v>#REF!</v>
      </c>
      <c r="B838" s="419"/>
      <c r="C838" s="422"/>
      <c r="D838" s="197" t="s">
        <v>424</v>
      </c>
      <c r="E838" s="247">
        <v>0</v>
      </c>
      <c r="F838" s="248">
        <v>0</v>
      </c>
      <c r="G838" s="248">
        <v>0</v>
      </c>
      <c r="H838" s="273">
        <v>0</v>
      </c>
      <c r="I838" s="274">
        <v>0</v>
      </c>
    </row>
    <row r="839" spans="1:9" ht="15.75" customHeight="1" thickBot="1" x14ac:dyDescent="0.35">
      <c r="A839" s="199" t="e">
        <f>IF(AND(E835&lt;&gt;"", A834&lt;&gt;""), A834+1, "")</f>
        <v>#REF!</v>
      </c>
      <c r="B839" s="420"/>
      <c r="C839" s="404"/>
      <c r="D839" s="198" t="s">
        <v>450</v>
      </c>
      <c r="E839" s="251">
        <v>0</v>
      </c>
      <c r="F839" s="252">
        <v>0</v>
      </c>
      <c r="G839" s="252">
        <v>0</v>
      </c>
      <c r="H839" s="275">
        <v>0</v>
      </c>
      <c r="I839" s="276">
        <v>0</v>
      </c>
    </row>
    <row r="840" spans="1:9" x14ac:dyDescent="0.3">
      <c r="A840" s="199" t="e">
        <f>IF(AND(E840&lt;&gt;"", A835&lt;&gt;""), A835+1, "")</f>
        <v>#REF!</v>
      </c>
      <c r="B840" s="418">
        <v>46416</v>
      </c>
      <c r="C840" s="421">
        <f>B840</f>
        <v>46416</v>
      </c>
      <c r="D840" s="196" t="s">
        <v>418</v>
      </c>
      <c r="E840" s="243">
        <v>0</v>
      </c>
      <c r="F840" s="244">
        <v>0</v>
      </c>
      <c r="G840" s="244">
        <v>0</v>
      </c>
      <c r="H840" s="271">
        <v>0</v>
      </c>
      <c r="I840" s="272">
        <v>0</v>
      </c>
    </row>
    <row r="841" spans="1:9" x14ac:dyDescent="0.3">
      <c r="A841" s="199" t="e">
        <f>IF(AND(E840&lt;&gt;"", A836&lt;&gt;""), A836+1, "")</f>
        <v>#REF!</v>
      </c>
      <c r="B841" s="419"/>
      <c r="C841" s="422"/>
      <c r="D841" s="197" t="s">
        <v>420</v>
      </c>
      <c r="E841" s="247">
        <v>0</v>
      </c>
      <c r="F841" s="248">
        <v>0</v>
      </c>
      <c r="G841" s="248">
        <v>0</v>
      </c>
      <c r="H841" s="273">
        <v>0</v>
      </c>
      <c r="I841" s="274">
        <v>0</v>
      </c>
    </row>
    <row r="842" spans="1:9" x14ac:dyDescent="0.3">
      <c r="A842" s="199" t="e">
        <f>IF(AND(E840&lt;&gt;"", A837&lt;&gt;""), A837+1, "")</f>
        <v>#REF!</v>
      </c>
      <c r="B842" s="419"/>
      <c r="C842" s="422"/>
      <c r="D842" s="197" t="s">
        <v>426</v>
      </c>
      <c r="E842" s="247">
        <v>0</v>
      </c>
      <c r="F842" s="248">
        <v>0</v>
      </c>
      <c r="G842" s="248">
        <v>0</v>
      </c>
      <c r="H842" s="273">
        <v>0</v>
      </c>
      <c r="I842" s="274">
        <v>0</v>
      </c>
    </row>
    <row r="843" spans="1:9" x14ac:dyDescent="0.3">
      <c r="A843" s="199" t="e">
        <f>IF(AND(E840&lt;&gt;"", A838&lt;&gt;""), A838+1, "")</f>
        <v>#REF!</v>
      </c>
      <c r="B843" s="419"/>
      <c r="C843" s="422"/>
      <c r="D843" s="197" t="s">
        <v>424</v>
      </c>
      <c r="E843" s="247">
        <v>0</v>
      </c>
      <c r="F843" s="248">
        <v>0</v>
      </c>
      <c r="G843" s="248">
        <v>0</v>
      </c>
      <c r="H843" s="273">
        <v>0</v>
      </c>
      <c r="I843" s="274">
        <v>0</v>
      </c>
    </row>
    <row r="844" spans="1:9" ht="15.75" customHeight="1" thickBot="1" x14ac:dyDescent="0.35">
      <c r="A844" s="199" t="e">
        <f>IF(AND(E840&lt;&gt;"", A839&lt;&gt;""), A839+1, "")</f>
        <v>#REF!</v>
      </c>
      <c r="B844" s="420"/>
      <c r="C844" s="404"/>
      <c r="D844" s="198" t="s">
        <v>450</v>
      </c>
      <c r="E844" s="251">
        <v>0</v>
      </c>
      <c r="F844" s="252">
        <v>0</v>
      </c>
      <c r="G844" s="252">
        <v>0</v>
      </c>
      <c r="H844" s="275">
        <v>0</v>
      </c>
      <c r="I844" s="276">
        <v>0</v>
      </c>
    </row>
    <row r="845" spans="1:9" x14ac:dyDescent="0.3">
      <c r="A845" s="199" t="e">
        <f>IF(AND(E845&lt;&gt;"", A840&lt;&gt;""), A840+1, "")</f>
        <v>#REF!</v>
      </c>
      <c r="B845" s="418">
        <v>46417</v>
      </c>
      <c r="C845" s="421">
        <f>B845</f>
        <v>46417</v>
      </c>
      <c r="D845" s="196" t="s">
        <v>418</v>
      </c>
      <c r="E845" s="243">
        <v>0</v>
      </c>
      <c r="F845" s="244">
        <v>0</v>
      </c>
      <c r="G845" s="244">
        <v>0</v>
      </c>
      <c r="H845" s="271">
        <v>0</v>
      </c>
      <c r="I845" s="272">
        <v>0</v>
      </c>
    </row>
    <row r="846" spans="1:9" x14ac:dyDescent="0.3">
      <c r="A846" s="199" t="e">
        <f>IF(AND(E845&lt;&gt;"", A841&lt;&gt;""), A841+1, "")</f>
        <v>#REF!</v>
      </c>
      <c r="B846" s="419"/>
      <c r="C846" s="422"/>
      <c r="D846" s="197" t="s">
        <v>420</v>
      </c>
      <c r="E846" s="247">
        <v>0</v>
      </c>
      <c r="F846" s="248">
        <v>0</v>
      </c>
      <c r="G846" s="248">
        <v>0</v>
      </c>
      <c r="H846" s="273">
        <v>0</v>
      </c>
      <c r="I846" s="274">
        <v>0</v>
      </c>
    </row>
    <row r="847" spans="1:9" x14ac:dyDescent="0.3">
      <c r="A847" s="199" t="e">
        <f>IF(AND(E845&lt;&gt;"", A842&lt;&gt;""), A842+1, "")</f>
        <v>#REF!</v>
      </c>
      <c r="B847" s="419"/>
      <c r="C847" s="422"/>
      <c r="D847" s="197" t="s">
        <v>426</v>
      </c>
      <c r="E847" s="247">
        <v>0</v>
      </c>
      <c r="F847" s="248">
        <v>0</v>
      </c>
      <c r="G847" s="248">
        <v>0</v>
      </c>
      <c r="H847" s="273">
        <v>0</v>
      </c>
      <c r="I847" s="274">
        <v>0</v>
      </c>
    </row>
    <row r="848" spans="1:9" x14ac:dyDescent="0.3">
      <c r="A848" s="199" t="e">
        <f>IF(AND(E845&lt;&gt;"", A843&lt;&gt;""), A843+1, "")</f>
        <v>#REF!</v>
      </c>
      <c r="B848" s="419"/>
      <c r="C848" s="422"/>
      <c r="D848" s="197" t="s">
        <v>424</v>
      </c>
      <c r="E848" s="247">
        <v>0</v>
      </c>
      <c r="F848" s="248">
        <v>0</v>
      </c>
      <c r="G848" s="248">
        <v>0</v>
      </c>
      <c r="H848" s="273">
        <v>0</v>
      </c>
      <c r="I848" s="274">
        <v>0</v>
      </c>
    </row>
    <row r="849" spans="1:9" ht="15.75" customHeight="1" thickBot="1" x14ac:dyDescent="0.35">
      <c r="A849" s="199" t="e">
        <f>IF(AND(E845&lt;&gt;"", A844&lt;&gt;""), A844+1, "")</f>
        <v>#REF!</v>
      </c>
      <c r="B849" s="420"/>
      <c r="C849" s="404"/>
      <c r="D849" s="198" t="s">
        <v>450</v>
      </c>
      <c r="E849" s="251">
        <v>0</v>
      </c>
      <c r="F849" s="252">
        <v>0</v>
      </c>
      <c r="G849" s="252">
        <v>0</v>
      </c>
      <c r="H849" s="275">
        <v>0</v>
      </c>
      <c r="I849" s="276">
        <v>0</v>
      </c>
    </row>
    <row r="850" spans="1:9" x14ac:dyDescent="0.3">
      <c r="A850" s="199" t="e">
        <f>IF(AND(E850&lt;&gt;"", A845&lt;&gt;""), A845+1, "")</f>
        <v>#REF!</v>
      </c>
      <c r="B850" s="418">
        <v>46418</v>
      </c>
      <c r="C850" s="421">
        <f>B850</f>
        <v>46418</v>
      </c>
      <c r="D850" s="196" t="s">
        <v>418</v>
      </c>
      <c r="E850" s="243">
        <v>0</v>
      </c>
      <c r="F850" s="244">
        <v>0</v>
      </c>
      <c r="G850" s="244">
        <v>0</v>
      </c>
      <c r="H850" s="271">
        <v>0</v>
      </c>
      <c r="I850" s="272">
        <v>0</v>
      </c>
    </row>
    <row r="851" spans="1:9" x14ac:dyDescent="0.3">
      <c r="A851" s="199" t="e">
        <f>IF(AND(E850&lt;&gt;"", A846&lt;&gt;""), A846+1, "")</f>
        <v>#REF!</v>
      </c>
      <c r="B851" s="419"/>
      <c r="C851" s="422"/>
      <c r="D851" s="197" t="s">
        <v>420</v>
      </c>
      <c r="E851" s="247">
        <v>0</v>
      </c>
      <c r="F851" s="248">
        <v>0</v>
      </c>
      <c r="G851" s="248">
        <v>0</v>
      </c>
      <c r="H851" s="273">
        <v>0</v>
      </c>
      <c r="I851" s="274">
        <v>0</v>
      </c>
    </row>
    <row r="852" spans="1:9" x14ac:dyDescent="0.3">
      <c r="A852" s="199" t="e">
        <f>IF(AND(E850&lt;&gt;"", A847&lt;&gt;""), A847+1, "")</f>
        <v>#REF!</v>
      </c>
      <c r="B852" s="419"/>
      <c r="C852" s="422"/>
      <c r="D852" s="197" t="s">
        <v>426</v>
      </c>
      <c r="E852" s="247">
        <v>0</v>
      </c>
      <c r="F852" s="248">
        <v>0</v>
      </c>
      <c r="G852" s="248">
        <v>0</v>
      </c>
      <c r="H852" s="273">
        <v>0</v>
      </c>
      <c r="I852" s="274">
        <v>0</v>
      </c>
    </row>
    <row r="853" spans="1:9" x14ac:dyDescent="0.3">
      <c r="A853" s="199" t="e">
        <f>IF(AND(E850&lt;&gt;"", A848&lt;&gt;""), A848+1, "")</f>
        <v>#REF!</v>
      </c>
      <c r="B853" s="419"/>
      <c r="C853" s="422"/>
      <c r="D853" s="197" t="s">
        <v>424</v>
      </c>
      <c r="E853" s="247">
        <v>0</v>
      </c>
      <c r="F853" s="248">
        <v>0</v>
      </c>
      <c r="G853" s="248">
        <v>0</v>
      </c>
      <c r="H853" s="273">
        <v>0</v>
      </c>
      <c r="I853" s="274">
        <v>0</v>
      </c>
    </row>
    <row r="854" spans="1:9" ht="15.75" customHeight="1" thickBot="1" x14ac:dyDescent="0.35">
      <c r="A854" s="199" t="e">
        <f>IF(AND(E850&lt;&gt;"", A849&lt;&gt;""), A849+1, "")</f>
        <v>#REF!</v>
      </c>
      <c r="B854" s="420"/>
      <c r="C854" s="404"/>
      <c r="D854" s="198" t="s">
        <v>450</v>
      </c>
      <c r="E854" s="251">
        <v>0</v>
      </c>
      <c r="F854" s="252">
        <v>0</v>
      </c>
      <c r="G854" s="252">
        <v>0</v>
      </c>
      <c r="H854" s="275">
        <v>0</v>
      </c>
      <c r="I854" s="276">
        <v>0</v>
      </c>
    </row>
  </sheetData>
  <mergeCells count="343">
    <mergeCell ref="B2:I2"/>
    <mergeCell ref="B80:B84"/>
    <mergeCell ref="B645:B649"/>
    <mergeCell ref="B200:B204"/>
    <mergeCell ref="B305:B309"/>
    <mergeCell ref="C285:C289"/>
    <mergeCell ref="B500:B504"/>
    <mergeCell ref="C255:C259"/>
    <mergeCell ref="C230:C234"/>
    <mergeCell ref="C205:C209"/>
    <mergeCell ref="B50:B54"/>
    <mergeCell ref="B115:B119"/>
    <mergeCell ref="B75:B79"/>
    <mergeCell ref="C305:C309"/>
    <mergeCell ref="C445:C449"/>
    <mergeCell ref="B5:B9"/>
    <mergeCell ref="C145:C149"/>
    <mergeCell ref="C210:C214"/>
    <mergeCell ref="B100:B104"/>
    <mergeCell ref="C495:C499"/>
    <mergeCell ref="B400:B404"/>
    <mergeCell ref="C50:C54"/>
    <mergeCell ref="C115:C119"/>
    <mergeCell ref="C350:C354"/>
    <mergeCell ref="C70:C74"/>
    <mergeCell ref="B545:B549"/>
    <mergeCell ref="C635:C639"/>
    <mergeCell ref="C195:C199"/>
    <mergeCell ref="C170:C174"/>
    <mergeCell ref="B570:B574"/>
    <mergeCell ref="B125:B129"/>
    <mergeCell ref="B520:B524"/>
    <mergeCell ref="C80:C84"/>
    <mergeCell ref="B170:B174"/>
    <mergeCell ref="B605:B609"/>
    <mergeCell ref="C5:C9"/>
    <mergeCell ref="B195:B199"/>
    <mergeCell ref="C135:C139"/>
    <mergeCell ref="C10:C14"/>
    <mergeCell ref="B505:B509"/>
    <mergeCell ref="B470:B474"/>
    <mergeCell ref="B560:B564"/>
    <mergeCell ref="B655:B659"/>
    <mergeCell ref="B90:B94"/>
    <mergeCell ref="C45:C49"/>
    <mergeCell ref="C40:C44"/>
    <mergeCell ref="B565:B569"/>
    <mergeCell ref="B540:B544"/>
    <mergeCell ref="C440:C444"/>
    <mergeCell ref="B330:B334"/>
    <mergeCell ref="C390:C394"/>
    <mergeCell ref="B280:B284"/>
    <mergeCell ref="C110:C114"/>
    <mergeCell ref="C650:C654"/>
    <mergeCell ref="C405:C409"/>
    <mergeCell ref="B40:B44"/>
    <mergeCell ref="C100:C104"/>
    <mergeCell ref="B70:B74"/>
    <mergeCell ref="C150:C154"/>
    <mergeCell ref="C60:C64"/>
    <mergeCell ref="B270:B274"/>
    <mergeCell ref="B15:B19"/>
    <mergeCell ref="B755:B759"/>
    <mergeCell ref="B555:B559"/>
    <mergeCell ref="B620:B624"/>
    <mergeCell ref="C710:C714"/>
    <mergeCell ref="B30:B34"/>
    <mergeCell ref="C360:C364"/>
    <mergeCell ref="B315:B319"/>
    <mergeCell ref="B265:B269"/>
    <mergeCell ref="C155:C159"/>
    <mergeCell ref="C220:C224"/>
    <mergeCell ref="B615:B619"/>
    <mergeCell ref="C505:C509"/>
    <mergeCell ref="C455:C459"/>
    <mergeCell ref="C200:C204"/>
    <mergeCell ref="C520:C524"/>
    <mergeCell ref="B475:B479"/>
    <mergeCell ref="B105:B109"/>
    <mergeCell ref="C265:C269"/>
    <mergeCell ref="C745:C749"/>
    <mergeCell ref="B55:B59"/>
    <mergeCell ref="C740:C744"/>
    <mergeCell ref="C555:C559"/>
    <mergeCell ref="C570:C574"/>
    <mergeCell ref="B460:B464"/>
    <mergeCell ref="B350:B354"/>
    <mergeCell ref="C385:C389"/>
    <mergeCell ref="B595:B599"/>
    <mergeCell ref="B430:B434"/>
    <mergeCell ref="C850:C854"/>
    <mergeCell ref="C95:C99"/>
    <mergeCell ref="C805:C809"/>
    <mergeCell ref="C835:C839"/>
    <mergeCell ref="C840:C844"/>
    <mergeCell ref="C715:C719"/>
    <mergeCell ref="B740:B744"/>
    <mergeCell ref="C830:C834"/>
    <mergeCell ref="B840:B844"/>
    <mergeCell ref="B715:B719"/>
    <mergeCell ref="B690:B694"/>
    <mergeCell ref="C660:C664"/>
    <mergeCell ref="B805:B809"/>
    <mergeCell ref="C90:C94"/>
    <mergeCell ref="B790:B794"/>
    <mergeCell ref="B530:B534"/>
    <mergeCell ref="C750:C754"/>
    <mergeCell ref="C665:C669"/>
    <mergeCell ref="C585:C589"/>
    <mergeCell ref="B415:B419"/>
    <mergeCell ref="C215:C219"/>
    <mergeCell ref="B495:B499"/>
    <mergeCell ref="C615:C619"/>
    <mergeCell ref="C415:C419"/>
    <mergeCell ref="B255:B259"/>
    <mergeCell ref="B710:B714"/>
    <mergeCell ref="C560:C564"/>
    <mergeCell ref="C725:C729"/>
    <mergeCell ref="C680:C684"/>
    <mergeCell ref="B635:B639"/>
    <mergeCell ref="C655:C659"/>
    <mergeCell ref="B725:B729"/>
    <mergeCell ref="C325:C329"/>
    <mergeCell ref="C340:C344"/>
    <mergeCell ref="C625:C629"/>
    <mergeCell ref="C600:C604"/>
    <mergeCell ref="C640:C644"/>
    <mergeCell ref="B1:I1"/>
    <mergeCell ref="C15:C19"/>
    <mergeCell ref="B390:B394"/>
    <mergeCell ref="C720:C724"/>
    <mergeCell ref="C30:C34"/>
    <mergeCell ref="B675:B679"/>
    <mergeCell ref="B25:B29"/>
    <mergeCell ref="C315:C319"/>
    <mergeCell ref="B155:B159"/>
    <mergeCell ref="B220:B224"/>
    <mergeCell ref="B385:B389"/>
    <mergeCell ref="B610:B614"/>
    <mergeCell ref="B670:B674"/>
    <mergeCell ref="C575:C579"/>
    <mergeCell ref="C105:C109"/>
    <mergeCell ref="C65:C69"/>
    <mergeCell ref="C550:C554"/>
    <mergeCell ref="C565:C569"/>
    <mergeCell ref="C365:C369"/>
    <mergeCell ref="B455:B459"/>
    <mergeCell ref="B640:B644"/>
    <mergeCell ref="B300:B304"/>
    <mergeCell ref="C595:C599"/>
    <mergeCell ref="C290:C294"/>
    <mergeCell ref="C160:C164"/>
    <mergeCell ref="C630:C634"/>
    <mergeCell ref="C190:C194"/>
    <mergeCell ref="B820:B824"/>
    <mergeCell ref="B65:B69"/>
    <mergeCell ref="B770:B774"/>
    <mergeCell ref="C420:C424"/>
    <mergeCell ref="B745:B749"/>
    <mergeCell ref="B810:B814"/>
    <mergeCell ref="B760:B764"/>
    <mergeCell ref="C780:C784"/>
    <mergeCell ref="B145:B149"/>
    <mergeCell ref="C75:C79"/>
    <mergeCell ref="B405:B409"/>
    <mergeCell ref="B245:B249"/>
    <mergeCell ref="B700:B704"/>
    <mergeCell ref="C795:C799"/>
    <mergeCell ref="B685:B689"/>
    <mergeCell ref="C755:C759"/>
    <mergeCell ref="C790:C794"/>
    <mergeCell ref="B815:B819"/>
    <mergeCell ref="B235:B239"/>
    <mergeCell ref="B765:B769"/>
    <mergeCell ref="C540:C544"/>
    <mergeCell ref="C175:C179"/>
    <mergeCell ref="B585:B589"/>
    <mergeCell ref="C280:C284"/>
    <mergeCell ref="C345:C349"/>
    <mergeCell ref="C320:C324"/>
    <mergeCell ref="B250:B254"/>
    <mergeCell ref="C605:C609"/>
    <mergeCell ref="B535:B539"/>
    <mergeCell ref="C620:C624"/>
    <mergeCell ref="B510:B514"/>
    <mergeCell ref="C300:C304"/>
    <mergeCell ref="B230:B234"/>
    <mergeCell ref="B205:B209"/>
    <mergeCell ref="B410:B414"/>
    <mergeCell ref="B295:B299"/>
    <mergeCell ref="B370:B374"/>
    <mergeCell ref="C275:C279"/>
    <mergeCell ref="B485:B489"/>
    <mergeCell ref="C370:C374"/>
    <mergeCell ref="C435:C439"/>
    <mergeCell ref="B325:B329"/>
    <mergeCell ref="C410:C414"/>
    <mergeCell ref="B365:B369"/>
    <mergeCell ref="B340:B344"/>
    <mergeCell ref="B3:I3"/>
    <mergeCell ref="C470:C474"/>
    <mergeCell ref="C355:C359"/>
    <mergeCell ref="C820:C824"/>
    <mergeCell ref="B185:B189"/>
    <mergeCell ref="C20:C24"/>
    <mergeCell ref="C25:C29"/>
    <mergeCell ref="C85:C89"/>
    <mergeCell ref="B110:B114"/>
    <mergeCell ref="B85:B89"/>
    <mergeCell ref="B35:B39"/>
    <mergeCell ref="C810:C814"/>
    <mergeCell ref="C120:C124"/>
    <mergeCell ref="B290:B294"/>
    <mergeCell ref="B175:B179"/>
    <mergeCell ref="C760:C764"/>
    <mergeCell ref="B590:B594"/>
    <mergeCell ref="C430:C434"/>
    <mergeCell ref="C240:C244"/>
    <mergeCell ref="B20:B24"/>
    <mergeCell ref="C165:C169"/>
    <mergeCell ref="B120:B124"/>
    <mergeCell ref="B720:B724"/>
    <mergeCell ref="C475:C479"/>
    <mergeCell ref="B225:B229"/>
    <mergeCell ref="B525:B529"/>
    <mergeCell ref="B490:B494"/>
    <mergeCell ref="C580:C584"/>
    <mergeCell ref="C380:C384"/>
    <mergeCell ref="C395:C399"/>
    <mergeCell ref="C140:C144"/>
    <mergeCell ref="C125:C129"/>
    <mergeCell ref="B45:B49"/>
    <mergeCell ref="C375:C379"/>
    <mergeCell ref="B420:B424"/>
    <mergeCell ref="C480:C484"/>
    <mergeCell ref="B435:B439"/>
    <mergeCell ref="C55:C59"/>
    <mergeCell ref="C545:C549"/>
    <mergeCell ref="C180:C184"/>
    <mergeCell ref="B450:B454"/>
    <mergeCell ref="C330:C334"/>
    <mergeCell ref="B210:B214"/>
    <mergeCell ref="B215:B219"/>
    <mergeCell ref="C485:C489"/>
    <mergeCell ref="B190:B194"/>
    <mergeCell ref="B130:B134"/>
    <mergeCell ref="C515:C519"/>
    <mergeCell ref="B850:B854"/>
    <mergeCell ref="B95:B99"/>
    <mergeCell ref="B260:B264"/>
    <mergeCell ref="C425:C429"/>
    <mergeCell ref="B160:B164"/>
    <mergeCell ref="C490:C494"/>
    <mergeCell ref="B380:B384"/>
    <mergeCell ref="C185:C189"/>
    <mergeCell ref="B395:B399"/>
    <mergeCell ref="B680:B684"/>
    <mergeCell ref="B845:B849"/>
    <mergeCell ref="B780:B784"/>
    <mergeCell ref="B800:B804"/>
    <mergeCell ref="B775:B779"/>
    <mergeCell ref="B795:B799"/>
    <mergeCell ref="C130:C134"/>
    <mergeCell ref="C295:C299"/>
    <mergeCell ref="C735:C739"/>
    <mergeCell ref="B825:B829"/>
    <mergeCell ref="B135:B139"/>
    <mergeCell ref="C465:C469"/>
    <mergeCell ref="C845:C849"/>
    <mergeCell ref="C645:C649"/>
    <mergeCell ref="B735:B739"/>
    <mergeCell ref="B835:B839"/>
    <mergeCell ref="B310:B314"/>
    <mergeCell ref="C400:C404"/>
    <mergeCell ref="B285:B289"/>
    <mergeCell ref="C500:C504"/>
    <mergeCell ref="C800:C804"/>
    <mergeCell ref="C785:C789"/>
    <mergeCell ref="B785:B789"/>
    <mergeCell ref="C815:C819"/>
    <mergeCell ref="B650:B654"/>
    <mergeCell ref="C770:C774"/>
    <mergeCell ref="C705:C709"/>
    <mergeCell ref="C685:C689"/>
    <mergeCell ref="B705:B709"/>
    <mergeCell ref="C700:C704"/>
    <mergeCell ref="B630:B634"/>
    <mergeCell ref="B695:B699"/>
    <mergeCell ref="C675:C679"/>
    <mergeCell ref="B660:B664"/>
    <mergeCell ref="C690:C694"/>
    <mergeCell ref="C695:C699"/>
    <mergeCell ref="B625:B629"/>
    <mergeCell ref="B600:B604"/>
    <mergeCell ref="B665:B669"/>
    <mergeCell ref="C775:C779"/>
    <mergeCell ref="B730:B734"/>
    <mergeCell ref="C335:C339"/>
    <mergeCell ref="B425:B429"/>
    <mergeCell ref="B440:B444"/>
    <mergeCell ref="B240:B244"/>
    <mergeCell ref="B830:B834"/>
    <mergeCell ref="C245:C249"/>
    <mergeCell ref="C310:C314"/>
    <mergeCell ref="C260:C264"/>
    <mergeCell ref="B465:B469"/>
    <mergeCell ref="C530:C534"/>
    <mergeCell ref="B360:B364"/>
    <mergeCell ref="C610:C614"/>
    <mergeCell ref="B375:B379"/>
    <mergeCell ref="B515:B519"/>
    <mergeCell ref="B275:B279"/>
    <mergeCell ref="B335:B339"/>
    <mergeCell ref="B345:B349"/>
    <mergeCell ref="B320:B324"/>
    <mergeCell ref="B580:B584"/>
    <mergeCell ref="C535:C539"/>
    <mergeCell ref="C825:C829"/>
    <mergeCell ref="C765:C769"/>
    <mergeCell ref="B10:B14"/>
    <mergeCell ref="B750:B754"/>
    <mergeCell ref="B550:B554"/>
    <mergeCell ref="B165:B169"/>
    <mergeCell ref="B140:B144"/>
    <mergeCell ref="B150:B154"/>
    <mergeCell ref="B60:B64"/>
    <mergeCell ref="B575:B579"/>
    <mergeCell ref="C590:C594"/>
    <mergeCell ref="C250:C254"/>
    <mergeCell ref="C225:C229"/>
    <mergeCell ref="B180:B184"/>
    <mergeCell ref="C510:C514"/>
    <mergeCell ref="C460:C464"/>
    <mergeCell ref="C525:C529"/>
    <mergeCell ref="B480:B484"/>
    <mergeCell ref="C450:C454"/>
    <mergeCell ref="B355:B359"/>
    <mergeCell ref="C235:C239"/>
    <mergeCell ref="B445:B449"/>
    <mergeCell ref="C670:C674"/>
    <mergeCell ref="C730:C734"/>
    <mergeCell ref="C35:C39"/>
    <mergeCell ref="C270:C274"/>
  </mergeCells>
  <conditionalFormatting sqref="B5:H5">
    <cfRule type="expression" dxfId="27" priority="55" stopIfTrue="1">
      <formula>TEXT($C5,"ddd")="Fri"</formula>
    </cfRule>
  </conditionalFormatting>
  <conditionalFormatting sqref="B5:H8">
    <cfRule type="expression" dxfId="26" priority="51" stopIfTrue="1">
      <formula>TEXT(#REF!,"ddd")="Fri"</formula>
    </cfRule>
  </conditionalFormatting>
  <conditionalFormatting sqref="B6:H8">
    <cfRule type="expression" dxfId="25" priority="64" stopIfTrue="1">
      <formula>TEXT($C5,"ddd")="Fri"</formula>
    </cfRule>
    <cfRule type="expression" dxfId="24" priority="65" stopIfTrue="1">
      <formula>TEXT($C6,"ddd")="Fri"</formula>
    </cfRule>
  </conditionalFormatting>
  <conditionalFormatting sqref="B7:H8">
    <cfRule type="expression" dxfId="23" priority="63" stopIfTrue="1">
      <formula>TEXT($C5,"ddd")="Fri"</formula>
    </cfRule>
  </conditionalFormatting>
  <conditionalFormatting sqref="B8:H8">
    <cfRule type="expression" dxfId="22" priority="62" stopIfTrue="1">
      <formula>TEXT($C5,"ddd")="Fri"</formula>
    </cfRule>
  </conditionalFormatting>
  <conditionalFormatting sqref="B9:H854">
    <cfRule type="expression" dxfId="21" priority="19" stopIfTrue="1">
      <formula>TEXT($C5,"ddd")="Fri"</formula>
    </cfRule>
    <cfRule type="expression" dxfId="20" priority="20" stopIfTrue="1">
      <formula>TEXT($C6,"ddd")="Fri"</formula>
    </cfRule>
    <cfRule type="expression" dxfId="19" priority="21" stopIfTrue="1">
      <formula>TEXT($C7,"ddd")="Fri"</formula>
    </cfRule>
    <cfRule type="expression" dxfId="18" priority="22" stopIfTrue="1">
      <formula>TEXT($C8,"ddd")="Fri"</formula>
    </cfRule>
    <cfRule type="expression" dxfId="17" priority="23" stopIfTrue="1">
      <formula>TEXT($C9,"ddd")="Fri"</formula>
    </cfRule>
  </conditionalFormatting>
  <conditionalFormatting sqref="H4:H1048576">
    <cfRule type="cellIs" dxfId="16" priority="17" operator="equal">
      <formula>0</formula>
    </cfRule>
    <cfRule type="cellIs" dxfId="15" priority="18" operator="lessThan">
      <formula>1600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N50"/>
  <sheetViews>
    <sheetView workbookViewId="0">
      <pane xSplit="4" ySplit="2" topLeftCell="E3" activePane="bottomRight" state="frozen"/>
      <selection activeCell="K2" sqref="K2"/>
      <selection pane="topRight" activeCell="K2" sqref="K2"/>
      <selection pane="bottomLeft" activeCell="K2" sqref="K2"/>
      <selection pane="bottomRight" activeCell="J2" sqref="J2"/>
    </sheetView>
  </sheetViews>
  <sheetFormatPr defaultRowHeight="14.4" x14ac:dyDescent="0.3"/>
  <cols>
    <col min="1" max="1" width="6.6640625" customWidth="1"/>
    <col min="2" max="2" width="6.33203125" bestFit="1" customWidth="1"/>
    <col min="3" max="3" width="18.33203125" bestFit="1" customWidth="1"/>
    <col min="4" max="4" width="35" bestFit="1" customWidth="1"/>
    <col min="5" max="5" width="10.6640625" bestFit="1" customWidth="1"/>
    <col min="6" max="6" width="13" customWidth="1"/>
    <col min="11" max="11" width="16.44140625" customWidth="1"/>
    <col min="12" max="12" width="25.5546875" hidden="1" customWidth="1"/>
    <col min="13" max="13" width="16.44140625" hidden="1" customWidth="1"/>
    <col min="14" max="14" width="13" hidden="1" customWidth="1"/>
  </cols>
  <sheetData>
    <row r="1" spans="1:14" ht="36.75" customHeight="1" thickBot="1" x14ac:dyDescent="0.35">
      <c r="A1" s="162" t="s">
        <v>695</v>
      </c>
      <c r="B1" s="163" t="s">
        <v>694</v>
      </c>
      <c r="C1" s="163" t="s">
        <v>5</v>
      </c>
      <c r="D1" s="163" t="s">
        <v>698</v>
      </c>
      <c r="E1" s="163" t="s">
        <v>699</v>
      </c>
      <c r="F1" s="430" t="s">
        <v>700</v>
      </c>
      <c r="H1" s="224" t="s">
        <v>648</v>
      </c>
      <c r="I1" s="225" t="s">
        <v>649</v>
      </c>
      <c r="J1" s="225" t="s">
        <v>701</v>
      </c>
      <c r="K1" s="226" t="s">
        <v>702</v>
      </c>
    </row>
    <row r="2" spans="1:14" ht="19.5" customHeight="1" thickBot="1" x14ac:dyDescent="0.35">
      <c r="A2" s="429" t="s">
        <v>703</v>
      </c>
      <c r="B2" s="411"/>
      <c r="C2" s="411"/>
      <c r="D2" s="412"/>
      <c r="E2" s="164">
        <f>SUM(E3:E200)</f>
        <v>27647</v>
      </c>
      <c r="F2" s="416"/>
      <c r="H2" s="227" t="s">
        <v>650</v>
      </c>
      <c r="I2" s="228">
        <v>2026</v>
      </c>
      <c r="J2" s="228" t="s">
        <v>704</v>
      </c>
      <c r="K2" s="229" t="s">
        <v>553</v>
      </c>
      <c r="L2" t="str">
        <f>H2&amp;K2&amp;I2&amp;J2</f>
        <v>AugustCeiling Fan2026Body</v>
      </c>
    </row>
    <row r="3" spans="1:14" x14ac:dyDescent="0.3">
      <c r="A3" s="165">
        <f t="array" ref="A3:E33">_xlfn._xlws.FILTER('Entry Sheet Physical'!A2:E32113,'Entry Sheet Physical'!K2:K32113='Day Wise Production'!L2)</f>
        <v>46235</v>
      </c>
      <c r="B3" s="166">
        <v>46235</v>
      </c>
      <c r="C3" s="167" t="str">
        <v>CF5601/CF5601IV</v>
      </c>
      <c r="D3" s="167" t="str">
        <v>56 Inch Premium Ceiling Fan - Ivory {Body}</v>
      </c>
      <c r="E3" s="168">
        <v>450</v>
      </c>
      <c r="F3" s="169"/>
    </row>
    <row r="4" spans="1:14" x14ac:dyDescent="0.3">
      <c r="A4" s="170">
        <v>46235</v>
      </c>
      <c r="B4" s="171">
        <v>46235</v>
      </c>
      <c r="C4" s="172" t="str">
        <v>CF2401/CF2401IV</v>
      </c>
      <c r="D4" s="172" t="str">
        <v>24 Inch Super Ceiling Fan - Ivory {Body}</v>
      </c>
      <c r="E4" s="173">
        <v>995</v>
      </c>
      <c r="F4" s="174"/>
    </row>
    <row r="5" spans="1:14" x14ac:dyDescent="0.3">
      <c r="A5" s="170">
        <v>46236</v>
      </c>
      <c r="B5" s="171">
        <v>46236</v>
      </c>
      <c r="C5" s="172" t="str">
        <v>CF5601/CF5601IV</v>
      </c>
      <c r="D5" s="172" t="str">
        <v>56 Inch Premium Ceiling Fan - Ivory {Body}</v>
      </c>
      <c r="E5" s="173">
        <v>1282</v>
      </c>
      <c r="F5" s="174"/>
    </row>
    <row r="6" spans="1:14" x14ac:dyDescent="0.3">
      <c r="A6" s="170">
        <v>46236</v>
      </c>
      <c r="B6" s="171">
        <v>46236</v>
      </c>
      <c r="C6" s="172" t="str">
        <v>CF2401/CF2401IV</v>
      </c>
      <c r="D6" s="172" t="str">
        <v>24 Inch Super Ceiling Fan - Ivory {Body}</v>
      </c>
      <c r="E6" s="173">
        <v>96</v>
      </c>
      <c r="F6" s="174"/>
      <c r="M6" t="s">
        <v>705</v>
      </c>
    </row>
    <row r="7" spans="1:14" x14ac:dyDescent="0.3">
      <c r="A7" s="170">
        <v>46236</v>
      </c>
      <c r="B7" s="171">
        <v>46236</v>
      </c>
      <c r="C7" s="172" t="str">
        <v>CR5601IV</v>
      </c>
      <c r="D7" s="172" t="str">
        <v>56 Inch Premium Ceiling Fan- Ivory (Without Regulator) {Body}</v>
      </c>
      <c r="E7" s="173">
        <v>75</v>
      </c>
      <c r="F7" s="174"/>
      <c r="K7" s="177">
        <v>2026</v>
      </c>
      <c r="L7" t="s">
        <v>653</v>
      </c>
      <c r="M7" s="175" t="s">
        <v>553</v>
      </c>
      <c r="N7" s="176" t="s">
        <v>704</v>
      </c>
    </row>
    <row r="8" spans="1:14" x14ac:dyDescent="0.3">
      <c r="A8" s="170">
        <v>46236</v>
      </c>
      <c r="B8" s="171">
        <v>46236</v>
      </c>
      <c r="C8" s="172" t="str">
        <v>CF5606/CF5606IV</v>
      </c>
      <c r="D8" s="172" t="str">
        <v>56 Inch Premium Plus Ceiling Fan - Ivory {Body}</v>
      </c>
      <c r="E8" s="173">
        <v>11</v>
      </c>
      <c r="F8" s="174"/>
      <c r="K8" s="177">
        <v>2027</v>
      </c>
      <c r="L8" t="s">
        <v>654</v>
      </c>
      <c r="M8" s="175" t="s">
        <v>537</v>
      </c>
      <c r="N8" s="176" t="s">
        <v>706</v>
      </c>
    </row>
    <row r="9" spans="1:14" x14ac:dyDescent="0.3">
      <c r="A9" s="170">
        <v>46237</v>
      </c>
      <c r="B9" s="171">
        <v>46237</v>
      </c>
      <c r="C9" s="172" t="str">
        <v>CF5601/CF5601IV</v>
      </c>
      <c r="D9" s="172" t="str">
        <v>56 Inch Premium Ceiling Fan - Ivory {Body}</v>
      </c>
      <c r="E9" s="173">
        <v>1800</v>
      </c>
      <c r="F9" s="174"/>
      <c r="L9" t="s">
        <v>655</v>
      </c>
      <c r="M9" s="175" t="s">
        <v>666</v>
      </c>
      <c r="N9" s="176">
        <v>0</v>
      </c>
    </row>
    <row r="10" spans="1:14" x14ac:dyDescent="0.3">
      <c r="A10" s="170">
        <v>46238</v>
      </c>
      <c r="B10" s="171">
        <v>46238</v>
      </c>
      <c r="C10" s="172" t="str">
        <v>CF5601/CF5601IV</v>
      </c>
      <c r="D10" s="172" t="str">
        <v>56 Inch Premium Ceiling Fan - Ivory {Body}</v>
      </c>
      <c r="E10" s="173">
        <v>1581</v>
      </c>
      <c r="F10" s="174"/>
      <c r="L10" t="s">
        <v>656</v>
      </c>
      <c r="M10" s="175" t="s">
        <v>546</v>
      </c>
      <c r="N10" s="176"/>
    </row>
    <row r="11" spans="1:14" x14ac:dyDescent="0.3">
      <c r="A11" s="170">
        <v>46238</v>
      </c>
      <c r="B11" s="171">
        <v>46238</v>
      </c>
      <c r="C11" s="172" t="str">
        <v>CF5607/CF5607IV</v>
      </c>
      <c r="D11" s="172" t="str">
        <v>56 Inch Crown Ceiling Fan - Ivory {Body}</v>
      </c>
      <c r="E11" s="173">
        <v>119</v>
      </c>
      <c r="F11" s="174"/>
      <c r="L11" t="s">
        <v>657</v>
      </c>
    </row>
    <row r="12" spans="1:14" x14ac:dyDescent="0.3">
      <c r="A12" s="170">
        <v>46238</v>
      </c>
      <c r="B12" s="171">
        <v>46238</v>
      </c>
      <c r="C12" s="172" t="str">
        <v>CF5601/CF5601IV</v>
      </c>
      <c r="D12" s="172" t="str">
        <v>56 Inch Premium Ceiling Fan - Ivory {Body}</v>
      </c>
      <c r="E12" s="173">
        <v>48</v>
      </c>
      <c r="F12" s="174"/>
      <c r="L12" t="s">
        <v>658</v>
      </c>
    </row>
    <row r="13" spans="1:14" x14ac:dyDescent="0.3">
      <c r="A13" s="170">
        <v>46242</v>
      </c>
      <c r="B13" s="171">
        <v>46242</v>
      </c>
      <c r="C13" s="172" t="str">
        <v>CF5601/CF5601IV</v>
      </c>
      <c r="D13" s="172" t="str">
        <v>56 Inch Premium Ceiling Fan - Ivory {Body}</v>
      </c>
      <c r="E13" s="173">
        <v>1283</v>
      </c>
      <c r="F13" s="174"/>
      <c r="L13" t="s">
        <v>659</v>
      </c>
    </row>
    <row r="14" spans="1:14" x14ac:dyDescent="0.3">
      <c r="A14" s="170">
        <v>46242</v>
      </c>
      <c r="B14" s="171">
        <v>46242</v>
      </c>
      <c r="C14" s="172" t="str">
        <v>CF5606/CF5606IV</v>
      </c>
      <c r="D14" s="172" t="str">
        <v>56 Inch Premium Plus Ceiling Fan - Ivory {Body}</v>
      </c>
      <c r="E14" s="173">
        <v>38</v>
      </c>
      <c r="F14" s="174"/>
      <c r="L14" t="s">
        <v>650</v>
      </c>
    </row>
    <row r="15" spans="1:14" x14ac:dyDescent="0.3">
      <c r="A15" s="170">
        <v>46242</v>
      </c>
      <c r="B15" s="171">
        <v>46242</v>
      </c>
      <c r="C15" s="172" t="str">
        <v>CF5607/CF5607IV</v>
      </c>
      <c r="D15" s="172" t="str">
        <v>56 Inch Crown Ceiling Fan - Ivory {Body}</v>
      </c>
      <c r="E15" s="173">
        <v>53</v>
      </c>
      <c r="F15" s="174"/>
      <c r="L15" t="s">
        <v>660</v>
      </c>
    </row>
    <row r="16" spans="1:14" x14ac:dyDescent="0.3">
      <c r="A16" s="170">
        <v>46243</v>
      </c>
      <c r="B16" s="171">
        <v>46243</v>
      </c>
      <c r="C16" s="172" t="str">
        <v>CF5601/CF5601IV</v>
      </c>
      <c r="D16" s="172" t="str">
        <v>56 Inch Premium Ceiling Fan - Ivory {Body}</v>
      </c>
      <c r="E16" s="173">
        <v>1700</v>
      </c>
      <c r="F16" s="174"/>
      <c r="L16" t="s">
        <v>661</v>
      </c>
    </row>
    <row r="17" spans="1:12" x14ac:dyDescent="0.3">
      <c r="A17" s="170">
        <v>46244</v>
      </c>
      <c r="B17" s="171">
        <v>46244</v>
      </c>
      <c r="C17" s="172" t="str">
        <v>CF5601/CF5601IV</v>
      </c>
      <c r="D17" s="172" t="str">
        <v>56 Inch Premium Ceiling Fan - Ivory {Body}</v>
      </c>
      <c r="E17" s="173">
        <v>3178</v>
      </c>
      <c r="F17" s="174"/>
      <c r="L17" t="s">
        <v>662</v>
      </c>
    </row>
    <row r="18" spans="1:12" x14ac:dyDescent="0.3">
      <c r="A18" s="170">
        <v>46245</v>
      </c>
      <c r="B18" s="171">
        <v>46245</v>
      </c>
      <c r="C18" s="172" t="str">
        <v>CF5601/CF5601IV</v>
      </c>
      <c r="D18" s="172" t="str">
        <v>56 Inch Premium Ceiling Fan - Ivory {Body}</v>
      </c>
      <c r="E18" s="173">
        <v>1700</v>
      </c>
      <c r="F18" s="174"/>
      <c r="L18" t="s">
        <v>663</v>
      </c>
    </row>
    <row r="19" spans="1:12" x14ac:dyDescent="0.3">
      <c r="A19" s="170">
        <v>46246</v>
      </c>
      <c r="B19" s="171">
        <v>46246</v>
      </c>
      <c r="C19" s="172" t="str">
        <v>CF5601/CF5601IV</v>
      </c>
      <c r="D19" s="172" t="str">
        <v>56 Inch Premium Ceiling Fan - Ivory {Body}</v>
      </c>
      <c r="E19" s="173">
        <v>1050</v>
      </c>
      <c r="F19" s="174"/>
    </row>
    <row r="20" spans="1:12" x14ac:dyDescent="0.3">
      <c r="A20" s="170">
        <v>46246</v>
      </c>
      <c r="B20" s="171">
        <v>46246</v>
      </c>
      <c r="C20" s="172" t="str">
        <v>CF5607/CF5607IV</v>
      </c>
      <c r="D20" s="172" t="str">
        <v>56 Inch Crown Ceiling Fan - Ivory {Body}</v>
      </c>
      <c r="E20" s="173">
        <v>164</v>
      </c>
      <c r="F20" s="174"/>
    </row>
    <row r="21" spans="1:12" x14ac:dyDescent="0.3">
      <c r="A21" s="170">
        <v>46247</v>
      </c>
      <c r="B21" s="171">
        <v>46247</v>
      </c>
      <c r="C21" s="172" t="str">
        <v>CF5601/CF5601IV</v>
      </c>
      <c r="D21" s="172" t="str">
        <v>56 Inch Premium Ceiling Fan - Ivory {Body}</v>
      </c>
      <c r="E21" s="173">
        <v>1650</v>
      </c>
      <c r="F21" s="174"/>
    </row>
    <row r="22" spans="1:12" x14ac:dyDescent="0.3">
      <c r="A22" s="170">
        <v>46247</v>
      </c>
      <c r="B22" s="171">
        <v>46247</v>
      </c>
      <c r="C22" s="172" t="str">
        <v>CF5601/CF5601IV</v>
      </c>
      <c r="D22" s="172" t="str">
        <v>56 Inch Premium Ceiling Fan - Ivory {Body}</v>
      </c>
      <c r="E22" s="173">
        <v>82</v>
      </c>
      <c r="F22" s="174"/>
    </row>
    <row r="23" spans="1:12" x14ac:dyDescent="0.3">
      <c r="A23" s="170">
        <v>46248</v>
      </c>
      <c r="B23" s="171">
        <v>46248</v>
      </c>
      <c r="C23" s="172" t="str">
        <v>CF5601/CF5601IV</v>
      </c>
      <c r="D23" s="172" t="str">
        <v>56 Inch Premium Ceiling Fan - Ivory {Body}</v>
      </c>
      <c r="E23" s="173">
        <v>1700</v>
      </c>
      <c r="F23" s="174"/>
    </row>
    <row r="24" spans="1:12" x14ac:dyDescent="0.3">
      <c r="A24" s="170">
        <v>46249</v>
      </c>
      <c r="B24" s="171">
        <v>46249</v>
      </c>
      <c r="C24" s="172" t="str">
        <v>CF5601/CF5601IV</v>
      </c>
      <c r="D24" s="172" t="str">
        <v>56 Inch Premium Ceiling Fan - Ivory {Body}</v>
      </c>
      <c r="E24" s="173">
        <v>1700</v>
      </c>
      <c r="F24" s="174"/>
    </row>
    <row r="25" spans="1:12" x14ac:dyDescent="0.3">
      <c r="A25" s="170">
        <v>46250</v>
      </c>
      <c r="B25" s="171">
        <v>46250</v>
      </c>
      <c r="C25" s="172" t="str">
        <v>CF4801/CF4801IV</v>
      </c>
      <c r="D25" s="172" t="str">
        <v>48 Inch Popular Ceiling Fan - Ivory {Body}</v>
      </c>
      <c r="E25" s="173">
        <v>800</v>
      </c>
      <c r="F25" s="174"/>
    </row>
    <row r="26" spans="1:12" x14ac:dyDescent="0.3">
      <c r="A26" s="170">
        <v>46250</v>
      </c>
      <c r="B26" s="171">
        <v>46250</v>
      </c>
      <c r="C26" s="172" t="str">
        <v>CF5601/CF5601IV</v>
      </c>
      <c r="D26" s="172" t="str">
        <v>56 Inch Premium Ceiling Fan - Ivory {Body}</v>
      </c>
      <c r="E26" s="173">
        <v>115</v>
      </c>
      <c r="F26" s="174"/>
    </row>
    <row r="27" spans="1:12" x14ac:dyDescent="0.3">
      <c r="A27" s="170">
        <v>46250</v>
      </c>
      <c r="B27" s="171">
        <v>46250</v>
      </c>
      <c r="C27" s="172" t="str">
        <v>CF5601/CF5601IV</v>
      </c>
      <c r="D27" s="172" t="str">
        <v>56 Inch Premium Ceiling Fan - Ivory {Body}</v>
      </c>
      <c r="E27" s="173">
        <v>50</v>
      </c>
      <c r="F27" s="174"/>
    </row>
    <row r="28" spans="1:12" x14ac:dyDescent="0.3">
      <c r="A28" s="170">
        <v>46251</v>
      </c>
      <c r="B28" s="171">
        <v>46251</v>
      </c>
      <c r="C28" s="172" t="str">
        <v>CF5601/CF5601IV</v>
      </c>
      <c r="D28" s="172" t="str">
        <v>56 Inch Premium Ceiling Fan - Ivory {Body}</v>
      </c>
      <c r="E28" s="173">
        <v>1050</v>
      </c>
      <c r="F28" s="174"/>
    </row>
    <row r="29" spans="1:12" x14ac:dyDescent="0.3">
      <c r="A29" s="170">
        <v>46251</v>
      </c>
      <c r="B29" s="171">
        <v>46251</v>
      </c>
      <c r="C29" s="172" t="str">
        <v>CF4801/CF4801IV</v>
      </c>
      <c r="D29" s="172" t="str">
        <v>48 Inch Popular Ceiling Fan - Ivory {Body}</v>
      </c>
      <c r="E29" s="173">
        <v>367</v>
      </c>
      <c r="F29" s="174"/>
    </row>
    <row r="30" spans="1:12" x14ac:dyDescent="0.3">
      <c r="A30" s="170">
        <v>46252</v>
      </c>
      <c r="B30" s="171">
        <v>46252</v>
      </c>
      <c r="C30" s="172" t="str">
        <v>CF5601/CF5601IV</v>
      </c>
      <c r="D30" s="172" t="str">
        <v>56 Inch Premium Ceiling Fan - Ivory {Body}</v>
      </c>
      <c r="E30" s="173">
        <v>1700</v>
      </c>
      <c r="F30" s="174"/>
    </row>
    <row r="31" spans="1:12" x14ac:dyDescent="0.3">
      <c r="A31" s="170">
        <v>46253</v>
      </c>
      <c r="B31" s="171">
        <v>46253</v>
      </c>
      <c r="C31" s="172" t="str">
        <v>CF5601/CF5601IV</v>
      </c>
      <c r="D31" s="172" t="str">
        <v>56 Inch Premium Ceiling Fan - Ivory {Body}</v>
      </c>
      <c r="E31" s="173">
        <v>1000</v>
      </c>
      <c r="F31" s="174"/>
    </row>
    <row r="32" spans="1:12" x14ac:dyDescent="0.3">
      <c r="A32" s="170">
        <v>46253</v>
      </c>
      <c r="B32" s="171">
        <v>46253</v>
      </c>
      <c r="C32" s="172" t="str">
        <v>CF3601/CF3601IV</v>
      </c>
      <c r="D32" s="172" t="str">
        <v>36 Inch Hero Ceiling Fan - Ivory {Body}</v>
      </c>
      <c r="E32" s="173">
        <v>610</v>
      </c>
      <c r="F32" s="174"/>
    </row>
    <row r="33" spans="1:6" x14ac:dyDescent="0.3">
      <c r="A33" s="170">
        <v>46254</v>
      </c>
      <c r="B33" s="171">
        <v>46254</v>
      </c>
      <c r="C33" s="172" t="str">
        <v>CF3601/CF3601IV</v>
      </c>
      <c r="D33" s="172" t="str">
        <v>36 Inch Hero Ceiling Fan - Ivory {Body}</v>
      </c>
      <c r="E33" s="173">
        <v>1200</v>
      </c>
      <c r="F33" s="174"/>
    </row>
    <row r="34" spans="1:6" x14ac:dyDescent="0.3">
      <c r="A34" s="170"/>
      <c r="B34" s="171"/>
      <c r="C34" s="172"/>
      <c r="D34" s="172"/>
      <c r="E34" s="173"/>
      <c r="F34" s="174"/>
    </row>
    <row r="35" spans="1:6" x14ac:dyDescent="0.3">
      <c r="A35" s="170"/>
      <c r="B35" s="171"/>
      <c r="C35" s="172"/>
      <c r="D35" s="172"/>
      <c r="E35" s="173"/>
      <c r="F35" s="174"/>
    </row>
    <row r="36" spans="1:6" x14ac:dyDescent="0.3">
      <c r="A36" s="170"/>
      <c r="B36" s="171"/>
      <c r="C36" s="172"/>
      <c r="D36" s="172"/>
      <c r="E36" s="173"/>
      <c r="F36" s="174"/>
    </row>
    <row r="37" spans="1:6" x14ac:dyDescent="0.3">
      <c r="A37" s="170"/>
      <c r="B37" s="171"/>
      <c r="C37" s="172"/>
      <c r="D37" s="172"/>
      <c r="E37" s="173"/>
      <c r="F37" s="174"/>
    </row>
    <row r="38" spans="1:6" x14ac:dyDescent="0.3">
      <c r="A38" s="170"/>
      <c r="B38" s="171"/>
      <c r="C38" s="172"/>
      <c r="D38" s="172"/>
      <c r="E38" s="173"/>
      <c r="F38" s="174"/>
    </row>
    <row r="39" spans="1:6" x14ac:dyDescent="0.3">
      <c r="A39" s="170"/>
      <c r="B39" s="171"/>
      <c r="C39" s="172"/>
      <c r="D39" s="172"/>
      <c r="E39" s="173"/>
      <c r="F39" s="174"/>
    </row>
    <row r="40" spans="1:6" x14ac:dyDescent="0.3">
      <c r="A40" s="170"/>
      <c r="B40" s="171"/>
      <c r="C40" s="172"/>
      <c r="D40" s="172"/>
      <c r="E40" s="173"/>
      <c r="F40" s="174"/>
    </row>
    <row r="41" spans="1:6" x14ac:dyDescent="0.3">
      <c r="A41" s="170"/>
      <c r="B41" s="171"/>
      <c r="C41" s="172"/>
      <c r="D41" s="172"/>
      <c r="E41" s="173"/>
      <c r="F41" s="174"/>
    </row>
    <row r="42" spans="1:6" x14ac:dyDescent="0.3">
      <c r="A42" s="170"/>
      <c r="B42" s="171"/>
      <c r="C42" s="172"/>
      <c r="D42" s="172"/>
      <c r="E42" s="173"/>
      <c r="F42" s="174"/>
    </row>
    <row r="43" spans="1:6" x14ac:dyDescent="0.3">
      <c r="A43" s="170"/>
      <c r="B43" s="171"/>
      <c r="C43" s="172"/>
      <c r="D43" s="172"/>
      <c r="E43" s="173"/>
      <c r="F43" s="174"/>
    </row>
    <row r="44" spans="1:6" x14ac:dyDescent="0.3">
      <c r="A44" s="170"/>
      <c r="B44" s="171"/>
      <c r="C44" s="172"/>
      <c r="D44" s="172"/>
      <c r="E44" s="173"/>
      <c r="F44" s="174"/>
    </row>
    <row r="45" spans="1:6" x14ac:dyDescent="0.3">
      <c r="A45" s="170"/>
      <c r="B45" s="171"/>
      <c r="C45" s="172"/>
      <c r="D45" s="172"/>
      <c r="E45" s="173"/>
      <c r="F45" s="174"/>
    </row>
    <row r="46" spans="1:6" x14ac:dyDescent="0.3">
      <c r="A46" s="170"/>
      <c r="B46" s="171"/>
      <c r="C46" s="172"/>
      <c r="D46" s="172"/>
      <c r="E46" s="173"/>
      <c r="F46" s="174"/>
    </row>
    <row r="47" spans="1:6" x14ac:dyDescent="0.3">
      <c r="A47" s="170"/>
      <c r="B47" s="171"/>
      <c r="C47" s="172"/>
      <c r="D47" s="172"/>
      <c r="E47" s="173"/>
      <c r="F47" s="174"/>
    </row>
    <row r="48" spans="1:6" x14ac:dyDescent="0.3">
      <c r="A48" s="170"/>
      <c r="B48" s="171"/>
      <c r="C48" s="172"/>
      <c r="D48" s="172"/>
      <c r="E48" s="173"/>
      <c r="F48" s="174"/>
    </row>
    <row r="49" spans="1:6" x14ac:dyDescent="0.3">
      <c r="A49" s="170"/>
      <c r="B49" s="171"/>
      <c r="C49" s="172"/>
      <c r="D49" s="172"/>
      <c r="E49" s="173"/>
      <c r="F49" s="174"/>
    </row>
    <row r="50" spans="1:6" x14ac:dyDescent="0.3">
      <c r="A50" s="170"/>
      <c r="B50" s="171"/>
      <c r="C50" s="172"/>
      <c r="D50" s="172"/>
      <c r="E50" s="173"/>
      <c r="F50" s="174"/>
    </row>
  </sheetData>
  <mergeCells count="2">
    <mergeCell ref="A2:D2"/>
    <mergeCell ref="F1:F2"/>
  </mergeCells>
  <conditionalFormatting sqref="A3:E50">
    <cfRule type="expression" dxfId="14" priority="1">
      <formula>TEXT($A3,"ddd")="Fri"</formula>
    </cfRule>
  </conditionalFormatting>
  <conditionalFormatting sqref="F3:F50">
    <cfRule type="containsText" dxfId="13" priority="2" operator="containsText" text=" ">
      <formula>NOT(ISERROR(SEARCH(" ",F3)))</formula>
    </cfRule>
  </conditionalFormatting>
  <dataValidations count="4">
    <dataValidation type="list" allowBlank="1" showInputMessage="1" showErrorMessage="1" sqref="H2" xr:uid="{00000000-0002-0000-0A00-000000000000}">
      <formula1>$L$7:$L$18</formula1>
    </dataValidation>
    <dataValidation type="list" allowBlank="1" showInputMessage="1" showErrorMessage="1" sqref="I2" xr:uid="{00000000-0002-0000-0A00-000001000000}">
      <formula1>$K$7:$K$8</formula1>
    </dataValidation>
    <dataValidation type="list" allowBlank="1" showInputMessage="1" showErrorMessage="1" sqref="J2" xr:uid="{00000000-0002-0000-0A00-000002000000}">
      <formula1>$N$7:$N$9</formula1>
    </dataValidation>
    <dataValidation type="list" allowBlank="1" showInputMessage="1" showErrorMessage="1" sqref="K2" xr:uid="{00000000-0002-0000-0A00-000003000000}">
      <formula1>$M$7:$M$10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AE38"/>
  <sheetViews>
    <sheetView showGridLines="0" topLeftCell="A2" zoomScale="109" zoomScaleNormal="109" workbookViewId="0">
      <pane xSplit="2" ySplit="6" topLeftCell="C8" activePane="bottomRight" state="frozen"/>
      <selection activeCell="M107" sqref="M107"/>
      <selection pane="topRight" activeCell="M107" sqref="M107"/>
      <selection pane="bottomLeft" activeCell="M107" sqref="M107"/>
      <selection pane="bottomRight" activeCell="S4" sqref="S4"/>
    </sheetView>
  </sheetViews>
  <sheetFormatPr defaultColWidth="9.109375" defaultRowHeight="13.8" x14ac:dyDescent="0.25"/>
  <cols>
    <col min="1" max="1" width="4.88671875" style="25" bestFit="1" customWidth="1"/>
    <col min="2" max="11" width="9.109375" style="25" customWidth="1"/>
    <col min="12" max="12" width="9.109375" style="1" customWidth="1"/>
    <col min="13" max="13" width="9.6640625" style="22" customWidth="1"/>
    <col min="14" max="18" width="9.109375" style="1" customWidth="1"/>
    <col min="19" max="19" width="10.109375" style="25" bestFit="1" customWidth="1"/>
    <col min="20" max="20" width="8.33203125" style="25" customWidth="1"/>
    <col min="21" max="21" width="18.109375" style="25" customWidth="1"/>
    <col min="22" max="26" width="9.109375" style="1" customWidth="1"/>
    <col min="27" max="30" width="13" style="1" hidden="1" customWidth="1"/>
    <col min="31" max="31" width="5" style="1" hidden="1" customWidth="1"/>
    <col min="32" max="34" width="9.109375" style="1" customWidth="1"/>
    <col min="35" max="16384" width="9.109375" style="1"/>
  </cols>
  <sheetData>
    <row r="1" spans="1:31" ht="15" hidden="1" customHeight="1" x14ac:dyDescent="0.25">
      <c r="A1" s="206"/>
      <c r="B1" s="75"/>
      <c r="C1" s="207" t="str">
        <f>IF(ISNUMBER(SEARCH("Ceiling Fan Body",U4)),"5601",
IF(ISNUMBER(SEARCH("Ceiling Fan Blade",U4)),"5601 BL",""))</f>
        <v>5601 BL</v>
      </c>
      <c r="D1" s="207" t="str">
        <f>IF(ISNUMBER(SEARCH("Ceiling Fan Body",U4)),"5602",
IF(ISNUMBER(SEARCH("Ceiling Fan Blade",U4)),"5602 BL",""))</f>
        <v>5602 BL</v>
      </c>
      <c r="E1" s="207" t="str">
        <f>IF(ISNUMBER(SEARCH("Ceiling Fan Body",U4)),"5603",IF(ISNUMBER(SEARCH("Ceiling Fan Blade",U4)),"5603 BL",""))</f>
        <v>5603 BL</v>
      </c>
      <c r="F1" s="207" t="str">
        <f>IF(ISNUMBER(SEARCH("Ceiling Fan Body",U4)),"5606",IF(ISNUMBER(SEARCH("Ceiling Fan Blade",U4)),"5606 BL",""))</f>
        <v>5606 BL</v>
      </c>
      <c r="G1" s="207" t="str">
        <f>IF(ISNUMBER(SEARCH("Ceiling Fan Body",U4)),"5607",IF(ISNUMBER(SEARCH("Ceiling Fan Blade",U4)),"5607 BL",""))</f>
        <v>5607 BL</v>
      </c>
      <c r="H1" s="207" t="str">
        <f>IF(ISNUMBER(SEARCH("Ceiling Fan Body",U4)),"4801",IF(ISNUMBER(SEARCH("Ceiling Fan Blade",U4)),"4801 BL",""))</f>
        <v>4801 BL</v>
      </c>
      <c r="I1" s="207" t="str">
        <f>IF(ISNUMBER(SEARCH("Ceiling Fan Body",U4)),"3601",IF(ISNUMBER(SEARCH("Ceiling Fan Blade",U4)),"3601 BL",""))</f>
        <v>3601 BL</v>
      </c>
      <c r="J1" s="207" t="str">
        <f>IF(ISNUMBER(SEARCH("Ceiling Fan Body",U4)),"2401",IF(ISNUMBER(SEARCH("Ceiling Fan Blade",U4)),"2401 BL",""))</f>
        <v>2401 BL</v>
      </c>
      <c r="K1" s="75"/>
      <c r="L1" s="208"/>
      <c r="M1" s="209"/>
    </row>
    <row r="2" spans="1:31" ht="46.5" customHeight="1" thickBot="1" x14ac:dyDescent="0.35">
      <c r="A2" s="431" t="s">
        <v>707</v>
      </c>
      <c r="B2" s="411"/>
      <c r="C2" s="411"/>
      <c r="D2" s="411"/>
      <c r="E2" s="411"/>
      <c r="F2" s="411"/>
      <c r="G2" s="411"/>
      <c r="H2" s="411"/>
      <c r="I2" s="411"/>
      <c r="J2" s="411"/>
      <c r="K2" s="411"/>
      <c r="L2" s="411"/>
      <c r="M2" s="412"/>
    </row>
    <row r="3" spans="1:31" ht="15.75" hidden="1" customHeight="1" thickBot="1" x14ac:dyDescent="0.3">
      <c r="A3" s="210"/>
      <c r="C3" s="22"/>
      <c r="D3" s="22"/>
      <c r="E3" s="22"/>
      <c r="F3" s="22"/>
      <c r="G3" s="22"/>
      <c r="H3" s="22"/>
      <c r="I3" s="22"/>
      <c r="J3" s="22"/>
      <c r="M3" s="211"/>
    </row>
    <row r="4" spans="1:31" ht="24.75" customHeight="1" x14ac:dyDescent="0.3">
      <c r="A4" s="434" t="s">
        <v>702</v>
      </c>
      <c r="B4" s="435"/>
      <c r="C4" s="182" t="s">
        <v>554</v>
      </c>
      <c r="D4" s="182" t="s">
        <v>555</v>
      </c>
      <c r="E4" s="182" t="s">
        <v>556</v>
      </c>
      <c r="F4" s="182" t="s">
        <v>558</v>
      </c>
      <c r="G4" s="182" t="s">
        <v>560</v>
      </c>
      <c r="H4" s="182" t="s">
        <v>561</v>
      </c>
      <c r="I4" s="182" t="s">
        <v>563</v>
      </c>
      <c r="J4" s="182" t="s">
        <v>564</v>
      </c>
      <c r="K4" s="216" t="s">
        <v>527</v>
      </c>
      <c r="L4" s="440" t="str">
        <f>IF(L6="","",IF(L6&gt;0,"Loss",IF(L6&lt;0,"Profit","")))</f>
        <v/>
      </c>
      <c r="M4" s="436" t="s">
        <v>708</v>
      </c>
      <c r="S4" s="186" t="s">
        <v>653</v>
      </c>
      <c r="T4" s="186">
        <v>2026</v>
      </c>
      <c r="U4" s="186" t="s">
        <v>709</v>
      </c>
    </row>
    <row r="5" spans="1:31" ht="15.75" customHeight="1" thickBot="1" x14ac:dyDescent="0.35">
      <c r="A5" s="438" t="s">
        <v>710</v>
      </c>
      <c r="B5" s="439"/>
      <c r="C5" s="215">
        <v>30000</v>
      </c>
      <c r="D5" s="215"/>
      <c r="E5" s="215"/>
      <c r="F5" s="215"/>
      <c r="G5" s="215">
        <v>500</v>
      </c>
      <c r="H5" s="215">
        <v>5000</v>
      </c>
      <c r="I5" s="215">
        <v>5000</v>
      </c>
      <c r="J5" s="215">
        <v>5000</v>
      </c>
      <c r="K5" s="217">
        <f>SUM(C5:J5)</f>
        <v>45500</v>
      </c>
      <c r="L5" s="441"/>
      <c r="M5" s="437"/>
    </row>
    <row r="6" spans="1:31" ht="15.75" customHeight="1" thickBot="1" x14ac:dyDescent="0.35">
      <c r="A6" s="432" t="s">
        <v>711</v>
      </c>
      <c r="B6" s="433"/>
      <c r="C6" s="212">
        <f t="shared" ref="C6:M6" si="0">SUM(C8:C38)</f>
        <v>0</v>
      </c>
      <c r="D6" s="212">
        <f t="shared" si="0"/>
        <v>0</v>
      </c>
      <c r="E6" s="212">
        <f t="shared" si="0"/>
        <v>0</v>
      </c>
      <c r="F6" s="212">
        <f t="shared" si="0"/>
        <v>0</v>
      </c>
      <c r="G6" s="212">
        <f t="shared" si="0"/>
        <v>0</v>
      </c>
      <c r="H6" s="212">
        <f t="shared" si="0"/>
        <v>0</v>
      </c>
      <c r="I6" s="212">
        <f t="shared" si="0"/>
        <v>0</v>
      </c>
      <c r="J6" s="212">
        <f t="shared" si="0"/>
        <v>0</v>
      </c>
      <c r="K6" s="212">
        <f t="shared" si="0"/>
        <v>0</v>
      </c>
      <c r="L6" s="213">
        <f t="shared" si="0"/>
        <v>0</v>
      </c>
      <c r="M6" s="214">
        <f t="shared" si="0"/>
        <v>45500</v>
      </c>
      <c r="S6" s="179"/>
      <c r="T6" s="179"/>
    </row>
    <row r="7" spans="1:31" ht="4.5" customHeight="1" thickBot="1" x14ac:dyDescent="0.3"/>
    <row r="8" spans="1:31" x14ac:dyDescent="0.25">
      <c r="A8" s="218">
        <f t="shared" ref="A8:A38" si="1">B8</f>
        <v>46023</v>
      </c>
      <c r="B8" s="219">
        <f t="array" ref="B8:B38">_xlfn.SEQUENCE(DAY(EOMONTH(DATE($T$4,MONTH(DATEVALUE("1 "&amp;$S$4)),1),0)),1,DATE($T$4,MONTH(DATEVALUE("1 "&amp;$S$4)),1),1)</f>
        <v>46023</v>
      </c>
      <c r="C8" s="220" t="str">
        <f>IF($B8="","",IF(SUMIFS('Entry Sheet Physical'!$E:$E,'Entry Sheet Physical'!$H:$H,C$1,'Entry Sheet Physical'!$B:$B,$B8)=0,"",SUMIFS('Entry Sheet Physical'!$E:$E,'Entry Sheet Physical'!$H:$H,C$1,'Entry Sheet Physical'!$B:$B,$B8)))</f>
        <v/>
      </c>
      <c r="D8" s="220" t="str">
        <f>IF($B8="","",IF(SUMIFS('Entry Sheet Physical'!$E:$E,'Entry Sheet Physical'!$H:$H,D$1,'Entry Sheet Physical'!$B:$B,$B8)=0,"",SUMIFS('Entry Sheet Physical'!$E:$E,'Entry Sheet Physical'!$H:$H,D$1,'Entry Sheet Physical'!$B:$B,$B8)))</f>
        <v/>
      </c>
      <c r="E8" s="220" t="str">
        <f>IF($B8="","",IF(SUMIFS('Entry Sheet Physical'!$E:$E,'Entry Sheet Physical'!$H:$H,E$1,'Entry Sheet Physical'!$B:$B,$B8)=0,"",SUMIFS('Entry Sheet Physical'!$E:$E,'Entry Sheet Physical'!$H:$H,E$1,'Entry Sheet Physical'!$B:$B,$B8)))</f>
        <v/>
      </c>
      <c r="F8" s="220" t="str">
        <f>IF($B8="","",IF(SUMIFS('Entry Sheet Physical'!$E:$E,'Entry Sheet Physical'!$H:$H,F$1,'Entry Sheet Physical'!$B:$B,$B8)=0,"",SUMIFS('Entry Sheet Physical'!$E:$E,'Entry Sheet Physical'!$H:$H,F$1,'Entry Sheet Physical'!$B:$B,$B8)))</f>
        <v/>
      </c>
      <c r="G8" s="220" t="str">
        <f>IF($B8="","",IF(SUMIFS('Entry Sheet Physical'!$E:$E,'Entry Sheet Physical'!$H:$H,G$1,'Entry Sheet Physical'!$B:$B,$B8)=0,"",SUMIFS('Entry Sheet Physical'!$E:$E,'Entry Sheet Physical'!$H:$H,G$1,'Entry Sheet Physical'!$B:$B,$B8)))</f>
        <v/>
      </c>
      <c r="H8" s="220" t="str">
        <f>IF($B8="","",IF(SUMIFS('Entry Sheet Physical'!$E:$E,'Entry Sheet Physical'!$H:$H,H$1,'Entry Sheet Physical'!$B:$B,$B8)=0,"",SUMIFS('Entry Sheet Physical'!$E:$E,'Entry Sheet Physical'!$H:$H,H$1,'Entry Sheet Physical'!$B:$B,$B8)))</f>
        <v/>
      </c>
      <c r="I8" s="220" t="str">
        <f>IF($B8="","",IF(SUMIFS('Entry Sheet Physical'!$E:$E,'Entry Sheet Physical'!$H:$H,I$1,'Entry Sheet Physical'!$B:$B,$B8)=0,"",SUMIFS('Entry Sheet Physical'!$E:$E,'Entry Sheet Physical'!$H:$H,I$1,'Entry Sheet Physical'!$B:$B,$B8)))</f>
        <v/>
      </c>
      <c r="J8" s="220" t="str">
        <f>IF($B8="","",IF(SUMIFS('Entry Sheet Physical'!$E:$E,'Entry Sheet Physical'!$H:$H,J$1,'Entry Sheet Physical'!$B:$B,$B8)=0,"",SUMIFS('Entry Sheet Physical'!$E:$E,'Entry Sheet Physical'!$H:$H,J$1,'Entry Sheet Physical'!$B:$B,$B8)))</f>
        <v/>
      </c>
      <c r="K8" s="221" t="str">
        <f t="shared" ref="K8:K38" si="2">IF(COUNT(C8:J8)=0, "", SUM(C8:J8))</f>
        <v/>
      </c>
      <c r="L8" s="222" t="str">
        <f t="shared" ref="L8:L38" si="3">IF(COUNT(K8,M8)&lt;2,"",M8-K8)</f>
        <v/>
      </c>
      <c r="M8" s="223">
        <v>1750</v>
      </c>
      <c r="S8" s="179"/>
      <c r="T8" s="179"/>
    </row>
    <row r="9" spans="1:31" x14ac:dyDescent="0.25">
      <c r="A9" s="189">
        <f t="shared" si="1"/>
        <v>46024</v>
      </c>
      <c r="B9" s="190">
        <v>46024</v>
      </c>
      <c r="C9" s="60" t="str">
        <f>IF($B9="","",IF(SUMIFS('Entry Sheet Physical'!$E:$E,'Entry Sheet Physical'!$H:$H,C$1,'Entry Sheet Physical'!$B:$B,$B9)=0,"",SUMIFS('Entry Sheet Physical'!$E:$E,'Entry Sheet Physical'!$H:$H,C$1,'Entry Sheet Physical'!$B:$B,$B9)))</f>
        <v/>
      </c>
      <c r="D9" s="60" t="str">
        <f>IF($B9="","",IF(SUMIFS('Entry Sheet Physical'!$E:$E,'Entry Sheet Physical'!$H:$H,D$1,'Entry Sheet Physical'!$B:$B,$B9)=0,"",SUMIFS('Entry Sheet Physical'!$E:$E,'Entry Sheet Physical'!$H:$H,D$1,'Entry Sheet Physical'!$B:$B,$B9)))</f>
        <v/>
      </c>
      <c r="E9" s="60" t="str">
        <f>IF($B9="","",IF(SUMIFS('Entry Sheet Physical'!$E:$E,'Entry Sheet Physical'!$H:$H,E$1,'Entry Sheet Physical'!$B:$B,$B9)=0,"",SUMIFS('Entry Sheet Physical'!$E:$E,'Entry Sheet Physical'!$H:$H,E$1,'Entry Sheet Physical'!$B:$B,$B9)))</f>
        <v/>
      </c>
      <c r="F9" s="60" t="str">
        <f>IF($B9="","",IF(SUMIFS('Entry Sheet Physical'!$E:$E,'Entry Sheet Physical'!$H:$H,F$1,'Entry Sheet Physical'!$B:$B,$B9)=0,"",SUMIFS('Entry Sheet Physical'!$E:$E,'Entry Sheet Physical'!$H:$H,F$1,'Entry Sheet Physical'!$B:$B,$B9)))</f>
        <v/>
      </c>
      <c r="G9" s="60" t="str">
        <f>IF($B9="","",IF(SUMIFS('Entry Sheet Physical'!$E:$E,'Entry Sheet Physical'!$H:$H,G$1,'Entry Sheet Physical'!$B:$B,$B9)=0,"",SUMIFS('Entry Sheet Physical'!$E:$E,'Entry Sheet Physical'!$H:$H,G$1,'Entry Sheet Physical'!$B:$B,$B9)))</f>
        <v/>
      </c>
      <c r="H9" s="60" t="str">
        <f>IF($B9="","",IF(SUMIFS('Entry Sheet Physical'!$E:$E,'Entry Sheet Physical'!$H:$H,H$1,'Entry Sheet Physical'!$B:$B,$B9)=0,"",SUMIFS('Entry Sheet Physical'!$E:$E,'Entry Sheet Physical'!$H:$H,H$1,'Entry Sheet Physical'!$B:$B,$B9)))</f>
        <v/>
      </c>
      <c r="I9" s="60" t="str">
        <f>IF($B9="","",IF(SUMIFS('Entry Sheet Physical'!$E:$E,'Entry Sheet Physical'!$H:$H,I$1,'Entry Sheet Physical'!$B:$B,$B9)=0,"",SUMIFS('Entry Sheet Physical'!$E:$E,'Entry Sheet Physical'!$H:$H,I$1,'Entry Sheet Physical'!$B:$B,$B9)))</f>
        <v/>
      </c>
      <c r="J9" s="60" t="str">
        <f>IF($B9="","",IF(SUMIFS('Entry Sheet Physical'!$E:$E,'Entry Sheet Physical'!$H:$H,J$1,'Entry Sheet Physical'!$B:$B,$B9)=0,"",SUMIFS('Entry Sheet Physical'!$E:$E,'Entry Sheet Physical'!$H:$H,J$1,'Entry Sheet Physical'!$B:$B,$B9)))</f>
        <v/>
      </c>
      <c r="K9" s="180" t="str">
        <f t="shared" si="2"/>
        <v/>
      </c>
      <c r="L9" s="181" t="str">
        <f t="shared" si="3"/>
        <v/>
      </c>
      <c r="M9" s="187">
        <v>1750</v>
      </c>
      <c r="S9" s="179"/>
      <c r="T9" s="179"/>
      <c r="AA9" s="178">
        <v>5601</v>
      </c>
      <c r="AB9" s="1" t="s">
        <v>712</v>
      </c>
      <c r="AD9" s="1" t="s">
        <v>653</v>
      </c>
      <c r="AE9" s="1">
        <v>2026</v>
      </c>
    </row>
    <row r="10" spans="1:31" x14ac:dyDescent="0.25">
      <c r="A10" s="189">
        <f t="shared" si="1"/>
        <v>46025</v>
      </c>
      <c r="B10" s="190">
        <v>46025</v>
      </c>
      <c r="C10" s="60" t="str">
        <f>IF($B10="","",IF(SUMIFS('Entry Sheet Physical'!$E:$E,'Entry Sheet Physical'!$H:$H,C$1,'Entry Sheet Physical'!$B:$B,$B10)=0,"",SUMIFS('Entry Sheet Physical'!$E:$E,'Entry Sheet Physical'!$H:$H,C$1,'Entry Sheet Physical'!$B:$B,$B10)))</f>
        <v/>
      </c>
      <c r="D10" s="60" t="str">
        <f>IF($B10="","",IF(SUMIFS('Entry Sheet Physical'!$E:$E,'Entry Sheet Physical'!$H:$H,D$1,'Entry Sheet Physical'!$B:$B,$B10)=0,"",SUMIFS('Entry Sheet Physical'!$E:$E,'Entry Sheet Physical'!$H:$H,D$1,'Entry Sheet Physical'!$B:$B,$B10)))</f>
        <v/>
      </c>
      <c r="E10" s="60" t="str">
        <f>IF($B10="","",IF(SUMIFS('Entry Sheet Physical'!$E:$E,'Entry Sheet Physical'!$H:$H,E$1,'Entry Sheet Physical'!$B:$B,$B10)=0,"",SUMIFS('Entry Sheet Physical'!$E:$E,'Entry Sheet Physical'!$H:$H,E$1,'Entry Sheet Physical'!$B:$B,$B10)))</f>
        <v/>
      </c>
      <c r="F10" s="60" t="str">
        <f>IF($B10="","",IF(SUMIFS('Entry Sheet Physical'!$E:$E,'Entry Sheet Physical'!$H:$H,F$1,'Entry Sheet Physical'!$B:$B,$B10)=0,"",SUMIFS('Entry Sheet Physical'!$E:$E,'Entry Sheet Physical'!$H:$H,F$1,'Entry Sheet Physical'!$B:$B,$B10)))</f>
        <v/>
      </c>
      <c r="G10" s="60" t="str">
        <f>IF($B10="","",IF(SUMIFS('Entry Sheet Physical'!$E:$E,'Entry Sheet Physical'!$H:$H,G$1,'Entry Sheet Physical'!$B:$B,$B10)=0,"",SUMIFS('Entry Sheet Physical'!$E:$E,'Entry Sheet Physical'!$H:$H,G$1,'Entry Sheet Physical'!$B:$B,$B10)))</f>
        <v/>
      </c>
      <c r="H10" s="60" t="str">
        <f>IF($B10="","",IF(SUMIFS('Entry Sheet Physical'!$E:$E,'Entry Sheet Physical'!$H:$H,H$1,'Entry Sheet Physical'!$B:$B,$B10)=0,"",SUMIFS('Entry Sheet Physical'!$E:$E,'Entry Sheet Physical'!$H:$H,H$1,'Entry Sheet Physical'!$B:$B,$B10)))</f>
        <v/>
      </c>
      <c r="I10" s="60" t="str">
        <f>IF($B10="","",IF(SUMIFS('Entry Sheet Physical'!$E:$E,'Entry Sheet Physical'!$H:$H,I$1,'Entry Sheet Physical'!$B:$B,$B10)=0,"",SUMIFS('Entry Sheet Physical'!$E:$E,'Entry Sheet Physical'!$H:$H,I$1,'Entry Sheet Physical'!$B:$B,$B10)))</f>
        <v/>
      </c>
      <c r="J10" s="60" t="str">
        <f>IF($B10="","",IF(SUMIFS('Entry Sheet Physical'!$E:$E,'Entry Sheet Physical'!$H:$H,J$1,'Entry Sheet Physical'!$B:$B,$B10)=0,"",SUMIFS('Entry Sheet Physical'!$E:$E,'Entry Sheet Physical'!$H:$H,J$1,'Entry Sheet Physical'!$B:$B,$B10)))</f>
        <v/>
      </c>
      <c r="K10" s="180" t="str">
        <f t="shared" si="2"/>
        <v/>
      </c>
      <c r="L10" s="181" t="str">
        <f t="shared" si="3"/>
        <v/>
      </c>
      <c r="M10" s="187">
        <v>1750</v>
      </c>
      <c r="S10" s="179"/>
      <c r="T10" s="179"/>
      <c r="AA10" s="178">
        <v>5602</v>
      </c>
      <c r="AB10" s="1" t="s">
        <v>709</v>
      </c>
      <c r="AD10" s="1" t="s">
        <v>654</v>
      </c>
      <c r="AE10" s="1">
        <v>2027</v>
      </c>
    </row>
    <row r="11" spans="1:31" x14ac:dyDescent="0.25">
      <c r="A11" s="189">
        <f t="shared" si="1"/>
        <v>46026</v>
      </c>
      <c r="B11" s="190">
        <v>46026</v>
      </c>
      <c r="C11" s="60" t="str">
        <f>IF($B11="","",IF(SUMIFS('Entry Sheet Physical'!$E:$E,'Entry Sheet Physical'!$H:$H,C$1,'Entry Sheet Physical'!$B:$B,$B11)=0,"",SUMIFS('Entry Sheet Physical'!$E:$E,'Entry Sheet Physical'!$H:$H,C$1,'Entry Sheet Physical'!$B:$B,$B11)))</f>
        <v/>
      </c>
      <c r="D11" s="60" t="str">
        <f>IF($B11="","",IF(SUMIFS('Entry Sheet Physical'!$E:$E,'Entry Sheet Physical'!$H:$H,D$1,'Entry Sheet Physical'!$B:$B,$B11)=0,"",SUMIFS('Entry Sheet Physical'!$E:$E,'Entry Sheet Physical'!$H:$H,D$1,'Entry Sheet Physical'!$B:$B,$B11)))</f>
        <v/>
      </c>
      <c r="E11" s="60" t="str">
        <f>IF($B11="","",IF(SUMIFS('Entry Sheet Physical'!$E:$E,'Entry Sheet Physical'!$H:$H,E$1,'Entry Sheet Physical'!$B:$B,$B11)=0,"",SUMIFS('Entry Sheet Physical'!$E:$E,'Entry Sheet Physical'!$H:$H,E$1,'Entry Sheet Physical'!$B:$B,$B11)))</f>
        <v/>
      </c>
      <c r="F11" s="60" t="str">
        <f>IF($B11="","",IF(SUMIFS('Entry Sheet Physical'!$E:$E,'Entry Sheet Physical'!$H:$H,F$1,'Entry Sheet Physical'!$B:$B,$B11)=0,"",SUMIFS('Entry Sheet Physical'!$E:$E,'Entry Sheet Physical'!$H:$H,F$1,'Entry Sheet Physical'!$B:$B,$B11)))</f>
        <v/>
      </c>
      <c r="G11" s="60" t="str">
        <f>IF($B11="","",IF(SUMIFS('Entry Sheet Physical'!$E:$E,'Entry Sheet Physical'!$H:$H,G$1,'Entry Sheet Physical'!$B:$B,$B11)=0,"",SUMIFS('Entry Sheet Physical'!$E:$E,'Entry Sheet Physical'!$H:$H,G$1,'Entry Sheet Physical'!$B:$B,$B11)))</f>
        <v/>
      </c>
      <c r="H11" s="60" t="str">
        <f>IF($B11="","",IF(SUMIFS('Entry Sheet Physical'!$E:$E,'Entry Sheet Physical'!$H:$H,H$1,'Entry Sheet Physical'!$B:$B,$B11)=0,"",SUMIFS('Entry Sheet Physical'!$E:$E,'Entry Sheet Physical'!$H:$H,H$1,'Entry Sheet Physical'!$B:$B,$B11)))</f>
        <v/>
      </c>
      <c r="I11" s="60" t="str">
        <f>IF($B11="","",IF(SUMIFS('Entry Sheet Physical'!$E:$E,'Entry Sheet Physical'!$H:$H,I$1,'Entry Sheet Physical'!$B:$B,$B11)=0,"",SUMIFS('Entry Sheet Physical'!$E:$E,'Entry Sheet Physical'!$H:$H,I$1,'Entry Sheet Physical'!$B:$B,$B11)))</f>
        <v/>
      </c>
      <c r="J11" s="60" t="str">
        <f>IF($B11="","",IF(SUMIFS('Entry Sheet Physical'!$E:$E,'Entry Sheet Physical'!$H:$H,J$1,'Entry Sheet Physical'!$B:$B,$B11)=0,"",SUMIFS('Entry Sheet Physical'!$E:$E,'Entry Sheet Physical'!$H:$H,J$1,'Entry Sheet Physical'!$B:$B,$B11)))</f>
        <v/>
      </c>
      <c r="K11" s="180" t="str">
        <f t="shared" si="2"/>
        <v/>
      </c>
      <c r="L11" s="181" t="str">
        <f t="shared" si="3"/>
        <v/>
      </c>
      <c r="M11" s="187">
        <v>1750</v>
      </c>
      <c r="S11" s="179"/>
      <c r="T11" s="179"/>
      <c r="AA11" s="178">
        <v>5603</v>
      </c>
      <c r="AD11" s="1" t="s">
        <v>655</v>
      </c>
      <c r="AE11" s="1" t="s">
        <v>713</v>
      </c>
    </row>
    <row r="12" spans="1:31" x14ac:dyDescent="0.25">
      <c r="A12" s="189">
        <f t="shared" si="1"/>
        <v>46027</v>
      </c>
      <c r="B12" s="190">
        <v>46027</v>
      </c>
      <c r="C12" s="60" t="str">
        <f>IF($B12="","",IF(SUMIFS('Entry Sheet Physical'!$E:$E,'Entry Sheet Physical'!$H:$H,C$1,'Entry Sheet Physical'!$B:$B,$B12)=0,"",SUMIFS('Entry Sheet Physical'!$E:$E,'Entry Sheet Physical'!$H:$H,C$1,'Entry Sheet Physical'!$B:$B,$B12)))</f>
        <v/>
      </c>
      <c r="D12" s="60" t="str">
        <f>IF($B12="","",IF(SUMIFS('Entry Sheet Physical'!$E:$E,'Entry Sheet Physical'!$H:$H,D$1,'Entry Sheet Physical'!$B:$B,$B12)=0,"",SUMIFS('Entry Sheet Physical'!$E:$E,'Entry Sheet Physical'!$H:$H,D$1,'Entry Sheet Physical'!$B:$B,$B12)))</f>
        <v/>
      </c>
      <c r="E12" s="60" t="str">
        <f>IF($B12="","",IF(SUMIFS('Entry Sheet Physical'!$E:$E,'Entry Sheet Physical'!$H:$H,E$1,'Entry Sheet Physical'!$B:$B,$B12)=0,"",SUMIFS('Entry Sheet Physical'!$E:$E,'Entry Sheet Physical'!$H:$H,E$1,'Entry Sheet Physical'!$B:$B,$B12)))</f>
        <v/>
      </c>
      <c r="F12" s="60" t="str">
        <f>IF($B12="","",IF(SUMIFS('Entry Sheet Physical'!$E:$E,'Entry Sheet Physical'!$H:$H,F$1,'Entry Sheet Physical'!$B:$B,$B12)=0,"",SUMIFS('Entry Sheet Physical'!$E:$E,'Entry Sheet Physical'!$H:$H,F$1,'Entry Sheet Physical'!$B:$B,$B12)))</f>
        <v/>
      </c>
      <c r="G12" s="60" t="str">
        <f>IF($B12="","",IF(SUMIFS('Entry Sheet Physical'!$E:$E,'Entry Sheet Physical'!$H:$H,G$1,'Entry Sheet Physical'!$B:$B,$B12)=0,"",SUMIFS('Entry Sheet Physical'!$E:$E,'Entry Sheet Physical'!$H:$H,G$1,'Entry Sheet Physical'!$B:$B,$B12)))</f>
        <v/>
      </c>
      <c r="H12" s="60" t="str">
        <f>IF($B12="","",IF(SUMIFS('Entry Sheet Physical'!$E:$E,'Entry Sheet Physical'!$H:$H,H$1,'Entry Sheet Physical'!$B:$B,$B12)=0,"",SUMIFS('Entry Sheet Physical'!$E:$E,'Entry Sheet Physical'!$H:$H,H$1,'Entry Sheet Physical'!$B:$B,$B12)))</f>
        <v/>
      </c>
      <c r="I12" s="60" t="str">
        <f>IF($B12="","",IF(SUMIFS('Entry Sheet Physical'!$E:$E,'Entry Sheet Physical'!$H:$H,I$1,'Entry Sheet Physical'!$B:$B,$B12)=0,"",SUMIFS('Entry Sheet Physical'!$E:$E,'Entry Sheet Physical'!$H:$H,I$1,'Entry Sheet Physical'!$B:$B,$B12)))</f>
        <v/>
      </c>
      <c r="J12" s="60" t="str">
        <f>IF($B12="","",IF(SUMIFS('Entry Sheet Physical'!$E:$E,'Entry Sheet Physical'!$H:$H,J$1,'Entry Sheet Physical'!$B:$B,$B12)=0,"",SUMIFS('Entry Sheet Physical'!$E:$E,'Entry Sheet Physical'!$H:$H,J$1,'Entry Sheet Physical'!$B:$B,$B12)))</f>
        <v/>
      </c>
      <c r="K12" s="180" t="str">
        <f t="shared" si="2"/>
        <v/>
      </c>
      <c r="L12" s="181" t="str">
        <f t="shared" si="3"/>
        <v/>
      </c>
      <c r="M12" s="187"/>
      <c r="S12" s="179"/>
      <c r="T12" s="179"/>
      <c r="AA12" s="178">
        <v>3601</v>
      </c>
      <c r="AD12" s="1" t="s">
        <v>656</v>
      </c>
      <c r="AE12" s="1" t="s">
        <v>714</v>
      </c>
    </row>
    <row r="13" spans="1:31" x14ac:dyDescent="0.25">
      <c r="A13" s="189">
        <f t="shared" si="1"/>
        <v>46028</v>
      </c>
      <c r="B13" s="190">
        <v>46028</v>
      </c>
      <c r="C13" s="60" t="str">
        <f>IF($B13="","",IF(SUMIFS('Entry Sheet Physical'!$E:$E,'Entry Sheet Physical'!$H:$H,C$1,'Entry Sheet Physical'!$B:$B,$B13)=0,"",SUMIFS('Entry Sheet Physical'!$E:$E,'Entry Sheet Physical'!$H:$H,C$1,'Entry Sheet Physical'!$B:$B,$B13)))</f>
        <v/>
      </c>
      <c r="D13" s="60" t="str">
        <f>IF($B13="","",IF(SUMIFS('Entry Sheet Physical'!$E:$E,'Entry Sheet Physical'!$H:$H,D$1,'Entry Sheet Physical'!$B:$B,$B13)=0,"",SUMIFS('Entry Sheet Physical'!$E:$E,'Entry Sheet Physical'!$H:$H,D$1,'Entry Sheet Physical'!$B:$B,$B13)))</f>
        <v/>
      </c>
      <c r="E13" s="60" t="str">
        <f>IF($B13="","",IF(SUMIFS('Entry Sheet Physical'!$E:$E,'Entry Sheet Physical'!$H:$H,E$1,'Entry Sheet Physical'!$B:$B,$B13)=0,"",SUMIFS('Entry Sheet Physical'!$E:$E,'Entry Sheet Physical'!$H:$H,E$1,'Entry Sheet Physical'!$B:$B,$B13)))</f>
        <v/>
      </c>
      <c r="F13" s="60" t="str">
        <f>IF($B13="","",IF(SUMIFS('Entry Sheet Physical'!$E:$E,'Entry Sheet Physical'!$H:$H,F$1,'Entry Sheet Physical'!$B:$B,$B13)=0,"",SUMIFS('Entry Sheet Physical'!$E:$E,'Entry Sheet Physical'!$H:$H,F$1,'Entry Sheet Physical'!$B:$B,$B13)))</f>
        <v/>
      </c>
      <c r="G13" s="60" t="str">
        <f>IF($B13="","",IF(SUMIFS('Entry Sheet Physical'!$E:$E,'Entry Sheet Physical'!$H:$H,G$1,'Entry Sheet Physical'!$B:$B,$B13)=0,"",SUMIFS('Entry Sheet Physical'!$E:$E,'Entry Sheet Physical'!$H:$H,G$1,'Entry Sheet Physical'!$B:$B,$B13)))</f>
        <v/>
      </c>
      <c r="H13" s="60" t="str">
        <f>IF($B13="","",IF(SUMIFS('Entry Sheet Physical'!$E:$E,'Entry Sheet Physical'!$H:$H,H$1,'Entry Sheet Physical'!$B:$B,$B13)=0,"",SUMIFS('Entry Sheet Physical'!$E:$E,'Entry Sheet Physical'!$H:$H,H$1,'Entry Sheet Physical'!$B:$B,$B13)))</f>
        <v/>
      </c>
      <c r="I13" s="60" t="str">
        <f>IF($B13="","",IF(SUMIFS('Entry Sheet Physical'!$E:$E,'Entry Sheet Physical'!$H:$H,I$1,'Entry Sheet Physical'!$B:$B,$B13)=0,"",SUMIFS('Entry Sheet Physical'!$E:$E,'Entry Sheet Physical'!$H:$H,I$1,'Entry Sheet Physical'!$B:$B,$B13)))</f>
        <v/>
      </c>
      <c r="J13" s="60" t="str">
        <f>IF($B13="","",IF(SUMIFS('Entry Sheet Physical'!$E:$E,'Entry Sheet Physical'!$H:$H,J$1,'Entry Sheet Physical'!$B:$B,$B13)=0,"",SUMIFS('Entry Sheet Physical'!$E:$E,'Entry Sheet Physical'!$H:$H,J$1,'Entry Sheet Physical'!$B:$B,$B13)))</f>
        <v/>
      </c>
      <c r="K13" s="180" t="str">
        <f t="shared" si="2"/>
        <v/>
      </c>
      <c r="L13" s="181" t="str">
        <f t="shared" si="3"/>
        <v/>
      </c>
      <c r="M13" s="187"/>
      <c r="S13" s="179"/>
      <c r="T13" s="179"/>
      <c r="AA13" s="178">
        <v>2401</v>
      </c>
      <c r="AD13" s="1" t="s">
        <v>657</v>
      </c>
    </row>
    <row r="14" spans="1:31" x14ac:dyDescent="0.25">
      <c r="A14" s="189">
        <f t="shared" si="1"/>
        <v>46029</v>
      </c>
      <c r="B14" s="190">
        <v>46029</v>
      </c>
      <c r="C14" s="60" t="str">
        <f>IF($B14="","",IF(SUMIFS('Entry Sheet Physical'!$E:$E,'Entry Sheet Physical'!$H:$H,C$1,'Entry Sheet Physical'!$B:$B,$B14)=0,"",SUMIFS('Entry Sheet Physical'!$E:$E,'Entry Sheet Physical'!$H:$H,C$1,'Entry Sheet Physical'!$B:$B,$B14)))</f>
        <v/>
      </c>
      <c r="D14" s="60" t="str">
        <f>IF($B14="","",IF(SUMIFS('Entry Sheet Physical'!$E:$E,'Entry Sheet Physical'!$H:$H,D$1,'Entry Sheet Physical'!$B:$B,$B14)=0,"",SUMIFS('Entry Sheet Physical'!$E:$E,'Entry Sheet Physical'!$H:$H,D$1,'Entry Sheet Physical'!$B:$B,$B14)))</f>
        <v/>
      </c>
      <c r="E14" s="60" t="str">
        <f>IF($B14="","",IF(SUMIFS('Entry Sheet Physical'!$E:$E,'Entry Sheet Physical'!$H:$H,E$1,'Entry Sheet Physical'!$B:$B,$B14)=0,"",SUMIFS('Entry Sheet Physical'!$E:$E,'Entry Sheet Physical'!$H:$H,E$1,'Entry Sheet Physical'!$B:$B,$B14)))</f>
        <v/>
      </c>
      <c r="F14" s="60" t="str">
        <f>IF($B14="","",IF(SUMIFS('Entry Sheet Physical'!$E:$E,'Entry Sheet Physical'!$H:$H,F$1,'Entry Sheet Physical'!$B:$B,$B14)=0,"",SUMIFS('Entry Sheet Physical'!$E:$E,'Entry Sheet Physical'!$H:$H,F$1,'Entry Sheet Physical'!$B:$B,$B14)))</f>
        <v/>
      </c>
      <c r="G14" s="60" t="str">
        <f>IF($B14="","",IF(SUMIFS('Entry Sheet Physical'!$E:$E,'Entry Sheet Physical'!$H:$H,G$1,'Entry Sheet Physical'!$B:$B,$B14)=0,"",SUMIFS('Entry Sheet Physical'!$E:$E,'Entry Sheet Physical'!$H:$H,G$1,'Entry Sheet Physical'!$B:$B,$B14)))</f>
        <v/>
      </c>
      <c r="H14" s="60" t="str">
        <f>IF($B14="","",IF(SUMIFS('Entry Sheet Physical'!$E:$E,'Entry Sheet Physical'!$H:$H,H$1,'Entry Sheet Physical'!$B:$B,$B14)=0,"",SUMIFS('Entry Sheet Physical'!$E:$E,'Entry Sheet Physical'!$H:$H,H$1,'Entry Sheet Physical'!$B:$B,$B14)))</f>
        <v/>
      </c>
      <c r="I14" s="60" t="str">
        <f>IF($B14="","",IF(SUMIFS('Entry Sheet Physical'!$E:$E,'Entry Sheet Physical'!$H:$H,I$1,'Entry Sheet Physical'!$B:$B,$B14)=0,"",SUMIFS('Entry Sheet Physical'!$E:$E,'Entry Sheet Physical'!$H:$H,I$1,'Entry Sheet Physical'!$B:$B,$B14)))</f>
        <v/>
      </c>
      <c r="J14" s="60" t="str">
        <f>IF($B14="","",IF(SUMIFS('Entry Sheet Physical'!$E:$E,'Entry Sheet Physical'!$H:$H,J$1,'Entry Sheet Physical'!$B:$B,$B14)=0,"",SUMIFS('Entry Sheet Physical'!$E:$E,'Entry Sheet Physical'!$H:$H,J$1,'Entry Sheet Physical'!$B:$B,$B14)))</f>
        <v/>
      </c>
      <c r="K14" s="180" t="str">
        <f t="shared" si="2"/>
        <v/>
      </c>
      <c r="L14" s="181" t="str">
        <f t="shared" si="3"/>
        <v/>
      </c>
      <c r="M14" s="187"/>
      <c r="S14" s="179"/>
      <c r="T14" s="179"/>
      <c r="AA14" s="178">
        <v>5606</v>
      </c>
      <c r="AD14" s="1" t="s">
        <v>658</v>
      </c>
    </row>
    <row r="15" spans="1:31" x14ac:dyDescent="0.25">
      <c r="A15" s="189">
        <f t="shared" si="1"/>
        <v>46030</v>
      </c>
      <c r="B15" s="190">
        <v>46030</v>
      </c>
      <c r="C15" s="60" t="str">
        <f>IF($B15="","",IF(SUMIFS('Entry Sheet Physical'!$E:$E,'Entry Sheet Physical'!$H:$H,C$1,'Entry Sheet Physical'!$B:$B,$B15)=0,"",SUMIFS('Entry Sheet Physical'!$E:$E,'Entry Sheet Physical'!$H:$H,C$1,'Entry Sheet Physical'!$B:$B,$B15)))</f>
        <v/>
      </c>
      <c r="D15" s="60" t="str">
        <f>IF($B15="","",IF(SUMIFS('Entry Sheet Physical'!$E:$E,'Entry Sheet Physical'!$H:$H,D$1,'Entry Sheet Physical'!$B:$B,$B15)=0,"",SUMIFS('Entry Sheet Physical'!$E:$E,'Entry Sheet Physical'!$H:$H,D$1,'Entry Sheet Physical'!$B:$B,$B15)))</f>
        <v/>
      </c>
      <c r="E15" s="60" t="str">
        <f>IF($B15="","",IF(SUMIFS('Entry Sheet Physical'!$E:$E,'Entry Sheet Physical'!$H:$H,E$1,'Entry Sheet Physical'!$B:$B,$B15)=0,"",SUMIFS('Entry Sheet Physical'!$E:$E,'Entry Sheet Physical'!$H:$H,E$1,'Entry Sheet Physical'!$B:$B,$B15)))</f>
        <v/>
      </c>
      <c r="F15" s="60" t="str">
        <f>IF($B15="","",IF(SUMIFS('Entry Sheet Physical'!$E:$E,'Entry Sheet Physical'!$H:$H,F$1,'Entry Sheet Physical'!$B:$B,$B15)=0,"",SUMIFS('Entry Sheet Physical'!$E:$E,'Entry Sheet Physical'!$H:$H,F$1,'Entry Sheet Physical'!$B:$B,$B15)))</f>
        <v/>
      </c>
      <c r="G15" s="60" t="str">
        <f>IF($B15="","",IF(SUMIFS('Entry Sheet Physical'!$E:$E,'Entry Sheet Physical'!$H:$H,G$1,'Entry Sheet Physical'!$B:$B,$B15)=0,"",SUMIFS('Entry Sheet Physical'!$E:$E,'Entry Sheet Physical'!$H:$H,G$1,'Entry Sheet Physical'!$B:$B,$B15)))</f>
        <v/>
      </c>
      <c r="H15" s="60" t="str">
        <f>IF($B15="","",IF(SUMIFS('Entry Sheet Physical'!$E:$E,'Entry Sheet Physical'!$H:$H,H$1,'Entry Sheet Physical'!$B:$B,$B15)=0,"",SUMIFS('Entry Sheet Physical'!$E:$E,'Entry Sheet Physical'!$H:$H,H$1,'Entry Sheet Physical'!$B:$B,$B15)))</f>
        <v/>
      </c>
      <c r="I15" s="60" t="str">
        <f>IF($B15="","",IF(SUMIFS('Entry Sheet Physical'!$E:$E,'Entry Sheet Physical'!$H:$H,I$1,'Entry Sheet Physical'!$B:$B,$B15)=0,"",SUMIFS('Entry Sheet Physical'!$E:$E,'Entry Sheet Physical'!$H:$H,I$1,'Entry Sheet Physical'!$B:$B,$B15)))</f>
        <v/>
      </c>
      <c r="J15" s="60" t="str">
        <f>IF($B15="","",IF(SUMIFS('Entry Sheet Physical'!$E:$E,'Entry Sheet Physical'!$H:$H,J$1,'Entry Sheet Physical'!$B:$B,$B15)=0,"",SUMIFS('Entry Sheet Physical'!$E:$E,'Entry Sheet Physical'!$H:$H,J$1,'Entry Sheet Physical'!$B:$B,$B15)))</f>
        <v/>
      </c>
      <c r="K15" s="180" t="str">
        <f t="shared" si="2"/>
        <v/>
      </c>
      <c r="L15" s="181" t="str">
        <f t="shared" si="3"/>
        <v/>
      </c>
      <c r="M15" s="187">
        <v>1750</v>
      </c>
      <c r="S15" s="179"/>
      <c r="T15" s="179"/>
      <c r="AA15" s="178">
        <v>5607</v>
      </c>
      <c r="AD15" s="1" t="s">
        <v>659</v>
      </c>
    </row>
    <row r="16" spans="1:31" x14ac:dyDescent="0.25">
      <c r="A16" s="189">
        <f t="shared" si="1"/>
        <v>46031</v>
      </c>
      <c r="B16" s="190">
        <v>46031</v>
      </c>
      <c r="C16" s="60" t="str">
        <f>IF($B16="","",IF(SUMIFS('Entry Sheet Physical'!$E:$E,'Entry Sheet Physical'!$H:$H,C$1,'Entry Sheet Physical'!$B:$B,$B16)=0,"",SUMIFS('Entry Sheet Physical'!$E:$E,'Entry Sheet Physical'!$H:$H,C$1,'Entry Sheet Physical'!$B:$B,$B16)))</f>
        <v/>
      </c>
      <c r="D16" s="60" t="str">
        <f>IF($B16="","",IF(SUMIFS('Entry Sheet Physical'!$E:$E,'Entry Sheet Physical'!$H:$H,D$1,'Entry Sheet Physical'!$B:$B,$B16)=0,"",SUMIFS('Entry Sheet Physical'!$E:$E,'Entry Sheet Physical'!$H:$H,D$1,'Entry Sheet Physical'!$B:$B,$B16)))</f>
        <v/>
      </c>
      <c r="E16" s="60" t="str">
        <f>IF($B16="","",IF(SUMIFS('Entry Sheet Physical'!$E:$E,'Entry Sheet Physical'!$H:$H,E$1,'Entry Sheet Physical'!$B:$B,$B16)=0,"",SUMIFS('Entry Sheet Physical'!$E:$E,'Entry Sheet Physical'!$H:$H,E$1,'Entry Sheet Physical'!$B:$B,$B16)))</f>
        <v/>
      </c>
      <c r="F16" s="60" t="str">
        <f>IF($B16="","",IF(SUMIFS('Entry Sheet Physical'!$E:$E,'Entry Sheet Physical'!$H:$H,F$1,'Entry Sheet Physical'!$B:$B,$B16)=0,"",SUMIFS('Entry Sheet Physical'!$E:$E,'Entry Sheet Physical'!$H:$H,F$1,'Entry Sheet Physical'!$B:$B,$B16)))</f>
        <v/>
      </c>
      <c r="G16" s="60" t="str">
        <f>IF($B16="","",IF(SUMIFS('Entry Sheet Physical'!$E:$E,'Entry Sheet Physical'!$H:$H,G$1,'Entry Sheet Physical'!$B:$B,$B16)=0,"",SUMIFS('Entry Sheet Physical'!$E:$E,'Entry Sheet Physical'!$H:$H,G$1,'Entry Sheet Physical'!$B:$B,$B16)))</f>
        <v/>
      </c>
      <c r="H16" s="60" t="str">
        <f>IF($B16="","",IF(SUMIFS('Entry Sheet Physical'!$E:$E,'Entry Sheet Physical'!$H:$H,H$1,'Entry Sheet Physical'!$B:$B,$B16)=0,"",SUMIFS('Entry Sheet Physical'!$E:$E,'Entry Sheet Physical'!$H:$H,H$1,'Entry Sheet Physical'!$B:$B,$B16)))</f>
        <v/>
      </c>
      <c r="I16" s="60" t="str">
        <f>IF($B16="","",IF(SUMIFS('Entry Sheet Physical'!$E:$E,'Entry Sheet Physical'!$H:$H,I$1,'Entry Sheet Physical'!$B:$B,$B16)=0,"",SUMIFS('Entry Sheet Physical'!$E:$E,'Entry Sheet Physical'!$H:$H,I$1,'Entry Sheet Physical'!$B:$B,$B16)))</f>
        <v/>
      </c>
      <c r="J16" s="60" t="str">
        <f>IF($B16="","",IF(SUMIFS('Entry Sheet Physical'!$E:$E,'Entry Sheet Physical'!$H:$H,J$1,'Entry Sheet Physical'!$B:$B,$B16)=0,"",SUMIFS('Entry Sheet Physical'!$E:$E,'Entry Sheet Physical'!$H:$H,J$1,'Entry Sheet Physical'!$B:$B,$B16)))</f>
        <v/>
      </c>
      <c r="K16" s="180" t="str">
        <f t="shared" si="2"/>
        <v/>
      </c>
      <c r="L16" s="181" t="str">
        <f t="shared" si="3"/>
        <v/>
      </c>
      <c r="M16" s="187">
        <v>1750</v>
      </c>
      <c r="S16" s="179"/>
      <c r="T16" s="179"/>
      <c r="AA16" s="178">
        <v>4801</v>
      </c>
      <c r="AD16" s="1" t="s">
        <v>650</v>
      </c>
    </row>
    <row r="17" spans="1:30" x14ac:dyDescent="0.25">
      <c r="A17" s="189">
        <f t="shared" si="1"/>
        <v>46032</v>
      </c>
      <c r="B17" s="190">
        <v>46032</v>
      </c>
      <c r="C17" s="60" t="str">
        <f>IF($B17="","",IF(SUMIFS('Entry Sheet Physical'!$E:$E,'Entry Sheet Physical'!$H:$H,C$1,'Entry Sheet Physical'!$B:$B,$B17)=0,"",SUMIFS('Entry Sheet Physical'!$E:$E,'Entry Sheet Physical'!$H:$H,C$1,'Entry Sheet Physical'!$B:$B,$B17)))</f>
        <v/>
      </c>
      <c r="D17" s="60" t="str">
        <f>IF($B17="","",IF(SUMIFS('Entry Sheet Physical'!$E:$E,'Entry Sheet Physical'!$H:$H,D$1,'Entry Sheet Physical'!$B:$B,$B17)=0,"",SUMIFS('Entry Sheet Physical'!$E:$E,'Entry Sheet Physical'!$H:$H,D$1,'Entry Sheet Physical'!$B:$B,$B17)))</f>
        <v/>
      </c>
      <c r="E17" s="60" t="str">
        <f>IF($B17="","",IF(SUMIFS('Entry Sheet Physical'!$E:$E,'Entry Sheet Physical'!$H:$H,E$1,'Entry Sheet Physical'!$B:$B,$B17)=0,"",SUMIFS('Entry Sheet Physical'!$E:$E,'Entry Sheet Physical'!$H:$H,E$1,'Entry Sheet Physical'!$B:$B,$B17)))</f>
        <v/>
      </c>
      <c r="F17" s="60" t="str">
        <f>IF($B17="","",IF(SUMIFS('Entry Sheet Physical'!$E:$E,'Entry Sheet Physical'!$H:$H,F$1,'Entry Sheet Physical'!$B:$B,$B17)=0,"",SUMIFS('Entry Sheet Physical'!$E:$E,'Entry Sheet Physical'!$H:$H,F$1,'Entry Sheet Physical'!$B:$B,$B17)))</f>
        <v/>
      </c>
      <c r="G17" s="60" t="str">
        <f>IF($B17="","",IF(SUMIFS('Entry Sheet Physical'!$E:$E,'Entry Sheet Physical'!$H:$H,G$1,'Entry Sheet Physical'!$B:$B,$B17)=0,"",SUMIFS('Entry Sheet Physical'!$E:$E,'Entry Sheet Physical'!$H:$H,G$1,'Entry Sheet Physical'!$B:$B,$B17)))</f>
        <v/>
      </c>
      <c r="H17" s="60" t="str">
        <f>IF($B17="","",IF(SUMIFS('Entry Sheet Physical'!$E:$E,'Entry Sheet Physical'!$H:$H,H$1,'Entry Sheet Physical'!$B:$B,$B17)=0,"",SUMIFS('Entry Sheet Physical'!$E:$E,'Entry Sheet Physical'!$H:$H,H$1,'Entry Sheet Physical'!$B:$B,$B17)))</f>
        <v/>
      </c>
      <c r="I17" s="60" t="str">
        <f>IF($B17="","",IF(SUMIFS('Entry Sheet Physical'!$E:$E,'Entry Sheet Physical'!$H:$H,I$1,'Entry Sheet Physical'!$B:$B,$B17)=0,"",SUMIFS('Entry Sheet Physical'!$E:$E,'Entry Sheet Physical'!$H:$H,I$1,'Entry Sheet Physical'!$B:$B,$B17)))</f>
        <v/>
      </c>
      <c r="J17" s="60" t="str">
        <f>IF($B17="","",IF(SUMIFS('Entry Sheet Physical'!$E:$E,'Entry Sheet Physical'!$H:$H,J$1,'Entry Sheet Physical'!$B:$B,$B17)=0,"",SUMIFS('Entry Sheet Physical'!$E:$E,'Entry Sheet Physical'!$H:$H,J$1,'Entry Sheet Physical'!$B:$B,$B17)))</f>
        <v/>
      </c>
      <c r="K17" s="180" t="str">
        <f t="shared" si="2"/>
        <v/>
      </c>
      <c r="L17" s="181" t="str">
        <f t="shared" si="3"/>
        <v/>
      </c>
      <c r="M17" s="187">
        <v>1750</v>
      </c>
      <c r="S17" s="179"/>
      <c r="T17" s="179"/>
      <c r="AA17" s="178" t="s">
        <v>715</v>
      </c>
      <c r="AD17" s="1" t="s">
        <v>660</v>
      </c>
    </row>
    <row r="18" spans="1:30" x14ac:dyDescent="0.25">
      <c r="A18" s="189">
        <f t="shared" si="1"/>
        <v>46033</v>
      </c>
      <c r="B18" s="190">
        <v>46033</v>
      </c>
      <c r="C18" s="60" t="str">
        <f>IF($B18="","",IF(SUMIFS('Entry Sheet Physical'!$E:$E,'Entry Sheet Physical'!$H:$H,C$1,'Entry Sheet Physical'!$B:$B,$B18)=0,"",SUMIFS('Entry Sheet Physical'!$E:$E,'Entry Sheet Physical'!$H:$H,C$1,'Entry Sheet Physical'!$B:$B,$B18)))</f>
        <v/>
      </c>
      <c r="D18" s="60" t="str">
        <f>IF($B18="","",IF(SUMIFS('Entry Sheet Physical'!$E:$E,'Entry Sheet Physical'!$H:$H,D$1,'Entry Sheet Physical'!$B:$B,$B18)=0,"",SUMIFS('Entry Sheet Physical'!$E:$E,'Entry Sheet Physical'!$H:$H,D$1,'Entry Sheet Physical'!$B:$B,$B18)))</f>
        <v/>
      </c>
      <c r="E18" s="60" t="str">
        <f>IF($B18="","",IF(SUMIFS('Entry Sheet Physical'!$E:$E,'Entry Sheet Physical'!$H:$H,E$1,'Entry Sheet Physical'!$B:$B,$B18)=0,"",SUMIFS('Entry Sheet Physical'!$E:$E,'Entry Sheet Physical'!$H:$H,E$1,'Entry Sheet Physical'!$B:$B,$B18)))</f>
        <v/>
      </c>
      <c r="F18" s="60" t="str">
        <f>IF($B18="","",IF(SUMIFS('Entry Sheet Physical'!$E:$E,'Entry Sheet Physical'!$H:$H,F$1,'Entry Sheet Physical'!$B:$B,$B18)=0,"",SUMIFS('Entry Sheet Physical'!$E:$E,'Entry Sheet Physical'!$H:$H,F$1,'Entry Sheet Physical'!$B:$B,$B18)))</f>
        <v/>
      </c>
      <c r="G18" s="60" t="str">
        <f>IF($B18="","",IF(SUMIFS('Entry Sheet Physical'!$E:$E,'Entry Sheet Physical'!$H:$H,G$1,'Entry Sheet Physical'!$B:$B,$B18)=0,"",SUMIFS('Entry Sheet Physical'!$E:$E,'Entry Sheet Physical'!$H:$H,G$1,'Entry Sheet Physical'!$B:$B,$B18)))</f>
        <v/>
      </c>
      <c r="H18" s="60" t="str">
        <f>IF($B18="","",IF(SUMIFS('Entry Sheet Physical'!$E:$E,'Entry Sheet Physical'!$H:$H,H$1,'Entry Sheet Physical'!$B:$B,$B18)=0,"",SUMIFS('Entry Sheet Physical'!$E:$E,'Entry Sheet Physical'!$H:$H,H$1,'Entry Sheet Physical'!$B:$B,$B18)))</f>
        <v/>
      </c>
      <c r="I18" s="60" t="str">
        <f>IF($B18="","",IF(SUMIFS('Entry Sheet Physical'!$E:$E,'Entry Sheet Physical'!$H:$H,I$1,'Entry Sheet Physical'!$B:$B,$B18)=0,"",SUMIFS('Entry Sheet Physical'!$E:$E,'Entry Sheet Physical'!$H:$H,I$1,'Entry Sheet Physical'!$B:$B,$B18)))</f>
        <v/>
      </c>
      <c r="J18" s="60" t="str">
        <f>IF($B18="","",IF(SUMIFS('Entry Sheet Physical'!$E:$E,'Entry Sheet Physical'!$H:$H,J$1,'Entry Sheet Physical'!$B:$B,$B18)=0,"",SUMIFS('Entry Sheet Physical'!$E:$E,'Entry Sheet Physical'!$H:$H,J$1,'Entry Sheet Physical'!$B:$B,$B18)))</f>
        <v/>
      </c>
      <c r="K18" s="180" t="str">
        <f t="shared" si="2"/>
        <v/>
      </c>
      <c r="L18" s="181" t="str">
        <f t="shared" si="3"/>
        <v/>
      </c>
      <c r="M18" s="187">
        <v>1750</v>
      </c>
      <c r="S18" s="179"/>
      <c r="T18" s="179"/>
      <c r="AA18" s="178" t="s">
        <v>716</v>
      </c>
      <c r="AD18" s="1" t="s">
        <v>661</v>
      </c>
    </row>
    <row r="19" spans="1:30" x14ac:dyDescent="0.25">
      <c r="A19" s="189">
        <f t="shared" si="1"/>
        <v>46034</v>
      </c>
      <c r="B19" s="190">
        <v>46034</v>
      </c>
      <c r="C19" s="60" t="str">
        <f>IF($B19="","",IF(SUMIFS('Entry Sheet Physical'!$E:$E,'Entry Sheet Physical'!$H:$H,C$1,'Entry Sheet Physical'!$B:$B,$B19)=0,"",SUMIFS('Entry Sheet Physical'!$E:$E,'Entry Sheet Physical'!$H:$H,C$1,'Entry Sheet Physical'!$B:$B,$B19)))</f>
        <v/>
      </c>
      <c r="D19" s="60" t="str">
        <f>IF($B19="","",IF(SUMIFS('Entry Sheet Physical'!$E:$E,'Entry Sheet Physical'!$H:$H,D$1,'Entry Sheet Physical'!$B:$B,$B19)=0,"",SUMIFS('Entry Sheet Physical'!$E:$E,'Entry Sheet Physical'!$H:$H,D$1,'Entry Sheet Physical'!$B:$B,$B19)))</f>
        <v/>
      </c>
      <c r="E19" s="60" t="str">
        <f>IF($B19="","",IF(SUMIFS('Entry Sheet Physical'!$E:$E,'Entry Sheet Physical'!$H:$H,E$1,'Entry Sheet Physical'!$B:$B,$B19)=0,"",SUMIFS('Entry Sheet Physical'!$E:$E,'Entry Sheet Physical'!$H:$H,E$1,'Entry Sheet Physical'!$B:$B,$B19)))</f>
        <v/>
      </c>
      <c r="F19" s="60" t="str">
        <f>IF($B19="","",IF(SUMIFS('Entry Sheet Physical'!$E:$E,'Entry Sheet Physical'!$H:$H,F$1,'Entry Sheet Physical'!$B:$B,$B19)=0,"",SUMIFS('Entry Sheet Physical'!$E:$E,'Entry Sheet Physical'!$H:$H,F$1,'Entry Sheet Physical'!$B:$B,$B19)))</f>
        <v/>
      </c>
      <c r="G19" s="60" t="str">
        <f>IF($B19="","",IF(SUMIFS('Entry Sheet Physical'!$E:$E,'Entry Sheet Physical'!$H:$H,G$1,'Entry Sheet Physical'!$B:$B,$B19)=0,"",SUMIFS('Entry Sheet Physical'!$E:$E,'Entry Sheet Physical'!$H:$H,G$1,'Entry Sheet Physical'!$B:$B,$B19)))</f>
        <v/>
      </c>
      <c r="H19" s="60" t="str">
        <f>IF($B19="","",IF(SUMIFS('Entry Sheet Physical'!$E:$E,'Entry Sheet Physical'!$H:$H,H$1,'Entry Sheet Physical'!$B:$B,$B19)=0,"",SUMIFS('Entry Sheet Physical'!$E:$E,'Entry Sheet Physical'!$H:$H,H$1,'Entry Sheet Physical'!$B:$B,$B19)))</f>
        <v/>
      </c>
      <c r="I19" s="60" t="str">
        <f>IF($B19="","",IF(SUMIFS('Entry Sheet Physical'!$E:$E,'Entry Sheet Physical'!$H:$H,I$1,'Entry Sheet Physical'!$B:$B,$B19)=0,"",SUMIFS('Entry Sheet Physical'!$E:$E,'Entry Sheet Physical'!$H:$H,I$1,'Entry Sheet Physical'!$B:$B,$B19)))</f>
        <v/>
      </c>
      <c r="J19" s="60" t="str">
        <f>IF($B19="","",IF(SUMIFS('Entry Sheet Physical'!$E:$E,'Entry Sheet Physical'!$H:$H,J$1,'Entry Sheet Physical'!$B:$B,$B19)=0,"",SUMIFS('Entry Sheet Physical'!$E:$E,'Entry Sheet Physical'!$H:$H,J$1,'Entry Sheet Physical'!$B:$B,$B19)))</f>
        <v/>
      </c>
      <c r="K19" s="180" t="str">
        <f t="shared" si="2"/>
        <v/>
      </c>
      <c r="L19" s="181" t="str">
        <f t="shared" si="3"/>
        <v/>
      </c>
      <c r="M19" s="187">
        <v>1750</v>
      </c>
      <c r="S19" s="179"/>
      <c r="T19" s="179"/>
      <c r="AA19" s="178" t="s">
        <v>717</v>
      </c>
      <c r="AD19" s="1" t="s">
        <v>662</v>
      </c>
    </row>
    <row r="20" spans="1:30" x14ac:dyDescent="0.25">
      <c r="A20" s="189">
        <f t="shared" si="1"/>
        <v>46035</v>
      </c>
      <c r="B20" s="190">
        <v>46035</v>
      </c>
      <c r="C20" s="60" t="str">
        <f>IF($B20="","",IF(SUMIFS('Entry Sheet Physical'!$E:$E,'Entry Sheet Physical'!$H:$H,C$1,'Entry Sheet Physical'!$B:$B,$B20)=0,"",SUMIFS('Entry Sheet Physical'!$E:$E,'Entry Sheet Physical'!$H:$H,C$1,'Entry Sheet Physical'!$B:$B,$B20)))</f>
        <v/>
      </c>
      <c r="D20" s="60" t="str">
        <f>IF($B20="","",IF(SUMIFS('Entry Sheet Physical'!$E:$E,'Entry Sheet Physical'!$H:$H,D$1,'Entry Sheet Physical'!$B:$B,$B20)=0,"",SUMIFS('Entry Sheet Physical'!$E:$E,'Entry Sheet Physical'!$H:$H,D$1,'Entry Sheet Physical'!$B:$B,$B20)))</f>
        <v/>
      </c>
      <c r="E20" s="60" t="str">
        <f>IF($B20="","",IF(SUMIFS('Entry Sheet Physical'!$E:$E,'Entry Sheet Physical'!$H:$H,E$1,'Entry Sheet Physical'!$B:$B,$B20)=0,"",SUMIFS('Entry Sheet Physical'!$E:$E,'Entry Sheet Physical'!$H:$H,E$1,'Entry Sheet Physical'!$B:$B,$B20)))</f>
        <v/>
      </c>
      <c r="F20" s="60" t="str">
        <f>IF($B20="","",IF(SUMIFS('Entry Sheet Physical'!$E:$E,'Entry Sheet Physical'!$H:$H,F$1,'Entry Sheet Physical'!$B:$B,$B20)=0,"",SUMIFS('Entry Sheet Physical'!$E:$E,'Entry Sheet Physical'!$H:$H,F$1,'Entry Sheet Physical'!$B:$B,$B20)))</f>
        <v/>
      </c>
      <c r="G20" s="60" t="str">
        <f>IF($B20="","",IF(SUMIFS('Entry Sheet Physical'!$E:$E,'Entry Sheet Physical'!$H:$H,G$1,'Entry Sheet Physical'!$B:$B,$B20)=0,"",SUMIFS('Entry Sheet Physical'!$E:$E,'Entry Sheet Physical'!$H:$H,G$1,'Entry Sheet Physical'!$B:$B,$B20)))</f>
        <v/>
      </c>
      <c r="H20" s="60" t="str">
        <f>IF($B20="","",IF(SUMIFS('Entry Sheet Physical'!$E:$E,'Entry Sheet Physical'!$H:$H,H$1,'Entry Sheet Physical'!$B:$B,$B20)=0,"",SUMIFS('Entry Sheet Physical'!$E:$E,'Entry Sheet Physical'!$H:$H,H$1,'Entry Sheet Physical'!$B:$B,$B20)))</f>
        <v/>
      </c>
      <c r="I20" s="60" t="str">
        <f>IF($B20="","",IF(SUMIFS('Entry Sheet Physical'!$E:$E,'Entry Sheet Physical'!$H:$H,I$1,'Entry Sheet Physical'!$B:$B,$B20)=0,"",SUMIFS('Entry Sheet Physical'!$E:$E,'Entry Sheet Physical'!$H:$H,I$1,'Entry Sheet Physical'!$B:$B,$B20)))</f>
        <v/>
      </c>
      <c r="J20" s="60" t="str">
        <f>IF($B20="","",IF(SUMIFS('Entry Sheet Physical'!$E:$E,'Entry Sheet Physical'!$H:$H,J$1,'Entry Sheet Physical'!$B:$B,$B20)=0,"",SUMIFS('Entry Sheet Physical'!$E:$E,'Entry Sheet Physical'!$H:$H,J$1,'Entry Sheet Physical'!$B:$B,$B20)))</f>
        <v/>
      </c>
      <c r="K20" s="180" t="str">
        <f t="shared" si="2"/>
        <v/>
      </c>
      <c r="L20" s="181" t="str">
        <f t="shared" si="3"/>
        <v/>
      </c>
      <c r="M20" s="187">
        <v>1750</v>
      </c>
      <c r="S20" s="179"/>
      <c r="T20" s="179"/>
      <c r="AA20" s="178" t="s">
        <v>718</v>
      </c>
      <c r="AD20" s="1" t="s">
        <v>663</v>
      </c>
    </row>
    <row r="21" spans="1:30" x14ac:dyDescent="0.25">
      <c r="A21" s="189">
        <f t="shared" si="1"/>
        <v>46036</v>
      </c>
      <c r="B21" s="190">
        <v>46036</v>
      </c>
      <c r="C21" s="60" t="str">
        <f>IF($B21="","",IF(SUMIFS('Entry Sheet Physical'!$E:$E,'Entry Sheet Physical'!$H:$H,C$1,'Entry Sheet Physical'!$B:$B,$B21)=0,"",SUMIFS('Entry Sheet Physical'!$E:$E,'Entry Sheet Physical'!$H:$H,C$1,'Entry Sheet Physical'!$B:$B,$B21)))</f>
        <v/>
      </c>
      <c r="D21" s="60" t="str">
        <f>IF($B21="","",IF(SUMIFS('Entry Sheet Physical'!$E:$E,'Entry Sheet Physical'!$H:$H,D$1,'Entry Sheet Physical'!$B:$B,$B21)=0,"",SUMIFS('Entry Sheet Physical'!$E:$E,'Entry Sheet Physical'!$H:$H,D$1,'Entry Sheet Physical'!$B:$B,$B21)))</f>
        <v/>
      </c>
      <c r="E21" s="60" t="str">
        <f>IF($B21="","",IF(SUMIFS('Entry Sheet Physical'!$E:$E,'Entry Sheet Physical'!$H:$H,E$1,'Entry Sheet Physical'!$B:$B,$B21)=0,"",SUMIFS('Entry Sheet Physical'!$E:$E,'Entry Sheet Physical'!$H:$H,E$1,'Entry Sheet Physical'!$B:$B,$B21)))</f>
        <v/>
      </c>
      <c r="F21" s="60" t="str">
        <f>IF($B21="","",IF(SUMIFS('Entry Sheet Physical'!$E:$E,'Entry Sheet Physical'!$H:$H,F$1,'Entry Sheet Physical'!$B:$B,$B21)=0,"",SUMIFS('Entry Sheet Physical'!$E:$E,'Entry Sheet Physical'!$H:$H,F$1,'Entry Sheet Physical'!$B:$B,$B21)))</f>
        <v/>
      </c>
      <c r="G21" s="60" t="str">
        <f>IF($B21="","",IF(SUMIFS('Entry Sheet Physical'!$E:$E,'Entry Sheet Physical'!$H:$H,G$1,'Entry Sheet Physical'!$B:$B,$B21)=0,"",SUMIFS('Entry Sheet Physical'!$E:$E,'Entry Sheet Physical'!$H:$H,G$1,'Entry Sheet Physical'!$B:$B,$B21)))</f>
        <v/>
      </c>
      <c r="H21" s="60" t="str">
        <f>IF($B21="","",IF(SUMIFS('Entry Sheet Physical'!$E:$E,'Entry Sheet Physical'!$H:$H,H$1,'Entry Sheet Physical'!$B:$B,$B21)=0,"",SUMIFS('Entry Sheet Physical'!$E:$E,'Entry Sheet Physical'!$H:$H,H$1,'Entry Sheet Physical'!$B:$B,$B21)))</f>
        <v/>
      </c>
      <c r="I21" s="60" t="str">
        <f>IF($B21="","",IF(SUMIFS('Entry Sheet Physical'!$E:$E,'Entry Sheet Physical'!$H:$H,I$1,'Entry Sheet Physical'!$B:$B,$B21)=0,"",SUMIFS('Entry Sheet Physical'!$E:$E,'Entry Sheet Physical'!$H:$H,I$1,'Entry Sheet Physical'!$B:$B,$B21)))</f>
        <v/>
      </c>
      <c r="J21" s="60" t="str">
        <f>IF($B21="","",IF(SUMIFS('Entry Sheet Physical'!$E:$E,'Entry Sheet Physical'!$H:$H,J$1,'Entry Sheet Physical'!$B:$B,$B21)=0,"",SUMIFS('Entry Sheet Physical'!$E:$E,'Entry Sheet Physical'!$H:$H,J$1,'Entry Sheet Physical'!$B:$B,$B21)))</f>
        <v/>
      </c>
      <c r="K21" s="180" t="str">
        <f t="shared" si="2"/>
        <v/>
      </c>
      <c r="L21" s="181" t="str">
        <f t="shared" si="3"/>
        <v/>
      </c>
      <c r="M21" s="187">
        <v>1750</v>
      </c>
      <c r="S21" s="179"/>
      <c r="T21" s="179"/>
      <c r="AA21" s="178" t="s">
        <v>719</v>
      </c>
    </row>
    <row r="22" spans="1:30" x14ac:dyDescent="0.25">
      <c r="A22" s="189">
        <f t="shared" si="1"/>
        <v>46037</v>
      </c>
      <c r="B22" s="190">
        <v>46037</v>
      </c>
      <c r="C22" s="60" t="str">
        <f>IF($B22="","",IF(SUMIFS('Entry Sheet Physical'!$E:$E,'Entry Sheet Physical'!$H:$H,C$1,'Entry Sheet Physical'!$B:$B,$B22)=0,"",SUMIFS('Entry Sheet Physical'!$E:$E,'Entry Sheet Physical'!$H:$H,C$1,'Entry Sheet Physical'!$B:$B,$B22)))</f>
        <v/>
      </c>
      <c r="D22" s="60" t="str">
        <f>IF($B22="","",IF(SUMIFS('Entry Sheet Physical'!$E:$E,'Entry Sheet Physical'!$H:$H,D$1,'Entry Sheet Physical'!$B:$B,$B22)=0,"",SUMIFS('Entry Sheet Physical'!$E:$E,'Entry Sheet Physical'!$H:$H,D$1,'Entry Sheet Physical'!$B:$B,$B22)))</f>
        <v/>
      </c>
      <c r="E22" s="60" t="str">
        <f>IF($B22="","",IF(SUMIFS('Entry Sheet Physical'!$E:$E,'Entry Sheet Physical'!$H:$H,E$1,'Entry Sheet Physical'!$B:$B,$B22)=0,"",SUMIFS('Entry Sheet Physical'!$E:$E,'Entry Sheet Physical'!$H:$H,E$1,'Entry Sheet Physical'!$B:$B,$B22)))</f>
        <v/>
      </c>
      <c r="F22" s="60" t="str">
        <f>IF($B22="","",IF(SUMIFS('Entry Sheet Physical'!$E:$E,'Entry Sheet Physical'!$H:$H,F$1,'Entry Sheet Physical'!$B:$B,$B22)=0,"",SUMIFS('Entry Sheet Physical'!$E:$E,'Entry Sheet Physical'!$H:$H,F$1,'Entry Sheet Physical'!$B:$B,$B22)))</f>
        <v/>
      </c>
      <c r="G22" s="60" t="str">
        <f>IF($B22="","",IF(SUMIFS('Entry Sheet Physical'!$E:$E,'Entry Sheet Physical'!$H:$H,G$1,'Entry Sheet Physical'!$B:$B,$B22)=0,"",SUMIFS('Entry Sheet Physical'!$E:$E,'Entry Sheet Physical'!$H:$H,G$1,'Entry Sheet Physical'!$B:$B,$B22)))</f>
        <v/>
      </c>
      <c r="H22" s="60" t="str">
        <f>IF($B22="","",IF(SUMIFS('Entry Sheet Physical'!$E:$E,'Entry Sheet Physical'!$H:$H,H$1,'Entry Sheet Physical'!$B:$B,$B22)=0,"",SUMIFS('Entry Sheet Physical'!$E:$E,'Entry Sheet Physical'!$H:$H,H$1,'Entry Sheet Physical'!$B:$B,$B22)))</f>
        <v/>
      </c>
      <c r="I22" s="60" t="str">
        <f>IF($B22="","",IF(SUMIFS('Entry Sheet Physical'!$E:$E,'Entry Sheet Physical'!$H:$H,I$1,'Entry Sheet Physical'!$B:$B,$B22)=0,"",SUMIFS('Entry Sheet Physical'!$E:$E,'Entry Sheet Physical'!$H:$H,I$1,'Entry Sheet Physical'!$B:$B,$B22)))</f>
        <v/>
      </c>
      <c r="J22" s="60" t="str">
        <f>IF($B22="","",IF(SUMIFS('Entry Sheet Physical'!$E:$E,'Entry Sheet Physical'!$H:$H,J$1,'Entry Sheet Physical'!$B:$B,$B22)=0,"",SUMIFS('Entry Sheet Physical'!$E:$E,'Entry Sheet Physical'!$H:$H,J$1,'Entry Sheet Physical'!$B:$B,$B22)))</f>
        <v/>
      </c>
      <c r="K22" s="180" t="str">
        <f t="shared" si="2"/>
        <v/>
      </c>
      <c r="L22" s="181" t="str">
        <f t="shared" si="3"/>
        <v/>
      </c>
      <c r="M22" s="187">
        <v>1750</v>
      </c>
      <c r="S22" s="179"/>
      <c r="T22" s="179"/>
      <c r="AA22" s="178" t="s">
        <v>720</v>
      </c>
    </row>
    <row r="23" spans="1:30" x14ac:dyDescent="0.25">
      <c r="A23" s="189">
        <f t="shared" si="1"/>
        <v>46038</v>
      </c>
      <c r="B23" s="190">
        <v>46038</v>
      </c>
      <c r="C23" s="60" t="str">
        <f>IF($B23="","",IF(SUMIFS('Entry Sheet Physical'!$E:$E,'Entry Sheet Physical'!$H:$H,C$1,'Entry Sheet Physical'!$B:$B,$B23)=0,"",SUMIFS('Entry Sheet Physical'!$E:$E,'Entry Sheet Physical'!$H:$H,C$1,'Entry Sheet Physical'!$B:$B,$B23)))</f>
        <v/>
      </c>
      <c r="D23" s="60" t="str">
        <f>IF($B23="","",IF(SUMIFS('Entry Sheet Physical'!$E:$E,'Entry Sheet Physical'!$H:$H,D$1,'Entry Sheet Physical'!$B:$B,$B23)=0,"",SUMIFS('Entry Sheet Physical'!$E:$E,'Entry Sheet Physical'!$H:$H,D$1,'Entry Sheet Physical'!$B:$B,$B23)))</f>
        <v/>
      </c>
      <c r="E23" s="60" t="str">
        <f>IF($B23="","",IF(SUMIFS('Entry Sheet Physical'!$E:$E,'Entry Sheet Physical'!$H:$H,E$1,'Entry Sheet Physical'!$B:$B,$B23)=0,"",SUMIFS('Entry Sheet Physical'!$E:$E,'Entry Sheet Physical'!$H:$H,E$1,'Entry Sheet Physical'!$B:$B,$B23)))</f>
        <v/>
      </c>
      <c r="F23" s="60" t="str">
        <f>IF($B23="","",IF(SUMIFS('Entry Sheet Physical'!$E:$E,'Entry Sheet Physical'!$H:$H,F$1,'Entry Sheet Physical'!$B:$B,$B23)=0,"",SUMIFS('Entry Sheet Physical'!$E:$E,'Entry Sheet Physical'!$H:$H,F$1,'Entry Sheet Physical'!$B:$B,$B23)))</f>
        <v/>
      </c>
      <c r="G23" s="60" t="str">
        <f>IF($B23="","",IF(SUMIFS('Entry Sheet Physical'!$E:$E,'Entry Sheet Physical'!$H:$H,G$1,'Entry Sheet Physical'!$B:$B,$B23)=0,"",SUMIFS('Entry Sheet Physical'!$E:$E,'Entry Sheet Physical'!$H:$H,G$1,'Entry Sheet Physical'!$B:$B,$B23)))</f>
        <v/>
      </c>
      <c r="H23" s="60" t="str">
        <f>IF($B23="","",IF(SUMIFS('Entry Sheet Physical'!$E:$E,'Entry Sheet Physical'!$H:$H,H$1,'Entry Sheet Physical'!$B:$B,$B23)=0,"",SUMIFS('Entry Sheet Physical'!$E:$E,'Entry Sheet Physical'!$H:$H,H$1,'Entry Sheet Physical'!$B:$B,$B23)))</f>
        <v/>
      </c>
      <c r="I23" s="60" t="str">
        <f>IF($B23="","",IF(SUMIFS('Entry Sheet Physical'!$E:$E,'Entry Sheet Physical'!$H:$H,I$1,'Entry Sheet Physical'!$B:$B,$B23)=0,"",SUMIFS('Entry Sheet Physical'!$E:$E,'Entry Sheet Physical'!$H:$H,I$1,'Entry Sheet Physical'!$B:$B,$B23)))</f>
        <v/>
      </c>
      <c r="J23" s="60" t="str">
        <f>IF($B23="","",IF(SUMIFS('Entry Sheet Physical'!$E:$E,'Entry Sheet Physical'!$H:$H,J$1,'Entry Sheet Physical'!$B:$B,$B23)=0,"",SUMIFS('Entry Sheet Physical'!$E:$E,'Entry Sheet Physical'!$H:$H,J$1,'Entry Sheet Physical'!$B:$B,$B23)))</f>
        <v/>
      </c>
      <c r="K23" s="180" t="str">
        <f t="shared" si="2"/>
        <v/>
      </c>
      <c r="L23" s="181" t="str">
        <f t="shared" si="3"/>
        <v/>
      </c>
      <c r="M23" s="187">
        <v>1750</v>
      </c>
      <c r="S23" s="179"/>
      <c r="T23" s="179"/>
      <c r="AA23" s="178" t="s">
        <v>721</v>
      </c>
    </row>
    <row r="24" spans="1:30" x14ac:dyDescent="0.25">
      <c r="A24" s="189">
        <f t="shared" si="1"/>
        <v>46039</v>
      </c>
      <c r="B24" s="190">
        <v>46039</v>
      </c>
      <c r="C24" s="60" t="str">
        <f>IF($B24="","",IF(SUMIFS('Entry Sheet Physical'!$E:$E,'Entry Sheet Physical'!$H:$H,C$1,'Entry Sheet Physical'!$B:$B,$B24)=0,"",SUMIFS('Entry Sheet Physical'!$E:$E,'Entry Sheet Physical'!$H:$H,C$1,'Entry Sheet Physical'!$B:$B,$B24)))</f>
        <v/>
      </c>
      <c r="D24" s="60" t="str">
        <f>IF($B24="","",IF(SUMIFS('Entry Sheet Physical'!$E:$E,'Entry Sheet Physical'!$H:$H,D$1,'Entry Sheet Physical'!$B:$B,$B24)=0,"",SUMIFS('Entry Sheet Physical'!$E:$E,'Entry Sheet Physical'!$H:$H,D$1,'Entry Sheet Physical'!$B:$B,$B24)))</f>
        <v/>
      </c>
      <c r="E24" s="60" t="str">
        <f>IF($B24="","",IF(SUMIFS('Entry Sheet Physical'!$E:$E,'Entry Sheet Physical'!$H:$H,E$1,'Entry Sheet Physical'!$B:$B,$B24)=0,"",SUMIFS('Entry Sheet Physical'!$E:$E,'Entry Sheet Physical'!$H:$H,E$1,'Entry Sheet Physical'!$B:$B,$B24)))</f>
        <v/>
      </c>
      <c r="F24" s="60" t="str">
        <f>IF($B24="","",IF(SUMIFS('Entry Sheet Physical'!$E:$E,'Entry Sheet Physical'!$H:$H,F$1,'Entry Sheet Physical'!$B:$B,$B24)=0,"",SUMIFS('Entry Sheet Physical'!$E:$E,'Entry Sheet Physical'!$H:$H,F$1,'Entry Sheet Physical'!$B:$B,$B24)))</f>
        <v/>
      </c>
      <c r="G24" s="60" t="str">
        <f>IF($B24="","",IF(SUMIFS('Entry Sheet Physical'!$E:$E,'Entry Sheet Physical'!$H:$H,G$1,'Entry Sheet Physical'!$B:$B,$B24)=0,"",SUMIFS('Entry Sheet Physical'!$E:$E,'Entry Sheet Physical'!$H:$H,G$1,'Entry Sheet Physical'!$B:$B,$B24)))</f>
        <v/>
      </c>
      <c r="H24" s="60" t="str">
        <f>IF($B24="","",IF(SUMIFS('Entry Sheet Physical'!$E:$E,'Entry Sheet Physical'!$H:$H,H$1,'Entry Sheet Physical'!$B:$B,$B24)=0,"",SUMIFS('Entry Sheet Physical'!$E:$E,'Entry Sheet Physical'!$H:$H,H$1,'Entry Sheet Physical'!$B:$B,$B24)))</f>
        <v/>
      </c>
      <c r="I24" s="60" t="str">
        <f>IF($B24="","",IF(SUMIFS('Entry Sheet Physical'!$E:$E,'Entry Sheet Physical'!$H:$H,I$1,'Entry Sheet Physical'!$B:$B,$B24)=0,"",SUMIFS('Entry Sheet Physical'!$E:$E,'Entry Sheet Physical'!$H:$H,I$1,'Entry Sheet Physical'!$B:$B,$B24)))</f>
        <v/>
      </c>
      <c r="J24" s="60" t="str">
        <f>IF($B24="","",IF(SUMIFS('Entry Sheet Physical'!$E:$E,'Entry Sheet Physical'!$H:$H,J$1,'Entry Sheet Physical'!$B:$B,$B24)=0,"",SUMIFS('Entry Sheet Physical'!$E:$E,'Entry Sheet Physical'!$H:$H,J$1,'Entry Sheet Physical'!$B:$B,$B24)))</f>
        <v/>
      </c>
      <c r="K24" s="180" t="str">
        <f t="shared" si="2"/>
        <v/>
      </c>
      <c r="L24" s="181" t="str">
        <f t="shared" si="3"/>
        <v/>
      </c>
      <c r="M24" s="187">
        <v>1750</v>
      </c>
      <c r="S24" s="179"/>
      <c r="T24" s="179"/>
      <c r="AA24" s="178" t="s">
        <v>722</v>
      </c>
    </row>
    <row r="25" spans="1:30" x14ac:dyDescent="0.25">
      <c r="A25" s="189">
        <f t="shared" si="1"/>
        <v>46040</v>
      </c>
      <c r="B25" s="190">
        <v>46040</v>
      </c>
      <c r="C25" s="60" t="str">
        <f>IF($B25="","",IF(SUMIFS('Entry Sheet Physical'!$E:$E,'Entry Sheet Physical'!$H:$H,C$1,'Entry Sheet Physical'!$B:$B,$B25)=0,"",SUMIFS('Entry Sheet Physical'!$E:$E,'Entry Sheet Physical'!$H:$H,C$1,'Entry Sheet Physical'!$B:$B,$B25)))</f>
        <v/>
      </c>
      <c r="D25" s="60" t="str">
        <f>IF($B25="","",IF(SUMIFS('Entry Sheet Physical'!$E:$E,'Entry Sheet Physical'!$H:$H,D$1,'Entry Sheet Physical'!$B:$B,$B25)=0,"",SUMIFS('Entry Sheet Physical'!$E:$E,'Entry Sheet Physical'!$H:$H,D$1,'Entry Sheet Physical'!$B:$B,$B25)))</f>
        <v/>
      </c>
      <c r="E25" s="60" t="str">
        <f>IF($B25="","",IF(SUMIFS('Entry Sheet Physical'!$E:$E,'Entry Sheet Physical'!$H:$H,E$1,'Entry Sheet Physical'!$B:$B,$B25)=0,"",SUMIFS('Entry Sheet Physical'!$E:$E,'Entry Sheet Physical'!$H:$H,E$1,'Entry Sheet Physical'!$B:$B,$B25)))</f>
        <v/>
      </c>
      <c r="F25" s="60" t="str">
        <f>IF($B25="","",IF(SUMIFS('Entry Sheet Physical'!$E:$E,'Entry Sheet Physical'!$H:$H,F$1,'Entry Sheet Physical'!$B:$B,$B25)=0,"",SUMIFS('Entry Sheet Physical'!$E:$E,'Entry Sheet Physical'!$H:$H,F$1,'Entry Sheet Physical'!$B:$B,$B25)))</f>
        <v/>
      </c>
      <c r="G25" s="60" t="str">
        <f>IF($B25="","",IF(SUMIFS('Entry Sheet Physical'!$E:$E,'Entry Sheet Physical'!$H:$H,G$1,'Entry Sheet Physical'!$B:$B,$B25)=0,"",SUMIFS('Entry Sheet Physical'!$E:$E,'Entry Sheet Physical'!$H:$H,G$1,'Entry Sheet Physical'!$B:$B,$B25)))</f>
        <v/>
      </c>
      <c r="H25" s="60" t="str">
        <f>IF($B25="","",IF(SUMIFS('Entry Sheet Physical'!$E:$E,'Entry Sheet Physical'!$H:$H,H$1,'Entry Sheet Physical'!$B:$B,$B25)=0,"",SUMIFS('Entry Sheet Physical'!$E:$E,'Entry Sheet Physical'!$H:$H,H$1,'Entry Sheet Physical'!$B:$B,$B25)))</f>
        <v/>
      </c>
      <c r="I25" s="60" t="str">
        <f>IF($B25="","",IF(SUMIFS('Entry Sheet Physical'!$E:$E,'Entry Sheet Physical'!$H:$H,I$1,'Entry Sheet Physical'!$B:$B,$B25)=0,"",SUMIFS('Entry Sheet Physical'!$E:$E,'Entry Sheet Physical'!$H:$H,I$1,'Entry Sheet Physical'!$B:$B,$B25)))</f>
        <v/>
      </c>
      <c r="J25" s="60" t="str">
        <f>IF($B25="","",IF(SUMIFS('Entry Sheet Physical'!$E:$E,'Entry Sheet Physical'!$H:$H,J$1,'Entry Sheet Physical'!$B:$B,$B25)=0,"",SUMIFS('Entry Sheet Physical'!$E:$E,'Entry Sheet Physical'!$H:$H,J$1,'Entry Sheet Physical'!$B:$B,$B25)))</f>
        <v/>
      </c>
      <c r="K25" s="180" t="str">
        <f t="shared" si="2"/>
        <v/>
      </c>
      <c r="L25" s="181" t="str">
        <f t="shared" si="3"/>
        <v/>
      </c>
      <c r="M25" s="187">
        <v>1750</v>
      </c>
      <c r="S25" s="179"/>
      <c r="T25" s="179"/>
    </row>
    <row r="26" spans="1:30" x14ac:dyDescent="0.25">
      <c r="A26" s="189">
        <f t="shared" si="1"/>
        <v>46041</v>
      </c>
      <c r="B26" s="190">
        <v>46041</v>
      </c>
      <c r="C26" s="60" t="str">
        <f>IF($B26="","",IF(SUMIFS('Entry Sheet Physical'!$E:$E,'Entry Sheet Physical'!$H:$H,C$1,'Entry Sheet Physical'!$B:$B,$B26)=0,"",SUMIFS('Entry Sheet Physical'!$E:$E,'Entry Sheet Physical'!$H:$H,C$1,'Entry Sheet Physical'!$B:$B,$B26)))</f>
        <v/>
      </c>
      <c r="D26" s="60" t="str">
        <f>IF($B26="","",IF(SUMIFS('Entry Sheet Physical'!$E:$E,'Entry Sheet Physical'!$H:$H,D$1,'Entry Sheet Physical'!$B:$B,$B26)=0,"",SUMIFS('Entry Sheet Physical'!$E:$E,'Entry Sheet Physical'!$H:$H,D$1,'Entry Sheet Physical'!$B:$B,$B26)))</f>
        <v/>
      </c>
      <c r="E26" s="60" t="str">
        <f>IF($B26="","",IF(SUMIFS('Entry Sheet Physical'!$E:$E,'Entry Sheet Physical'!$H:$H,E$1,'Entry Sheet Physical'!$B:$B,$B26)=0,"",SUMIFS('Entry Sheet Physical'!$E:$E,'Entry Sheet Physical'!$H:$H,E$1,'Entry Sheet Physical'!$B:$B,$B26)))</f>
        <v/>
      </c>
      <c r="F26" s="60" t="str">
        <f>IF($B26="","",IF(SUMIFS('Entry Sheet Physical'!$E:$E,'Entry Sheet Physical'!$H:$H,F$1,'Entry Sheet Physical'!$B:$B,$B26)=0,"",SUMIFS('Entry Sheet Physical'!$E:$E,'Entry Sheet Physical'!$H:$H,F$1,'Entry Sheet Physical'!$B:$B,$B26)))</f>
        <v/>
      </c>
      <c r="G26" s="60" t="str">
        <f>IF($B26="","",IF(SUMIFS('Entry Sheet Physical'!$E:$E,'Entry Sheet Physical'!$H:$H,G$1,'Entry Sheet Physical'!$B:$B,$B26)=0,"",SUMIFS('Entry Sheet Physical'!$E:$E,'Entry Sheet Physical'!$H:$H,G$1,'Entry Sheet Physical'!$B:$B,$B26)))</f>
        <v/>
      </c>
      <c r="H26" s="60" t="str">
        <f>IF($B26="","",IF(SUMIFS('Entry Sheet Physical'!$E:$E,'Entry Sheet Physical'!$H:$H,H$1,'Entry Sheet Physical'!$B:$B,$B26)=0,"",SUMIFS('Entry Sheet Physical'!$E:$E,'Entry Sheet Physical'!$H:$H,H$1,'Entry Sheet Physical'!$B:$B,$B26)))</f>
        <v/>
      </c>
      <c r="I26" s="60" t="str">
        <f>IF($B26="","",IF(SUMIFS('Entry Sheet Physical'!$E:$E,'Entry Sheet Physical'!$H:$H,I$1,'Entry Sheet Physical'!$B:$B,$B26)=0,"",SUMIFS('Entry Sheet Physical'!$E:$E,'Entry Sheet Physical'!$H:$H,I$1,'Entry Sheet Physical'!$B:$B,$B26)))</f>
        <v/>
      </c>
      <c r="J26" s="60" t="str">
        <f>IF($B26="","",IF(SUMIFS('Entry Sheet Physical'!$E:$E,'Entry Sheet Physical'!$H:$H,J$1,'Entry Sheet Physical'!$B:$B,$B26)=0,"",SUMIFS('Entry Sheet Physical'!$E:$E,'Entry Sheet Physical'!$H:$H,J$1,'Entry Sheet Physical'!$B:$B,$B26)))</f>
        <v/>
      </c>
      <c r="K26" s="180" t="str">
        <f t="shared" si="2"/>
        <v/>
      </c>
      <c r="L26" s="181" t="str">
        <f t="shared" si="3"/>
        <v/>
      </c>
      <c r="M26" s="187">
        <v>1750</v>
      </c>
      <c r="S26" s="179"/>
      <c r="T26" s="179"/>
    </row>
    <row r="27" spans="1:30" x14ac:dyDescent="0.25">
      <c r="A27" s="189">
        <f t="shared" si="1"/>
        <v>46042</v>
      </c>
      <c r="B27" s="190">
        <v>46042</v>
      </c>
      <c r="C27" s="60" t="str">
        <f>IF($B27="","",IF(SUMIFS('Entry Sheet Physical'!$E:$E,'Entry Sheet Physical'!$H:$H,C$1,'Entry Sheet Physical'!$B:$B,$B27)=0,"",SUMIFS('Entry Sheet Physical'!$E:$E,'Entry Sheet Physical'!$H:$H,C$1,'Entry Sheet Physical'!$B:$B,$B27)))</f>
        <v/>
      </c>
      <c r="D27" s="60" t="str">
        <f>IF($B27="","",IF(SUMIFS('Entry Sheet Physical'!$E:$E,'Entry Sheet Physical'!$H:$H,D$1,'Entry Sheet Physical'!$B:$B,$B27)=0,"",SUMIFS('Entry Sheet Physical'!$E:$E,'Entry Sheet Physical'!$H:$H,D$1,'Entry Sheet Physical'!$B:$B,$B27)))</f>
        <v/>
      </c>
      <c r="E27" s="60" t="str">
        <f>IF($B27="","",IF(SUMIFS('Entry Sheet Physical'!$E:$E,'Entry Sheet Physical'!$H:$H,E$1,'Entry Sheet Physical'!$B:$B,$B27)=0,"",SUMIFS('Entry Sheet Physical'!$E:$E,'Entry Sheet Physical'!$H:$H,E$1,'Entry Sheet Physical'!$B:$B,$B27)))</f>
        <v/>
      </c>
      <c r="F27" s="60" t="str">
        <f>IF($B27="","",IF(SUMIFS('Entry Sheet Physical'!$E:$E,'Entry Sheet Physical'!$H:$H,F$1,'Entry Sheet Physical'!$B:$B,$B27)=0,"",SUMIFS('Entry Sheet Physical'!$E:$E,'Entry Sheet Physical'!$H:$H,F$1,'Entry Sheet Physical'!$B:$B,$B27)))</f>
        <v/>
      </c>
      <c r="G27" s="60" t="str">
        <f>IF($B27="","",IF(SUMIFS('Entry Sheet Physical'!$E:$E,'Entry Sheet Physical'!$H:$H,G$1,'Entry Sheet Physical'!$B:$B,$B27)=0,"",SUMIFS('Entry Sheet Physical'!$E:$E,'Entry Sheet Physical'!$H:$H,G$1,'Entry Sheet Physical'!$B:$B,$B27)))</f>
        <v/>
      </c>
      <c r="H27" s="60" t="str">
        <f>IF($B27="","",IF(SUMIFS('Entry Sheet Physical'!$E:$E,'Entry Sheet Physical'!$H:$H,H$1,'Entry Sheet Physical'!$B:$B,$B27)=0,"",SUMIFS('Entry Sheet Physical'!$E:$E,'Entry Sheet Physical'!$H:$H,H$1,'Entry Sheet Physical'!$B:$B,$B27)))</f>
        <v/>
      </c>
      <c r="I27" s="60" t="str">
        <f>IF($B27="","",IF(SUMIFS('Entry Sheet Physical'!$E:$E,'Entry Sheet Physical'!$H:$H,I$1,'Entry Sheet Physical'!$B:$B,$B27)=0,"",SUMIFS('Entry Sheet Physical'!$E:$E,'Entry Sheet Physical'!$H:$H,I$1,'Entry Sheet Physical'!$B:$B,$B27)))</f>
        <v/>
      </c>
      <c r="J27" s="60" t="str">
        <f>IF($B27="","",IF(SUMIFS('Entry Sheet Physical'!$E:$E,'Entry Sheet Physical'!$H:$H,J$1,'Entry Sheet Physical'!$B:$B,$B27)=0,"",SUMIFS('Entry Sheet Physical'!$E:$E,'Entry Sheet Physical'!$H:$H,J$1,'Entry Sheet Physical'!$B:$B,$B27)))</f>
        <v/>
      </c>
      <c r="K27" s="180" t="str">
        <f t="shared" si="2"/>
        <v/>
      </c>
      <c r="L27" s="181" t="str">
        <f t="shared" si="3"/>
        <v/>
      </c>
      <c r="M27" s="187">
        <v>1750</v>
      </c>
      <c r="S27" s="179"/>
      <c r="T27" s="179"/>
    </row>
    <row r="28" spans="1:30" x14ac:dyDescent="0.25">
      <c r="A28" s="189">
        <f t="shared" si="1"/>
        <v>46043</v>
      </c>
      <c r="B28" s="190">
        <v>46043</v>
      </c>
      <c r="C28" s="60" t="str">
        <f>IF($B28="","",IF(SUMIFS('Entry Sheet Physical'!$E:$E,'Entry Sheet Physical'!$H:$H,C$1,'Entry Sheet Physical'!$B:$B,$B28)=0,"",SUMIFS('Entry Sheet Physical'!$E:$E,'Entry Sheet Physical'!$H:$H,C$1,'Entry Sheet Physical'!$B:$B,$B28)))</f>
        <v/>
      </c>
      <c r="D28" s="60" t="str">
        <f>IF($B28="","",IF(SUMIFS('Entry Sheet Physical'!$E:$E,'Entry Sheet Physical'!$H:$H,D$1,'Entry Sheet Physical'!$B:$B,$B28)=0,"",SUMIFS('Entry Sheet Physical'!$E:$E,'Entry Sheet Physical'!$H:$H,D$1,'Entry Sheet Physical'!$B:$B,$B28)))</f>
        <v/>
      </c>
      <c r="E28" s="60" t="str">
        <f>IF($B28="","",IF(SUMIFS('Entry Sheet Physical'!$E:$E,'Entry Sheet Physical'!$H:$H,E$1,'Entry Sheet Physical'!$B:$B,$B28)=0,"",SUMIFS('Entry Sheet Physical'!$E:$E,'Entry Sheet Physical'!$H:$H,E$1,'Entry Sheet Physical'!$B:$B,$B28)))</f>
        <v/>
      </c>
      <c r="F28" s="60" t="str">
        <f>IF($B28="","",IF(SUMIFS('Entry Sheet Physical'!$E:$E,'Entry Sheet Physical'!$H:$H,F$1,'Entry Sheet Physical'!$B:$B,$B28)=0,"",SUMIFS('Entry Sheet Physical'!$E:$E,'Entry Sheet Physical'!$H:$H,F$1,'Entry Sheet Physical'!$B:$B,$B28)))</f>
        <v/>
      </c>
      <c r="G28" s="60" t="str">
        <f>IF($B28="","",IF(SUMIFS('Entry Sheet Physical'!$E:$E,'Entry Sheet Physical'!$H:$H,G$1,'Entry Sheet Physical'!$B:$B,$B28)=0,"",SUMIFS('Entry Sheet Physical'!$E:$E,'Entry Sheet Physical'!$H:$H,G$1,'Entry Sheet Physical'!$B:$B,$B28)))</f>
        <v/>
      </c>
      <c r="H28" s="60" t="str">
        <f>IF($B28="","",IF(SUMIFS('Entry Sheet Physical'!$E:$E,'Entry Sheet Physical'!$H:$H,H$1,'Entry Sheet Physical'!$B:$B,$B28)=0,"",SUMIFS('Entry Sheet Physical'!$E:$E,'Entry Sheet Physical'!$H:$H,H$1,'Entry Sheet Physical'!$B:$B,$B28)))</f>
        <v/>
      </c>
      <c r="I28" s="60" t="str">
        <f>IF($B28="","",IF(SUMIFS('Entry Sheet Physical'!$E:$E,'Entry Sheet Physical'!$H:$H,I$1,'Entry Sheet Physical'!$B:$B,$B28)=0,"",SUMIFS('Entry Sheet Physical'!$E:$E,'Entry Sheet Physical'!$H:$H,I$1,'Entry Sheet Physical'!$B:$B,$B28)))</f>
        <v/>
      </c>
      <c r="J28" s="60" t="str">
        <f>IF($B28="","",IF(SUMIFS('Entry Sheet Physical'!$E:$E,'Entry Sheet Physical'!$H:$H,J$1,'Entry Sheet Physical'!$B:$B,$B28)=0,"",SUMIFS('Entry Sheet Physical'!$E:$E,'Entry Sheet Physical'!$H:$H,J$1,'Entry Sheet Physical'!$B:$B,$B28)))</f>
        <v/>
      </c>
      <c r="K28" s="180" t="str">
        <f t="shared" si="2"/>
        <v/>
      </c>
      <c r="L28" s="181" t="str">
        <f t="shared" si="3"/>
        <v/>
      </c>
      <c r="M28" s="187"/>
      <c r="S28" s="179"/>
      <c r="T28" s="179"/>
    </row>
    <row r="29" spans="1:30" x14ac:dyDescent="0.25">
      <c r="A29" s="189">
        <f t="shared" si="1"/>
        <v>46044</v>
      </c>
      <c r="B29" s="190">
        <v>46044</v>
      </c>
      <c r="C29" s="60" t="str">
        <f>IF($B29="","",IF(SUMIFS('Entry Sheet Physical'!$E:$E,'Entry Sheet Physical'!$H:$H,C$1,'Entry Sheet Physical'!$B:$B,$B29)=0,"",SUMIFS('Entry Sheet Physical'!$E:$E,'Entry Sheet Physical'!$H:$H,C$1,'Entry Sheet Physical'!$B:$B,$B29)))</f>
        <v/>
      </c>
      <c r="D29" s="60" t="str">
        <f>IF($B29="","",IF(SUMIFS('Entry Sheet Physical'!$E:$E,'Entry Sheet Physical'!$H:$H,D$1,'Entry Sheet Physical'!$B:$B,$B29)=0,"",SUMIFS('Entry Sheet Physical'!$E:$E,'Entry Sheet Physical'!$H:$H,D$1,'Entry Sheet Physical'!$B:$B,$B29)))</f>
        <v/>
      </c>
      <c r="E29" s="60" t="str">
        <f>IF($B29="","",IF(SUMIFS('Entry Sheet Physical'!$E:$E,'Entry Sheet Physical'!$H:$H,E$1,'Entry Sheet Physical'!$B:$B,$B29)=0,"",SUMIFS('Entry Sheet Physical'!$E:$E,'Entry Sheet Physical'!$H:$H,E$1,'Entry Sheet Physical'!$B:$B,$B29)))</f>
        <v/>
      </c>
      <c r="F29" s="60" t="str">
        <f>IF($B29="","",IF(SUMIFS('Entry Sheet Physical'!$E:$E,'Entry Sheet Physical'!$H:$H,F$1,'Entry Sheet Physical'!$B:$B,$B29)=0,"",SUMIFS('Entry Sheet Physical'!$E:$E,'Entry Sheet Physical'!$H:$H,F$1,'Entry Sheet Physical'!$B:$B,$B29)))</f>
        <v/>
      </c>
      <c r="G29" s="60" t="str">
        <f>IF($B29="","",IF(SUMIFS('Entry Sheet Physical'!$E:$E,'Entry Sheet Physical'!$H:$H,G$1,'Entry Sheet Physical'!$B:$B,$B29)=0,"",SUMIFS('Entry Sheet Physical'!$E:$E,'Entry Sheet Physical'!$H:$H,G$1,'Entry Sheet Physical'!$B:$B,$B29)))</f>
        <v/>
      </c>
      <c r="H29" s="60" t="str">
        <f>IF($B29="","",IF(SUMIFS('Entry Sheet Physical'!$E:$E,'Entry Sheet Physical'!$H:$H,H$1,'Entry Sheet Physical'!$B:$B,$B29)=0,"",SUMIFS('Entry Sheet Physical'!$E:$E,'Entry Sheet Physical'!$H:$H,H$1,'Entry Sheet Physical'!$B:$B,$B29)))</f>
        <v/>
      </c>
      <c r="I29" s="60"/>
      <c r="J29" s="60" t="str">
        <f>IF($B29="","",IF(SUMIFS('Entry Sheet Physical'!$E:$E,'Entry Sheet Physical'!$H:$H,J$1,'Entry Sheet Physical'!$B:$B,$B29)=0,"",SUMIFS('Entry Sheet Physical'!$E:$E,'Entry Sheet Physical'!$H:$H,J$1,'Entry Sheet Physical'!$B:$B,$B29)))</f>
        <v/>
      </c>
      <c r="K29" s="180" t="str">
        <f t="shared" si="2"/>
        <v/>
      </c>
      <c r="L29" s="181" t="str">
        <f t="shared" si="3"/>
        <v/>
      </c>
      <c r="M29" s="187">
        <v>1750</v>
      </c>
      <c r="S29" s="179"/>
      <c r="T29" s="179"/>
    </row>
    <row r="30" spans="1:30" x14ac:dyDescent="0.25">
      <c r="A30" s="189">
        <f t="shared" si="1"/>
        <v>46045</v>
      </c>
      <c r="B30" s="190">
        <v>46045</v>
      </c>
      <c r="C30" s="60" t="str">
        <f>IF($B30="","",IF(SUMIFS('Entry Sheet Physical'!$E:$E,'Entry Sheet Physical'!$H:$H,C$1,'Entry Sheet Physical'!$B:$B,$B30)=0,"",SUMIFS('Entry Sheet Physical'!$E:$E,'Entry Sheet Physical'!$H:$H,C$1,'Entry Sheet Physical'!$B:$B,$B30)))</f>
        <v/>
      </c>
      <c r="D30" s="60" t="str">
        <f>IF($B30="","",IF(SUMIFS('Entry Sheet Physical'!$E:$E,'Entry Sheet Physical'!$H:$H,D$1,'Entry Sheet Physical'!$B:$B,$B30)=0,"",SUMIFS('Entry Sheet Physical'!$E:$E,'Entry Sheet Physical'!$H:$H,D$1,'Entry Sheet Physical'!$B:$B,$B30)))</f>
        <v/>
      </c>
      <c r="E30" s="60" t="str">
        <f>IF($B30="","",IF(SUMIFS('Entry Sheet Physical'!$E:$E,'Entry Sheet Physical'!$H:$H,E$1,'Entry Sheet Physical'!$B:$B,$B30)=0,"",SUMIFS('Entry Sheet Physical'!$E:$E,'Entry Sheet Physical'!$H:$H,E$1,'Entry Sheet Physical'!$B:$B,$B30)))</f>
        <v/>
      </c>
      <c r="F30" s="60" t="str">
        <f>IF($B30="","",IF(SUMIFS('Entry Sheet Physical'!$E:$E,'Entry Sheet Physical'!$H:$H,F$1,'Entry Sheet Physical'!$B:$B,$B30)=0,"",SUMIFS('Entry Sheet Physical'!$E:$E,'Entry Sheet Physical'!$H:$H,F$1,'Entry Sheet Physical'!$B:$B,$B30)))</f>
        <v/>
      </c>
      <c r="G30" s="60" t="str">
        <f>IF($B30="","",IF(SUMIFS('Entry Sheet Physical'!$E:$E,'Entry Sheet Physical'!$H:$H,G$1,'Entry Sheet Physical'!$B:$B,$B30)=0,"",SUMIFS('Entry Sheet Physical'!$E:$E,'Entry Sheet Physical'!$H:$H,G$1,'Entry Sheet Physical'!$B:$B,$B30)))</f>
        <v/>
      </c>
      <c r="H30" s="60" t="str">
        <f>IF($B30="","",IF(SUMIFS('Entry Sheet Physical'!$E:$E,'Entry Sheet Physical'!$H:$H,H$1,'Entry Sheet Physical'!$B:$B,$B30)=0,"",SUMIFS('Entry Sheet Physical'!$E:$E,'Entry Sheet Physical'!$H:$H,H$1,'Entry Sheet Physical'!$B:$B,$B30)))</f>
        <v/>
      </c>
      <c r="I30" s="60"/>
      <c r="J30" s="60" t="str">
        <f>IF($B30="","",IF(SUMIFS('Entry Sheet Physical'!$E:$E,'Entry Sheet Physical'!$H:$H,J$1,'Entry Sheet Physical'!$B:$B,$B30)=0,"",SUMIFS('Entry Sheet Physical'!$E:$E,'Entry Sheet Physical'!$H:$H,J$1,'Entry Sheet Physical'!$B:$B,$B30)))</f>
        <v/>
      </c>
      <c r="K30" s="180" t="str">
        <f t="shared" si="2"/>
        <v/>
      </c>
      <c r="L30" s="181" t="str">
        <f t="shared" si="3"/>
        <v/>
      </c>
      <c r="M30" s="187">
        <v>1750</v>
      </c>
      <c r="S30" s="179"/>
      <c r="T30" s="179"/>
    </row>
    <row r="31" spans="1:30" x14ac:dyDescent="0.25">
      <c r="A31" s="189">
        <f t="shared" si="1"/>
        <v>46046</v>
      </c>
      <c r="B31" s="190">
        <v>46046</v>
      </c>
      <c r="C31" s="60" t="str">
        <f>IF($B31="","",IF(SUMIFS('Entry Sheet Physical'!$E:$E,'Entry Sheet Physical'!$H:$H,C$1,'Entry Sheet Physical'!$B:$B,$B31)=0,"",SUMIFS('Entry Sheet Physical'!$E:$E,'Entry Sheet Physical'!$H:$H,C$1,'Entry Sheet Physical'!$B:$B,$B31)))</f>
        <v/>
      </c>
      <c r="D31" s="60" t="str">
        <f>IF($B31="","",IF(SUMIFS('Entry Sheet Physical'!$E:$E,'Entry Sheet Physical'!$H:$H,D$1,'Entry Sheet Physical'!$B:$B,$B31)=0,"",SUMIFS('Entry Sheet Physical'!$E:$E,'Entry Sheet Physical'!$H:$H,D$1,'Entry Sheet Physical'!$B:$B,$B31)))</f>
        <v/>
      </c>
      <c r="E31" s="60" t="str">
        <f>IF($B31="","",IF(SUMIFS('Entry Sheet Physical'!$E:$E,'Entry Sheet Physical'!$H:$H,E$1,'Entry Sheet Physical'!$B:$B,$B31)=0,"",SUMIFS('Entry Sheet Physical'!$E:$E,'Entry Sheet Physical'!$H:$H,E$1,'Entry Sheet Physical'!$B:$B,$B31)))</f>
        <v/>
      </c>
      <c r="F31" s="60" t="str">
        <f>IF($B31="","",IF(SUMIFS('Entry Sheet Physical'!$E:$E,'Entry Sheet Physical'!$H:$H,F$1,'Entry Sheet Physical'!$B:$B,$B31)=0,"",SUMIFS('Entry Sheet Physical'!$E:$E,'Entry Sheet Physical'!$H:$H,F$1,'Entry Sheet Physical'!$B:$B,$B31)))</f>
        <v/>
      </c>
      <c r="G31" s="60" t="str">
        <f>IF($B31="","",IF(SUMIFS('Entry Sheet Physical'!$E:$E,'Entry Sheet Physical'!$H:$H,G$1,'Entry Sheet Physical'!$B:$B,$B31)=0,"",SUMIFS('Entry Sheet Physical'!$E:$E,'Entry Sheet Physical'!$H:$H,G$1,'Entry Sheet Physical'!$B:$B,$B31)))</f>
        <v/>
      </c>
      <c r="H31" s="60" t="str">
        <f>IF($B31="","",IF(SUMIFS('Entry Sheet Physical'!$E:$E,'Entry Sheet Physical'!$H:$H,H$1,'Entry Sheet Physical'!$B:$B,$B31)=0,"",SUMIFS('Entry Sheet Physical'!$E:$E,'Entry Sheet Physical'!$H:$H,H$1,'Entry Sheet Physical'!$B:$B,$B31)))</f>
        <v/>
      </c>
      <c r="I31" s="60" t="str">
        <f>IF($B31="","",IF(SUMIFS('Entry Sheet Physical'!$E:$E,'Entry Sheet Physical'!$H:$H,I$1,'Entry Sheet Physical'!$B:$B,$B31)=0,"",SUMIFS('Entry Sheet Physical'!$E:$E,'Entry Sheet Physical'!$H:$H,I$1,'Entry Sheet Physical'!$B:$B,$B31)))</f>
        <v/>
      </c>
      <c r="J31" s="60" t="str">
        <f>IF($B31="","",IF(SUMIFS('Entry Sheet Physical'!$E:$E,'Entry Sheet Physical'!$H:$H,J$1,'Entry Sheet Physical'!$B:$B,$B31)=0,"",SUMIFS('Entry Sheet Physical'!$E:$E,'Entry Sheet Physical'!$H:$H,J$1,'Entry Sheet Physical'!$B:$B,$B31)))</f>
        <v/>
      </c>
      <c r="K31" s="180" t="str">
        <f t="shared" si="2"/>
        <v/>
      </c>
      <c r="L31" s="181" t="str">
        <f t="shared" si="3"/>
        <v/>
      </c>
      <c r="M31" s="187">
        <v>1750</v>
      </c>
      <c r="S31" s="179"/>
      <c r="T31" s="179"/>
    </row>
    <row r="32" spans="1:30" x14ac:dyDescent="0.25">
      <c r="A32" s="189">
        <f t="shared" si="1"/>
        <v>46047</v>
      </c>
      <c r="B32" s="190">
        <v>46047</v>
      </c>
      <c r="C32" s="60" t="str">
        <f>IF($B32="","",IF(SUMIFS('Entry Sheet Physical'!$E:$E,'Entry Sheet Physical'!$H:$H,C$1,'Entry Sheet Physical'!$B:$B,$B32)=0,"",SUMIFS('Entry Sheet Physical'!$E:$E,'Entry Sheet Physical'!$H:$H,C$1,'Entry Sheet Physical'!$B:$B,$B32)))</f>
        <v/>
      </c>
      <c r="D32" s="60" t="str">
        <f>IF($B32="","",IF(SUMIFS('Entry Sheet Physical'!$E:$E,'Entry Sheet Physical'!$H:$H,D$1,'Entry Sheet Physical'!$B:$B,$B32)=0,"",SUMIFS('Entry Sheet Physical'!$E:$E,'Entry Sheet Physical'!$H:$H,D$1,'Entry Sheet Physical'!$B:$B,$B32)))</f>
        <v/>
      </c>
      <c r="E32" s="60" t="str">
        <f>IF($B32="","",IF(SUMIFS('Entry Sheet Physical'!$E:$E,'Entry Sheet Physical'!$H:$H,E$1,'Entry Sheet Physical'!$B:$B,$B32)=0,"",SUMIFS('Entry Sheet Physical'!$E:$E,'Entry Sheet Physical'!$H:$H,E$1,'Entry Sheet Physical'!$B:$B,$B32)))</f>
        <v/>
      </c>
      <c r="F32" s="60" t="str">
        <f>IF($B32="","",IF(SUMIFS('Entry Sheet Physical'!$E:$E,'Entry Sheet Physical'!$H:$H,F$1,'Entry Sheet Physical'!$B:$B,$B32)=0,"",SUMIFS('Entry Sheet Physical'!$E:$E,'Entry Sheet Physical'!$H:$H,F$1,'Entry Sheet Physical'!$B:$B,$B32)))</f>
        <v/>
      </c>
      <c r="G32" s="60" t="str">
        <f>IF($B32="","",IF(SUMIFS('Entry Sheet Physical'!$E:$E,'Entry Sheet Physical'!$H:$H,G$1,'Entry Sheet Physical'!$B:$B,$B32)=0,"",SUMIFS('Entry Sheet Physical'!$E:$E,'Entry Sheet Physical'!$H:$H,G$1,'Entry Sheet Physical'!$B:$B,$B32)))</f>
        <v/>
      </c>
      <c r="H32" s="60" t="str">
        <f>IF($B32="","",IF(SUMIFS('Entry Sheet Physical'!$E:$E,'Entry Sheet Physical'!$H:$H,H$1,'Entry Sheet Physical'!$B:$B,$B32)=0,"",SUMIFS('Entry Sheet Physical'!$E:$E,'Entry Sheet Physical'!$H:$H,H$1,'Entry Sheet Physical'!$B:$B,$B32)))</f>
        <v/>
      </c>
      <c r="I32" s="60" t="str">
        <f>IF($B32="","",IF(SUMIFS('Entry Sheet Physical'!$E:$E,'Entry Sheet Physical'!$H:$H,I$1,'Entry Sheet Physical'!$B:$B,$B32)=0,"",SUMIFS('Entry Sheet Physical'!$E:$E,'Entry Sheet Physical'!$H:$H,I$1,'Entry Sheet Physical'!$B:$B,$B32)))</f>
        <v/>
      </c>
      <c r="J32" s="60" t="str">
        <f>IF($B32="","",IF(SUMIFS('Entry Sheet Physical'!$E:$E,'Entry Sheet Physical'!$H:$H,J$1,'Entry Sheet Physical'!$B:$B,$B32)=0,"",SUMIFS('Entry Sheet Physical'!$E:$E,'Entry Sheet Physical'!$H:$H,J$1,'Entry Sheet Physical'!$B:$B,$B32)))</f>
        <v/>
      </c>
      <c r="K32" s="180" t="str">
        <f t="shared" si="2"/>
        <v/>
      </c>
      <c r="L32" s="181" t="str">
        <f t="shared" si="3"/>
        <v/>
      </c>
      <c r="M32" s="187">
        <v>1750</v>
      </c>
      <c r="S32" s="179"/>
      <c r="T32" s="179"/>
    </row>
    <row r="33" spans="1:20" x14ac:dyDescent="0.25">
      <c r="A33" s="189">
        <f t="shared" si="1"/>
        <v>46048</v>
      </c>
      <c r="B33" s="190">
        <v>46048</v>
      </c>
      <c r="C33" s="60" t="str">
        <f>IF($B33="","",IF(SUMIFS('Entry Sheet Physical'!$E:$E,'Entry Sheet Physical'!$H:$H,C$1,'Entry Sheet Physical'!$B:$B,$B33)=0,"",SUMIFS('Entry Sheet Physical'!$E:$E,'Entry Sheet Physical'!$H:$H,C$1,'Entry Sheet Physical'!$B:$B,$B33)))</f>
        <v/>
      </c>
      <c r="D33" s="60" t="str">
        <f>IF($B33="","",IF(SUMIFS('Entry Sheet Physical'!$E:$E,'Entry Sheet Physical'!$H:$H,D$1,'Entry Sheet Physical'!$B:$B,$B33)=0,"",SUMIFS('Entry Sheet Physical'!$E:$E,'Entry Sheet Physical'!$H:$H,D$1,'Entry Sheet Physical'!$B:$B,$B33)))</f>
        <v/>
      </c>
      <c r="E33" s="60" t="str">
        <f>IF($B33="","",IF(SUMIFS('Entry Sheet Physical'!$E:$E,'Entry Sheet Physical'!$H:$H,E$1,'Entry Sheet Physical'!$B:$B,$B33)=0,"",SUMIFS('Entry Sheet Physical'!$E:$E,'Entry Sheet Physical'!$H:$H,E$1,'Entry Sheet Physical'!$B:$B,$B33)))</f>
        <v/>
      </c>
      <c r="F33" s="60" t="str">
        <f>IF($B33="","",IF(SUMIFS('Entry Sheet Physical'!$E:$E,'Entry Sheet Physical'!$H:$H,F$1,'Entry Sheet Physical'!$B:$B,$B33)=0,"",SUMIFS('Entry Sheet Physical'!$E:$E,'Entry Sheet Physical'!$H:$H,F$1,'Entry Sheet Physical'!$B:$B,$B33)))</f>
        <v/>
      </c>
      <c r="G33" s="60" t="str">
        <f>IF($B33="","",IF(SUMIFS('Entry Sheet Physical'!$E:$E,'Entry Sheet Physical'!$H:$H,G$1,'Entry Sheet Physical'!$B:$B,$B33)=0,"",SUMIFS('Entry Sheet Physical'!$E:$E,'Entry Sheet Physical'!$H:$H,G$1,'Entry Sheet Physical'!$B:$B,$B33)))</f>
        <v/>
      </c>
      <c r="H33" s="60" t="str">
        <f>IF($B33="","",IF(SUMIFS('Entry Sheet Physical'!$E:$E,'Entry Sheet Physical'!$H:$H,H$1,'Entry Sheet Physical'!$B:$B,$B33)=0,"",SUMIFS('Entry Sheet Physical'!$E:$E,'Entry Sheet Physical'!$H:$H,H$1,'Entry Sheet Physical'!$B:$B,$B33)))</f>
        <v/>
      </c>
      <c r="I33" s="60" t="str">
        <f>IF($B33="","",IF(SUMIFS('Entry Sheet Physical'!$E:$E,'Entry Sheet Physical'!$H:$H,I$1,'Entry Sheet Physical'!$B:$B,$B33)=0,"",SUMIFS('Entry Sheet Physical'!$E:$E,'Entry Sheet Physical'!$H:$H,I$1,'Entry Sheet Physical'!$B:$B,$B33)))</f>
        <v/>
      </c>
      <c r="J33" s="60" t="str">
        <f>IF($B33="","",IF(SUMIFS('Entry Sheet Physical'!$E:$E,'Entry Sheet Physical'!$H:$H,J$1,'Entry Sheet Physical'!$B:$B,$B33)=0,"",SUMIFS('Entry Sheet Physical'!$E:$E,'Entry Sheet Physical'!$H:$H,J$1,'Entry Sheet Physical'!$B:$B,$B33)))</f>
        <v/>
      </c>
      <c r="K33" s="180" t="str">
        <f t="shared" si="2"/>
        <v/>
      </c>
      <c r="L33" s="181" t="str">
        <f t="shared" si="3"/>
        <v/>
      </c>
      <c r="M33" s="187">
        <v>1750</v>
      </c>
      <c r="S33" s="179"/>
      <c r="T33" s="179"/>
    </row>
    <row r="34" spans="1:20" x14ac:dyDescent="0.25">
      <c r="A34" s="189">
        <f t="shared" si="1"/>
        <v>46049</v>
      </c>
      <c r="B34" s="190">
        <v>46049</v>
      </c>
      <c r="C34" s="60" t="str">
        <f>IF($B34="","",IF(SUMIFS('Entry Sheet Physical'!$E:$E,'Entry Sheet Physical'!$H:$H,C$1,'Entry Sheet Physical'!$B:$B,$B34)=0,"",SUMIFS('Entry Sheet Physical'!$E:$E,'Entry Sheet Physical'!$H:$H,C$1,'Entry Sheet Physical'!$B:$B,$B34)))</f>
        <v/>
      </c>
      <c r="D34" s="60" t="str">
        <f>IF($B34="","",IF(SUMIFS('Entry Sheet Physical'!$E:$E,'Entry Sheet Physical'!$H:$H,D$1,'Entry Sheet Physical'!$B:$B,$B34)=0,"",SUMIFS('Entry Sheet Physical'!$E:$E,'Entry Sheet Physical'!$H:$H,D$1,'Entry Sheet Physical'!$B:$B,$B34)))</f>
        <v/>
      </c>
      <c r="E34" s="60" t="str">
        <f>IF($B34="","",IF(SUMIFS('Entry Sheet Physical'!$E:$E,'Entry Sheet Physical'!$H:$H,E$1,'Entry Sheet Physical'!$B:$B,$B34)=0,"",SUMIFS('Entry Sheet Physical'!$E:$E,'Entry Sheet Physical'!$H:$H,E$1,'Entry Sheet Physical'!$B:$B,$B34)))</f>
        <v/>
      </c>
      <c r="F34" s="60" t="str">
        <f>IF($B34="","",IF(SUMIFS('Entry Sheet Physical'!$E:$E,'Entry Sheet Physical'!$H:$H,F$1,'Entry Sheet Physical'!$B:$B,$B34)=0,"",SUMIFS('Entry Sheet Physical'!$E:$E,'Entry Sheet Physical'!$H:$H,F$1,'Entry Sheet Physical'!$B:$B,$B34)))</f>
        <v/>
      </c>
      <c r="G34" s="60" t="str">
        <f>IF($B34="","",IF(SUMIFS('Entry Sheet Physical'!$E:$E,'Entry Sheet Physical'!$H:$H,G$1,'Entry Sheet Physical'!$B:$B,$B34)=0,"",SUMIFS('Entry Sheet Physical'!$E:$E,'Entry Sheet Physical'!$H:$H,G$1,'Entry Sheet Physical'!$B:$B,$B34)))</f>
        <v/>
      </c>
      <c r="H34" s="60" t="str">
        <f>IF($B34="","",IF(SUMIFS('Entry Sheet Physical'!$E:$E,'Entry Sheet Physical'!$H:$H,H$1,'Entry Sheet Physical'!$B:$B,$B34)=0,"",SUMIFS('Entry Sheet Physical'!$E:$E,'Entry Sheet Physical'!$H:$H,H$1,'Entry Sheet Physical'!$B:$B,$B34)))</f>
        <v/>
      </c>
      <c r="I34" s="60" t="str">
        <f>IF($B34="","",IF(SUMIFS('Entry Sheet Physical'!$E:$E,'Entry Sheet Physical'!$H:$H,I$1,'Entry Sheet Physical'!$B:$B,$B34)=0,"",SUMIFS('Entry Sheet Physical'!$E:$E,'Entry Sheet Physical'!$H:$H,I$1,'Entry Sheet Physical'!$B:$B,$B34)))</f>
        <v/>
      </c>
      <c r="J34" s="60" t="str">
        <f>IF($B34="","",IF(SUMIFS('Entry Sheet Physical'!$E:$E,'Entry Sheet Physical'!$H:$H,J$1,'Entry Sheet Physical'!$B:$B,$B34)=0,"",SUMIFS('Entry Sheet Physical'!$E:$E,'Entry Sheet Physical'!$H:$H,J$1,'Entry Sheet Physical'!$B:$B,$B34)))</f>
        <v/>
      </c>
      <c r="K34" s="180" t="str">
        <f t="shared" si="2"/>
        <v/>
      </c>
      <c r="L34" s="181" t="str">
        <f t="shared" si="3"/>
        <v/>
      </c>
      <c r="M34" s="187">
        <v>1750</v>
      </c>
      <c r="S34" s="179"/>
      <c r="T34" s="179"/>
    </row>
    <row r="35" spans="1:20" x14ac:dyDescent="0.25">
      <c r="A35" s="189">
        <f t="shared" si="1"/>
        <v>46050</v>
      </c>
      <c r="B35" s="190">
        <v>46050</v>
      </c>
      <c r="C35" s="60" t="str">
        <f>IF($B35="","",IF(SUMIFS('Entry Sheet Physical'!$E:$E,'Entry Sheet Physical'!$H:$H,C$1,'Entry Sheet Physical'!$B:$B,$B35)=0,"",SUMIFS('Entry Sheet Physical'!$E:$E,'Entry Sheet Physical'!$H:$H,C$1,'Entry Sheet Physical'!$B:$B,$B35)))</f>
        <v/>
      </c>
      <c r="D35" s="60" t="str">
        <f>IF($B35="","",IF(SUMIFS('Entry Sheet Physical'!$E:$E,'Entry Sheet Physical'!$H:$H,D$1,'Entry Sheet Physical'!$B:$B,$B35)=0,"",SUMIFS('Entry Sheet Physical'!$E:$E,'Entry Sheet Physical'!$H:$H,D$1,'Entry Sheet Physical'!$B:$B,$B35)))</f>
        <v/>
      </c>
      <c r="E35" s="60" t="str">
        <f>IF($B35="","",IF(SUMIFS('Entry Sheet Physical'!$E:$E,'Entry Sheet Physical'!$H:$H,E$1,'Entry Sheet Physical'!$B:$B,$B35)=0,"",SUMIFS('Entry Sheet Physical'!$E:$E,'Entry Sheet Physical'!$H:$H,E$1,'Entry Sheet Physical'!$B:$B,$B35)))</f>
        <v/>
      </c>
      <c r="F35" s="60" t="str">
        <f>IF($B35="","",IF(SUMIFS('Entry Sheet Physical'!$E:$E,'Entry Sheet Physical'!$H:$H,F$1,'Entry Sheet Physical'!$B:$B,$B35)=0,"",SUMIFS('Entry Sheet Physical'!$E:$E,'Entry Sheet Physical'!$H:$H,F$1,'Entry Sheet Physical'!$B:$B,$B35)))</f>
        <v/>
      </c>
      <c r="G35" s="60" t="str">
        <f>IF($B35="","",IF(SUMIFS('Entry Sheet Physical'!$E:$E,'Entry Sheet Physical'!$H:$H,G$1,'Entry Sheet Physical'!$B:$B,$B35)=0,"",SUMIFS('Entry Sheet Physical'!$E:$E,'Entry Sheet Physical'!$H:$H,G$1,'Entry Sheet Physical'!$B:$B,$B35)))</f>
        <v/>
      </c>
      <c r="H35" s="60" t="str">
        <f>IF($B35="","",IF(SUMIFS('Entry Sheet Physical'!$E:$E,'Entry Sheet Physical'!$H:$H,H$1,'Entry Sheet Physical'!$B:$B,$B35)=0,"",SUMIFS('Entry Sheet Physical'!$E:$E,'Entry Sheet Physical'!$H:$H,H$1,'Entry Sheet Physical'!$B:$B,$B35)))</f>
        <v/>
      </c>
      <c r="I35" s="60" t="str">
        <f>IF($B35="","",IF(SUMIFS('Entry Sheet Physical'!$E:$E,'Entry Sheet Physical'!$H:$H,I$1,'Entry Sheet Physical'!$B:$B,$B35)=0,"",SUMIFS('Entry Sheet Physical'!$E:$E,'Entry Sheet Physical'!$H:$H,I$1,'Entry Sheet Physical'!$B:$B,$B35)))</f>
        <v/>
      </c>
      <c r="J35" s="60" t="str">
        <f>IF($B35="","",IF(SUMIFS('Entry Sheet Physical'!$E:$E,'Entry Sheet Physical'!$H:$H,J$1,'Entry Sheet Physical'!$B:$B,$B35)=0,"",SUMIFS('Entry Sheet Physical'!$E:$E,'Entry Sheet Physical'!$H:$H,J$1,'Entry Sheet Physical'!$B:$B,$B35)))</f>
        <v/>
      </c>
      <c r="K35" s="180" t="str">
        <f t="shared" si="2"/>
        <v/>
      </c>
      <c r="L35" s="181" t="str">
        <f t="shared" si="3"/>
        <v/>
      </c>
      <c r="M35" s="187"/>
      <c r="S35" s="179"/>
      <c r="T35" s="179"/>
    </row>
    <row r="36" spans="1:20" x14ac:dyDescent="0.25">
      <c r="A36" s="189">
        <f t="shared" si="1"/>
        <v>46051</v>
      </c>
      <c r="B36" s="190">
        <v>46051</v>
      </c>
      <c r="C36" s="60" t="str">
        <f>IF($B36="","",IF(SUMIFS('Entry Sheet Physical'!$E:$E,'Entry Sheet Physical'!$H:$H,C$1,'Entry Sheet Physical'!$B:$B,$B36)=0,"",SUMIFS('Entry Sheet Physical'!$E:$E,'Entry Sheet Physical'!$H:$H,C$1,'Entry Sheet Physical'!$B:$B,$B36)))</f>
        <v/>
      </c>
      <c r="D36" s="60" t="str">
        <f>IF($B36="","",IF(SUMIFS('Entry Sheet Physical'!$E:$E,'Entry Sheet Physical'!$H:$H,D$1,'Entry Sheet Physical'!$B:$B,$B36)=0,"",SUMIFS('Entry Sheet Physical'!$E:$E,'Entry Sheet Physical'!$H:$H,D$1,'Entry Sheet Physical'!$B:$B,$B36)))</f>
        <v/>
      </c>
      <c r="E36" s="60" t="str">
        <f>IF($B36="","",IF(SUMIFS('Entry Sheet Physical'!$E:$E,'Entry Sheet Physical'!$H:$H,E$1,'Entry Sheet Physical'!$B:$B,$B36)=0,"",SUMIFS('Entry Sheet Physical'!$E:$E,'Entry Sheet Physical'!$H:$H,E$1,'Entry Sheet Physical'!$B:$B,$B36)))</f>
        <v/>
      </c>
      <c r="F36" s="60" t="str">
        <f>IF($B36="","",IF(SUMIFS('Entry Sheet Physical'!$E:$E,'Entry Sheet Physical'!$H:$H,F$1,'Entry Sheet Physical'!$B:$B,$B36)=0,"",SUMIFS('Entry Sheet Physical'!$E:$E,'Entry Sheet Physical'!$H:$H,F$1,'Entry Sheet Physical'!$B:$B,$B36)))</f>
        <v/>
      </c>
      <c r="G36" s="60" t="str">
        <f>IF($B36="","",IF(SUMIFS('Entry Sheet Physical'!$E:$E,'Entry Sheet Physical'!$H:$H,G$1,'Entry Sheet Physical'!$B:$B,$B36)=0,"",SUMIFS('Entry Sheet Physical'!$E:$E,'Entry Sheet Physical'!$H:$H,G$1,'Entry Sheet Physical'!$B:$B,$B36)))</f>
        <v/>
      </c>
      <c r="H36" s="60" t="str">
        <f>IF($B36="","",IF(SUMIFS('Entry Sheet Physical'!$E:$E,'Entry Sheet Physical'!$H:$H,H$1,'Entry Sheet Physical'!$B:$B,$B36)=0,"",SUMIFS('Entry Sheet Physical'!$E:$E,'Entry Sheet Physical'!$H:$H,H$1,'Entry Sheet Physical'!$B:$B,$B36)))</f>
        <v/>
      </c>
      <c r="I36" s="60" t="str">
        <f>IF($B36="","",IF(SUMIFS('Entry Sheet Physical'!$E:$E,'Entry Sheet Physical'!$H:$H,I$1,'Entry Sheet Physical'!$B:$B,$B36)=0,"",SUMIFS('Entry Sheet Physical'!$E:$E,'Entry Sheet Physical'!$H:$H,I$1,'Entry Sheet Physical'!$B:$B,$B36)))</f>
        <v/>
      </c>
      <c r="J36" s="60" t="str">
        <f>IF($B36="","",IF(SUMIFS('Entry Sheet Physical'!$E:$E,'Entry Sheet Physical'!$H:$H,J$1,'Entry Sheet Physical'!$B:$B,$B36)=0,"",SUMIFS('Entry Sheet Physical'!$E:$E,'Entry Sheet Physical'!$H:$H,J$1,'Entry Sheet Physical'!$B:$B,$B36)))</f>
        <v/>
      </c>
      <c r="K36" s="180" t="str">
        <f t="shared" si="2"/>
        <v/>
      </c>
      <c r="L36" s="181" t="str">
        <f t="shared" si="3"/>
        <v/>
      </c>
      <c r="M36" s="187">
        <v>1750</v>
      </c>
      <c r="S36" s="179"/>
      <c r="T36" s="179"/>
    </row>
    <row r="37" spans="1:20" x14ac:dyDescent="0.25">
      <c r="A37" s="189">
        <f t="shared" si="1"/>
        <v>46052</v>
      </c>
      <c r="B37" s="190">
        <v>46052</v>
      </c>
      <c r="C37" s="60" t="str">
        <f>IF($B37="","",IF(SUMIFS('Entry Sheet Physical'!$E:$E,'Entry Sheet Physical'!$H:$H,C$1,'Entry Sheet Physical'!$B:$B,$B37)=0,"",SUMIFS('Entry Sheet Physical'!$E:$E,'Entry Sheet Physical'!$H:$H,C$1,'Entry Sheet Physical'!$B:$B,$B37)))</f>
        <v/>
      </c>
      <c r="D37" s="60" t="str">
        <f>IF($B37="","",IF(SUMIFS('Entry Sheet Physical'!$E:$E,'Entry Sheet Physical'!$H:$H,D$1,'Entry Sheet Physical'!$B:$B,$B37)=0,"",SUMIFS('Entry Sheet Physical'!$E:$E,'Entry Sheet Physical'!$H:$H,D$1,'Entry Sheet Physical'!$B:$B,$B37)))</f>
        <v/>
      </c>
      <c r="E37" s="60" t="str">
        <f>IF($B37="","",IF(SUMIFS('Entry Sheet Physical'!$E:$E,'Entry Sheet Physical'!$H:$H,E$1,'Entry Sheet Physical'!$B:$B,$B37)=0,"",SUMIFS('Entry Sheet Physical'!$E:$E,'Entry Sheet Physical'!$H:$H,E$1,'Entry Sheet Physical'!$B:$B,$B37)))</f>
        <v/>
      </c>
      <c r="F37" s="60" t="str">
        <f>IF($B37="","",IF(SUMIFS('Entry Sheet Physical'!$E:$E,'Entry Sheet Physical'!$H:$H,F$1,'Entry Sheet Physical'!$B:$B,$B37)=0,"",SUMIFS('Entry Sheet Physical'!$E:$E,'Entry Sheet Physical'!$H:$H,F$1,'Entry Sheet Physical'!$B:$B,$B37)))</f>
        <v/>
      </c>
      <c r="G37" s="60" t="str">
        <f>IF($B37="","",IF(SUMIFS('Entry Sheet Physical'!$E:$E,'Entry Sheet Physical'!$H:$H,G$1,'Entry Sheet Physical'!$B:$B,$B37)=0,"",SUMIFS('Entry Sheet Physical'!$E:$E,'Entry Sheet Physical'!$H:$H,G$1,'Entry Sheet Physical'!$B:$B,$B37)))</f>
        <v/>
      </c>
      <c r="H37" s="60" t="str">
        <f>IF($B37="","",IF(SUMIFS('Entry Sheet Physical'!$E:$E,'Entry Sheet Physical'!$H:$H,H$1,'Entry Sheet Physical'!$B:$B,$B37)=0,"",SUMIFS('Entry Sheet Physical'!$E:$E,'Entry Sheet Physical'!$H:$H,H$1,'Entry Sheet Physical'!$B:$B,$B37)))</f>
        <v/>
      </c>
      <c r="I37" s="60" t="str">
        <f>IF($B37="","",IF(SUMIFS('Entry Sheet Physical'!$E:$E,'Entry Sheet Physical'!$H:$H,I$1,'Entry Sheet Physical'!$B:$B,$B37)=0,"",SUMIFS('Entry Sheet Physical'!$E:$E,'Entry Sheet Physical'!$H:$H,I$1,'Entry Sheet Physical'!$B:$B,$B37)))</f>
        <v/>
      </c>
      <c r="J37" s="60" t="str">
        <f>IF($B37="","",IF(SUMIFS('Entry Sheet Physical'!$E:$E,'Entry Sheet Physical'!$H:$H,J$1,'Entry Sheet Physical'!$B:$B,$B37)=0,"",SUMIFS('Entry Sheet Physical'!$E:$E,'Entry Sheet Physical'!$H:$H,J$1,'Entry Sheet Physical'!$B:$B,$B37)))</f>
        <v/>
      </c>
      <c r="K37" s="180" t="str">
        <f t="shared" si="2"/>
        <v/>
      </c>
      <c r="L37" s="181" t="str">
        <f t="shared" si="3"/>
        <v/>
      </c>
      <c r="M37" s="187">
        <v>1750</v>
      </c>
      <c r="S37" s="179"/>
      <c r="T37" s="179"/>
    </row>
    <row r="38" spans="1:20" ht="15.75" customHeight="1" thickBot="1" x14ac:dyDescent="0.3">
      <c r="A38" s="191">
        <f t="shared" si="1"/>
        <v>46053</v>
      </c>
      <c r="B38" s="192">
        <v>46053</v>
      </c>
      <c r="C38" s="183" t="str">
        <f>IF($B38="","",IF(SUMIFS('Entry Sheet Physical'!$E:$E,'Entry Sheet Physical'!$H:$H,C$1,'Entry Sheet Physical'!$B:$B,$B38)=0,"",SUMIFS('Entry Sheet Physical'!$E:$E,'Entry Sheet Physical'!$H:$H,C$1,'Entry Sheet Physical'!$B:$B,$B38)))</f>
        <v/>
      </c>
      <c r="D38" s="183" t="str">
        <f>IF($B38="","",IF(SUMIFS('Entry Sheet Physical'!$E:$E,'Entry Sheet Physical'!$H:$H,D$1,'Entry Sheet Physical'!$B:$B,$B38)=0,"",SUMIFS('Entry Sheet Physical'!$E:$E,'Entry Sheet Physical'!$H:$H,D$1,'Entry Sheet Physical'!$B:$B,$B38)))</f>
        <v/>
      </c>
      <c r="E38" s="183" t="str">
        <f>IF($B38="","",IF(SUMIFS('Entry Sheet Physical'!$E:$E,'Entry Sheet Physical'!$H:$H,E$1,'Entry Sheet Physical'!$B:$B,$B38)=0,"",SUMIFS('Entry Sheet Physical'!$E:$E,'Entry Sheet Physical'!$H:$H,E$1,'Entry Sheet Physical'!$B:$B,$B38)))</f>
        <v/>
      </c>
      <c r="F38" s="183" t="str">
        <f>IF($B38="","",IF(SUMIFS('Entry Sheet Physical'!$E:$E,'Entry Sheet Physical'!$H:$H,F$1,'Entry Sheet Physical'!$B:$B,$B38)=0,"",SUMIFS('Entry Sheet Physical'!$E:$E,'Entry Sheet Physical'!$H:$H,F$1,'Entry Sheet Physical'!$B:$B,$B38)))</f>
        <v/>
      </c>
      <c r="G38" s="183" t="str">
        <f>IF($B38="","",IF(SUMIFS('Entry Sheet Physical'!$E:$E,'Entry Sheet Physical'!$H:$H,G$1,'Entry Sheet Physical'!$B:$B,$B38)=0,"",SUMIFS('Entry Sheet Physical'!$E:$E,'Entry Sheet Physical'!$H:$H,G$1,'Entry Sheet Physical'!$B:$B,$B38)))</f>
        <v/>
      </c>
      <c r="H38" s="183" t="str">
        <f>IF($B38="","",IF(SUMIFS('Entry Sheet Physical'!$E:$E,'Entry Sheet Physical'!$H:$H,H$1,'Entry Sheet Physical'!$B:$B,$B38)=0,"",SUMIFS('Entry Sheet Physical'!$E:$E,'Entry Sheet Physical'!$H:$H,H$1,'Entry Sheet Physical'!$B:$B,$B38)))</f>
        <v/>
      </c>
      <c r="I38" s="183" t="str">
        <f>IF($B38="","",IF(SUMIFS('Entry Sheet Physical'!$E:$E,'Entry Sheet Physical'!$H:$H,I$1,'Entry Sheet Physical'!$B:$B,$B38)=0,"",SUMIFS('Entry Sheet Physical'!$E:$E,'Entry Sheet Physical'!$H:$H,I$1,'Entry Sheet Physical'!$B:$B,$B38)))</f>
        <v/>
      </c>
      <c r="J38" s="183" t="str">
        <f>IF($B38="","",IF(SUMIFS('Entry Sheet Physical'!$E:$E,'Entry Sheet Physical'!$H:$H,J$1,'Entry Sheet Physical'!$B:$B,$B38)=0,"",SUMIFS('Entry Sheet Physical'!$E:$E,'Entry Sheet Physical'!$H:$H,J$1,'Entry Sheet Physical'!$B:$B,$B38)))</f>
        <v/>
      </c>
      <c r="K38" s="184" t="str">
        <f t="shared" si="2"/>
        <v/>
      </c>
      <c r="L38" s="185" t="str">
        <f t="shared" si="3"/>
        <v/>
      </c>
      <c r="M38" s="188">
        <v>1750</v>
      </c>
    </row>
  </sheetData>
  <mergeCells count="6">
    <mergeCell ref="A2:M2"/>
    <mergeCell ref="A6:B6"/>
    <mergeCell ref="A4:B4"/>
    <mergeCell ref="M4:M5"/>
    <mergeCell ref="A5:B5"/>
    <mergeCell ref="L4:L5"/>
  </mergeCells>
  <conditionalFormatting sqref="A8:K38">
    <cfRule type="expression" dxfId="12" priority="7">
      <formula>TEXT($B8,"ddd")="Fri"</formula>
    </cfRule>
  </conditionalFormatting>
  <conditionalFormatting sqref="L4:L5">
    <cfRule type="containsText" dxfId="11" priority="4" operator="containsText" text="Profit">
      <formula>NOT(ISERROR(SEARCH("Profit",L4)))</formula>
    </cfRule>
    <cfRule type="containsText" dxfId="10" priority="6" operator="containsText" text="Loss">
      <formula>NOT(ISERROR(SEARCH("Loss",L4)))</formula>
    </cfRule>
  </conditionalFormatting>
  <conditionalFormatting sqref="L6 L8:L38">
    <cfRule type="cellIs" dxfId="9" priority="3" operator="lessThan">
      <formula>0</formula>
    </cfRule>
    <cfRule type="cellIs" dxfId="8" priority="5" operator="greaterThan">
      <formula>0</formula>
    </cfRule>
  </conditionalFormatting>
  <conditionalFormatting sqref="L8:L38">
    <cfRule type="expression" priority="2">
      <formula>AND($L8&lt;&gt;"",$L8&gt;0)</formula>
    </cfRule>
  </conditionalFormatting>
  <conditionalFormatting sqref="M8:M38">
    <cfRule type="cellIs" dxfId="7" priority="1" operator="greaterThan">
      <formula>0</formula>
    </cfRule>
  </conditionalFormatting>
  <dataValidations count="2">
    <dataValidation type="list" allowBlank="1" showInputMessage="1" showErrorMessage="1" sqref="U4" xr:uid="{00000000-0002-0000-0B00-000000000000}">
      <formula1>$AB$9:$AB$10</formula1>
    </dataValidation>
    <dataValidation type="list" allowBlank="1" showInputMessage="1" showErrorMessage="1" sqref="S4" xr:uid="{00000000-0002-0000-0B00-000001000000}">
      <formula1>$AD$9:$AD$20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1"/>
  </sheetPr>
  <dimension ref="A1:Q149"/>
  <sheetViews>
    <sheetView tabSelected="1" workbookViewId="0">
      <pane xSplit="1" ySplit="1" topLeftCell="B69" activePane="bottomRight" state="frozen"/>
      <selection pane="topRight" activeCell="B1" sqref="B1"/>
      <selection pane="bottomLeft" activeCell="A2" sqref="A2"/>
      <selection pane="bottomRight" activeCell="B83" sqref="B83:C83"/>
    </sheetView>
  </sheetViews>
  <sheetFormatPr defaultColWidth="9.109375" defaultRowHeight="13.8" x14ac:dyDescent="0.25"/>
  <cols>
    <col min="1" max="1" width="5" style="1" bestFit="1" customWidth="1"/>
    <col min="2" max="2" width="7.5546875" style="1" bestFit="1" customWidth="1"/>
    <col min="3" max="3" width="24.6640625" style="1" customWidth="1"/>
    <col min="4" max="4" width="72.109375" style="1" customWidth="1"/>
    <col min="5" max="5" width="12.109375" style="1" bestFit="1" customWidth="1"/>
    <col min="6" max="6" width="9.5546875" style="1" bestFit="1" customWidth="1"/>
    <col min="7" max="7" width="16.44140625" style="1" bestFit="1" customWidth="1"/>
    <col min="8" max="8" width="16.44140625" style="1" customWidth="1"/>
    <col min="9" max="9" width="5.44140625" style="1" bestFit="1" customWidth="1"/>
    <col min="10" max="10" width="5.33203125" style="1" bestFit="1" customWidth="1"/>
    <col min="11" max="11" width="24.5546875" style="1" bestFit="1" customWidth="1"/>
    <col min="12" max="14" width="9.109375" style="1" customWidth="1"/>
    <col min="15" max="15" width="27.109375" style="1" bestFit="1" customWidth="1"/>
    <col min="16" max="16" width="55.6640625" style="1" bestFit="1" customWidth="1"/>
    <col min="17" max="19" width="9.109375" style="1" customWidth="1"/>
    <col min="20" max="16384" width="9.109375" style="1"/>
  </cols>
  <sheetData>
    <row r="1" spans="1:17" s="161" customFormat="1" ht="48" customHeight="1" x14ac:dyDescent="0.25">
      <c r="A1" s="158" t="s">
        <v>695</v>
      </c>
      <c r="B1" s="158" t="s">
        <v>694</v>
      </c>
      <c r="C1" s="159" t="s">
        <v>5</v>
      </c>
      <c r="D1" s="159" t="s">
        <v>723</v>
      </c>
      <c r="E1" s="159" t="s">
        <v>699</v>
      </c>
      <c r="F1" s="158" t="s">
        <v>648</v>
      </c>
      <c r="G1" s="158" t="s">
        <v>724</v>
      </c>
      <c r="H1" s="158"/>
      <c r="I1" s="158"/>
      <c r="J1" s="158" t="s">
        <v>649</v>
      </c>
      <c r="K1" s="158" t="s">
        <v>527</v>
      </c>
    </row>
    <row r="2" spans="1:17" s="156" customFormat="1" x14ac:dyDescent="0.25">
      <c r="A2" s="150">
        <f t="shared" ref="A2:A33" si="0">B2</f>
        <v>46235</v>
      </c>
      <c r="B2" s="151">
        <v>46235</v>
      </c>
      <c r="C2" s="152" t="s">
        <v>483</v>
      </c>
      <c r="D2" s="152" t="str">
        <f t="array" ref="D2:D145">_xlfn.XLOOKUP(C2:C145,O2:O143,P2:P143,"")</f>
        <v>56 Inch Premium Ceiling Fan - Ivory {Body}</v>
      </c>
      <c r="E2" s="153">
        <v>450</v>
      </c>
      <c r="F2" s="154" t="str">
        <f t="shared" ref="F2:F33" si="1">TEXT(B2,"mmmm")</f>
        <v>August</v>
      </c>
      <c r="G2" s="155" t="str">
        <f>_xlfn.LET(_xlpm.x,UPPER(TRIM(C2)),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2" s="155" t="str">
        <f t="shared" ref="H2:H33" si="2">IF(ISNUMBER(SEARCH("2401",C2)),"2401"&amp;IF(ISNUMBER(SEARCH("(BL)",C2))," BL",""),
IF(ISNUMBER(SEARCH("3601",C2)),"3601"&amp;IF(ISNUMBER(SEARCH("(BL)",C2))," BL",""),
IF(ISNUMBER(SEARCH("4801",C2)),"4801"&amp;IF(ISNUMBER(SEARCH("(BL)",C2))," BL",""),
IF(ISNUMBER(SEARCH("5601",C2)),"5601"&amp;IF(ISNUMBER(SEARCH("(BL)",C2))," BL",""),
IF(ISNUMBER(SEARCH("5602",C2)),"5602"&amp;IF(ISNUMBER(SEARCH("(BL)",C2))," BL",""),
IF(ISNUMBER(SEARCH("5603",C2)),"5603"&amp;IF(ISNUMBER(SEARCH("(BL)",C2))," BL",""),
IF(ISNUMBER(SEARCH("5606",C2)),"5606"&amp;IF(ISNUMBER(SEARCH("(BL)",C2))," BL",""),
IF(ISNUMBER(SEARCH("5607",C2)),"5607"&amp;IF(ISNUMBER(SEARCH("(BL)",C2))," BL",""),
""))))))))</f>
        <v>5601</v>
      </c>
      <c r="I2" s="155" t="str">
        <f t="shared" ref="I2:I33" si="3">IF(ISNUMBER(SEARCH("body",D2)),"body",IF(ISNUMBER(SEARCH("blade",D2)),"blade",0))</f>
        <v>body</v>
      </c>
      <c r="J2" s="155">
        <v>2026</v>
      </c>
      <c r="K2" s="155" t="str">
        <f t="shared" ref="K2:K33" si="4">F2&amp;G2&amp;J2&amp;I2</f>
        <v>AugustCeiling Fan2026body</v>
      </c>
      <c r="M2" s="157"/>
      <c r="N2" s="157"/>
      <c r="O2" s="160" t="s">
        <v>497</v>
      </c>
      <c r="P2" s="157" t="s">
        <v>725</v>
      </c>
      <c r="Q2" s="157"/>
    </row>
    <row r="3" spans="1:17" s="156" customFormat="1" x14ac:dyDescent="0.25">
      <c r="A3" s="150">
        <f t="shared" si="0"/>
        <v>46235</v>
      </c>
      <c r="B3" s="151">
        <v>46235</v>
      </c>
      <c r="C3" s="152" t="s">
        <v>497</v>
      </c>
      <c r="D3" s="152" t="str">
        <v>24 Inch Super Ceiling Fan - Ivory {Body}</v>
      </c>
      <c r="E3" s="153">
        <v>995</v>
      </c>
      <c r="F3" s="154" t="str">
        <f t="shared" si="1"/>
        <v>August</v>
      </c>
      <c r="G3" s="155" t="str">
        <f>_xlfn.LET(_xlpm.x,UPPER(TRIM(C3)),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3" s="155" t="str">
        <f t="shared" si="2"/>
        <v>2401</v>
      </c>
      <c r="I3" s="155" t="str">
        <f t="shared" si="3"/>
        <v>body</v>
      </c>
      <c r="J3" s="155">
        <v>2026</v>
      </c>
      <c r="K3" s="155" t="str">
        <f t="shared" si="4"/>
        <v>AugustCeiling Fan2026body</v>
      </c>
      <c r="M3" s="157"/>
      <c r="N3" s="157"/>
      <c r="O3" s="160" t="s">
        <v>495</v>
      </c>
      <c r="P3" s="157" t="s">
        <v>726</v>
      </c>
      <c r="Q3" s="157"/>
    </row>
    <row r="4" spans="1:17" s="156" customFormat="1" x14ac:dyDescent="0.25">
      <c r="A4" s="150">
        <f t="shared" si="0"/>
        <v>46235</v>
      </c>
      <c r="B4" s="151">
        <v>46235</v>
      </c>
      <c r="C4" s="152" t="s">
        <v>727</v>
      </c>
      <c r="D4" s="152" t="str">
        <v>24 Inch Super Ceiling Fan - Ivory {Blade}</v>
      </c>
      <c r="E4" s="153">
        <v>1400</v>
      </c>
      <c r="F4" s="154" t="str">
        <f t="shared" si="1"/>
        <v>August</v>
      </c>
      <c r="G4" s="155" t="str">
        <f>_xlfn.LET(_xlpm.x,UPPER(TRIM(C4)),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4" s="155" t="str">
        <f t="shared" si="2"/>
        <v>2401 BL</v>
      </c>
      <c r="I4" s="155" t="str">
        <f t="shared" si="3"/>
        <v>blade</v>
      </c>
      <c r="J4" s="155">
        <v>2026</v>
      </c>
      <c r="K4" s="155" t="str">
        <f t="shared" si="4"/>
        <v>AugustCeiling Fan2026blade</v>
      </c>
      <c r="M4" s="157"/>
      <c r="N4" s="157"/>
      <c r="O4" s="160" t="s">
        <v>493</v>
      </c>
      <c r="P4" s="157" t="s">
        <v>728</v>
      </c>
      <c r="Q4" s="157"/>
    </row>
    <row r="5" spans="1:17" s="156" customFormat="1" x14ac:dyDescent="0.25">
      <c r="A5" s="150">
        <f t="shared" si="0"/>
        <v>46236</v>
      </c>
      <c r="B5" s="151">
        <v>46236</v>
      </c>
      <c r="C5" s="152" t="s">
        <v>483</v>
      </c>
      <c r="D5" s="152" t="str">
        <v>56 Inch Premium Ceiling Fan - Ivory {Body}</v>
      </c>
      <c r="E5" s="153">
        <v>1282</v>
      </c>
      <c r="F5" s="154" t="str">
        <f t="shared" si="1"/>
        <v>August</v>
      </c>
      <c r="G5" s="155" t="str">
        <f>_xlfn.LET(_xlpm.x,UPPER(TRIM(C5)),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5" s="155" t="str">
        <f t="shared" si="2"/>
        <v>5601</v>
      </c>
      <c r="I5" s="155" t="str">
        <f t="shared" si="3"/>
        <v>body</v>
      </c>
      <c r="J5" s="155">
        <v>2026</v>
      </c>
      <c r="K5" s="155" t="str">
        <f t="shared" si="4"/>
        <v>AugustCeiling Fan2026body</v>
      </c>
      <c r="M5" s="157"/>
      <c r="N5" s="157"/>
      <c r="O5" s="160" t="s">
        <v>489</v>
      </c>
      <c r="P5" s="157" t="s">
        <v>729</v>
      </c>
      <c r="Q5" s="157"/>
    </row>
    <row r="6" spans="1:17" s="156" customFormat="1" x14ac:dyDescent="0.25">
      <c r="A6" s="150">
        <f t="shared" si="0"/>
        <v>46236</v>
      </c>
      <c r="B6" s="151">
        <v>46236</v>
      </c>
      <c r="C6" s="152" t="s">
        <v>497</v>
      </c>
      <c r="D6" s="152" t="str">
        <v>24 Inch Super Ceiling Fan - Ivory {Body}</v>
      </c>
      <c r="E6" s="153">
        <v>96</v>
      </c>
      <c r="F6" s="154" t="str">
        <f t="shared" si="1"/>
        <v>August</v>
      </c>
      <c r="G6" s="155" t="str">
        <f>_xlfn.LET(_xlpm.x,UPPER(TRIM(C6)),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6" s="155" t="str">
        <f t="shared" si="2"/>
        <v>2401</v>
      </c>
      <c r="I6" s="155" t="str">
        <f t="shared" si="3"/>
        <v>body</v>
      </c>
      <c r="J6" s="155">
        <v>2026</v>
      </c>
      <c r="K6" s="155" t="str">
        <f t="shared" si="4"/>
        <v>AugustCeiling Fan2026body</v>
      </c>
      <c r="M6" s="157"/>
      <c r="N6" s="157"/>
      <c r="O6" s="160" t="s">
        <v>483</v>
      </c>
      <c r="P6" s="157" t="s">
        <v>730</v>
      </c>
      <c r="Q6" s="157"/>
    </row>
    <row r="7" spans="1:17" s="156" customFormat="1" x14ac:dyDescent="0.25">
      <c r="A7" s="150">
        <f t="shared" si="0"/>
        <v>46236</v>
      </c>
      <c r="B7" s="151">
        <v>46236</v>
      </c>
      <c r="C7" s="152" t="s">
        <v>491</v>
      </c>
      <c r="D7" s="152" t="str">
        <v>56 Inch Premium Ceiling Fan- Ivory (Without Regulator) {Body}</v>
      </c>
      <c r="E7" s="153">
        <v>75</v>
      </c>
      <c r="F7" s="154" t="str">
        <f t="shared" si="1"/>
        <v>August</v>
      </c>
      <c r="G7" s="155" t="str">
        <f>_xlfn.LET(_xlpm.x,UPPER(TRIM(C7)),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7" s="155" t="str">
        <f t="shared" si="2"/>
        <v>5601</v>
      </c>
      <c r="I7" s="155" t="str">
        <f t="shared" si="3"/>
        <v>body</v>
      </c>
      <c r="J7" s="155">
        <v>2026</v>
      </c>
      <c r="K7" s="155" t="str">
        <f t="shared" si="4"/>
        <v>AugustCeiling Fan2026body</v>
      </c>
      <c r="M7" s="157"/>
      <c r="N7" s="157"/>
      <c r="O7" s="160" t="s">
        <v>491</v>
      </c>
      <c r="P7" s="157" t="s">
        <v>731</v>
      </c>
      <c r="Q7" s="157"/>
    </row>
    <row r="8" spans="1:17" s="156" customFormat="1" x14ac:dyDescent="0.25">
      <c r="A8" s="150">
        <f t="shared" si="0"/>
        <v>46236</v>
      </c>
      <c r="B8" s="151">
        <v>46236</v>
      </c>
      <c r="C8" s="152" t="s">
        <v>557</v>
      </c>
      <c r="D8" s="152" t="str">
        <v>56 Inch Premium Plus Ceiling Fan - Ivory {Body}</v>
      </c>
      <c r="E8" s="153">
        <v>11</v>
      </c>
      <c r="F8" s="154" t="str">
        <f t="shared" si="1"/>
        <v>August</v>
      </c>
      <c r="G8" s="155" t="str">
        <f>_xlfn.LET(_xlpm.x,UPPER(TRIM(C8)),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8" s="155" t="str">
        <f t="shared" si="2"/>
        <v>5606</v>
      </c>
      <c r="I8" s="155" t="str">
        <f t="shared" si="3"/>
        <v>body</v>
      </c>
      <c r="J8" s="155">
        <v>2026</v>
      </c>
      <c r="K8" s="155" t="str">
        <f t="shared" si="4"/>
        <v>AugustCeiling Fan2026body</v>
      </c>
      <c r="M8" s="157"/>
      <c r="N8" s="157"/>
      <c r="O8" s="160" t="s">
        <v>487</v>
      </c>
      <c r="P8" s="157" t="s">
        <v>732</v>
      </c>
      <c r="Q8" s="157"/>
    </row>
    <row r="9" spans="1:17" s="156" customFormat="1" x14ac:dyDescent="0.25">
      <c r="A9" s="150">
        <f t="shared" si="0"/>
        <v>46236</v>
      </c>
      <c r="B9" s="151">
        <v>46236</v>
      </c>
      <c r="C9" s="152" t="s">
        <v>727</v>
      </c>
      <c r="D9" s="152" t="str">
        <v>24 Inch Super Ceiling Fan - Ivory {Blade}</v>
      </c>
      <c r="E9" s="153">
        <v>2170</v>
      </c>
      <c r="F9" s="154" t="str">
        <f t="shared" si="1"/>
        <v>August</v>
      </c>
      <c r="G9" s="155" t="str">
        <f>_xlfn.LET(_xlpm.x,UPPER(TRIM(C9)),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9" s="155" t="str">
        <f t="shared" si="2"/>
        <v>2401 BL</v>
      </c>
      <c r="I9" s="155" t="str">
        <f t="shared" si="3"/>
        <v>blade</v>
      </c>
      <c r="J9" s="155">
        <v>2026</v>
      </c>
      <c r="K9" s="155" t="str">
        <f t="shared" si="4"/>
        <v>AugustCeiling Fan2026blade</v>
      </c>
      <c r="M9" s="157"/>
      <c r="N9" s="157"/>
      <c r="O9" s="160" t="s">
        <v>557</v>
      </c>
      <c r="P9" s="157" t="s">
        <v>733</v>
      </c>
      <c r="Q9" s="157"/>
    </row>
    <row r="10" spans="1:17" s="156" customFormat="1" x14ac:dyDescent="0.25">
      <c r="A10" s="150">
        <f t="shared" si="0"/>
        <v>46237</v>
      </c>
      <c r="B10" s="151">
        <v>46237</v>
      </c>
      <c r="C10" s="152" t="s">
        <v>483</v>
      </c>
      <c r="D10" s="152" t="str">
        <v>56 Inch Premium Ceiling Fan - Ivory {Body}</v>
      </c>
      <c r="E10" s="153">
        <v>1800</v>
      </c>
      <c r="F10" s="154" t="str">
        <f t="shared" si="1"/>
        <v>August</v>
      </c>
      <c r="G10" s="155" t="str">
        <f>_xlfn.LET(_xlpm.x,UPPER(TRIM(C10)),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10" s="155" t="str">
        <f t="shared" si="2"/>
        <v>5601</v>
      </c>
      <c r="I10" s="155" t="str">
        <f t="shared" si="3"/>
        <v>body</v>
      </c>
      <c r="J10" s="155">
        <v>2026</v>
      </c>
      <c r="K10" s="155" t="str">
        <f t="shared" si="4"/>
        <v>AugustCeiling Fan2026body</v>
      </c>
      <c r="M10" s="157"/>
      <c r="N10" s="157"/>
      <c r="O10" s="160" t="s">
        <v>485</v>
      </c>
      <c r="P10" s="157" t="s">
        <v>734</v>
      </c>
      <c r="Q10" s="157"/>
    </row>
    <row r="11" spans="1:17" s="156" customFormat="1" x14ac:dyDescent="0.25">
      <c r="A11" s="150">
        <f t="shared" si="0"/>
        <v>46237</v>
      </c>
      <c r="B11" s="151">
        <v>46237</v>
      </c>
      <c r="C11" s="152" t="s">
        <v>735</v>
      </c>
      <c r="D11" s="152" t="str">
        <v>56 Inch Premium Ceiling Fan - Ivory {Blade}</v>
      </c>
      <c r="E11" s="153">
        <v>1300</v>
      </c>
      <c r="F11" s="154" t="str">
        <f t="shared" si="1"/>
        <v>August</v>
      </c>
      <c r="G11" s="155" t="str">
        <f>_xlfn.LET(_xlpm.x,UPPER(TRIM(C11)),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11" s="155" t="str">
        <f t="shared" si="2"/>
        <v>5601 BL</v>
      </c>
      <c r="I11" s="155" t="str">
        <f t="shared" si="3"/>
        <v>blade</v>
      </c>
      <c r="J11" s="155">
        <v>2026</v>
      </c>
      <c r="K11" s="155" t="str">
        <f t="shared" si="4"/>
        <v>AugustCeiling Fan2026blade</v>
      </c>
      <c r="M11" s="157"/>
      <c r="N11" s="157"/>
      <c r="O11" s="160" t="s">
        <v>736</v>
      </c>
      <c r="P11" s="157" t="s">
        <v>737</v>
      </c>
      <c r="Q11" s="157"/>
    </row>
    <row r="12" spans="1:17" s="156" customFormat="1" x14ac:dyDescent="0.25">
      <c r="A12" s="150">
        <f t="shared" si="0"/>
        <v>46237</v>
      </c>
      <c r="B12" s="151">
        <v>46237</v>
      </c>
      <c r="C12" s="152" t="s">
        <v>727</v>
      </c>
      <c r="D12" s="152" t="str">
        <v>24 Inch Super Ceiling Fan - Ivory {Blade}</v>
      </c>
      <c r="E12" s="153">
        <v>351</v>
      </c>
      <c r="F12" s="154" t="str">
        <f t="shared" si="1"/>
        <v>August</v>
      </c>
      <c r="G12" s="155" t="str">
        <f>_xlfn.LET(_xlpm.x,UPPER(TRIM(C12)),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12" s="155" t="str">
        <f t="shared" si="2"/>
        <v>2401 BL</v>
      </c>
      <c r="I12" s="155" t="str">
        <f t="shared" si="3"/>
        <v>blade</v>
      </c>
      <c r="J12" s="155">
        <v>2026</v>
      </c>
      <c r="K12" s="155" t="str">
        <f t="shared" si="4"/>
        <v>AugustCeiling Fan2026blade</v>
      </c>
      <c r="M12" s="157"/>
      <c r="N12" s="157"/>
      <c r="O12" s="160" t="s">
        <v>567</v>
      </c>
      <c r="P12" s="157" t="s">
        <v>738</v>
      </c>
      <c r="Q12" s="157"/>
    </row>
    <row r="13" spans="1:17" s="156" customFormat="1" x14ac:dyDescent="0.25">
      <c r="A13" s="150">
        <f t="shared" si="0"/>
        <v>46238</v>
      </c>
      <c r="B13" s="151">
        <v>46238</v>
      </c>
      <c r="C13" s="152" t="s">
        <v>483</v>
      </c>
      <c r="D13" s="152" t="str">
        <v>56 Inch Premium Ceiling Fan - Ivory {Body}</v>
      </c>
      <c r="E13" s="153">
        <v>1581</v>
      </c>
      <c r="F13" s="154" t="str">
        <f t="shared" si="1"/>
        <v>August</v>
      </c>
      <c r="G13" s="155" t="str">
        <f>_xlfn.LET(_xlpm.x,UPPER(TRIM(C13)),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13" s="155" t="str">
        <f t="shared" si="2"/>
        <v>5601</v>
      </c>
      <c r="I13" s="155" t="str">
        <f t="shared" si="3"/>
        <v>body</v>
      </c>
      <c r="J13" s="155">
        <v>2026</v>
      </c>
      <c r="K13" s="155" t="str">
        <f t="shared" si="4"/>
        <v>AugustCeiling Fan2026body</v>
      </c>
      <c r="M13" s="157"/>
      <c r="N13" s="157"/>
      <c r="O13" s="160" t="s">
        <v>739</v>
      </c>
      <c r="P13" s="157" t="s">
        <v>503</v>
      </c>
      <c r="Q13" s="157"/>
    </row>
    <row r="14" spans="1:17" s="156" customFormat="1" x14ac:dyDescent="0.25">
      <c r="A14" s="150">
        <f t="shared" si="0"/>
        <v>46238</v>
      </c>
      <c r="B14" s="151">
        <v>46238</v>
      </c>
      <c r="C14" s="152" t="s">
        <v>489</v>
      </c>
      <c r="D14" s="152" t="str">
        <v>56 Inch Crown Ceiling Fan - Ivory {Body}</v>
      </c>
      <c r="E14" s="153">
        <v>119</v>
      </c>
      <c r="F14" s="154" t="str">
        <f t="shared" si="1"/>
        <v>August</v>
      </c>
      <c r="G14" s="155" t="str">
        <f>_xlfn.LET(_xlpm.x,UPPER(TRIM(C14)),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14" s="155" t="str">
        <f t="shared" si="2"/>
        <v>5607</v>
      </c>
      <c r="I14" s="155" t="str">
        <f t="shared" si="3"/>
        <v>body</v>
      </c>
      <c r="J14" s="155">
        <v>2026</v>
      </c>
      <c r="K14" s="155" t="str">
        <f t="shared" si="4"/>
        <v>AugustCeiling Fan2026body</v>
      </c>
      <c r="M14" s="157"/>
      <c r="N14" s="157"/>
      <c r="O14" s="160" t="s">
        <v>740</v>
      </c>
      <c r="P14" s="157" t="s">
        <v>501</v>
      </c>
      <c r="Q14" s="157"/>
    </row>
    <row r="15" spans="1:17" s="156" customFormat="1" x14ac:dyDescent="0.25">
      <c r="A15" s="150">
        <f t="shared" si="0"/>
        <v>46238</v>
      </c>
      <c r="B15" s="151">
        <v>46238</v>
      </c>
      <c r="C15" s="152" t="s">
        <v>483</v>
      </c>
      <c r="D15" s="152" t="str">
        <v>56 Inch Premium Ceiling Fan - Ivory {Body}</v>
      </c>
      <c r="E15" s="153">
        <v>48</v>
      </c>
      <c r="F15" s="154" t="str">
        <f t="shared" si="1"/>
        <v>August</v>
      </c>
      <c r="G15" s="155" t="str">
        <f>_xlfn.LET(_xlpm.x,UPPER(TRIM(C15)),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15" s="155" t="str">
        <f t="shared" si="2"/>
        <v>5601</v>
      </c>
      <c r="I15" s="155" t="str">
        <f t="shared" si="3"/>
        <v>body</v>
      </c>
      <c r="J15" s="155">
        <v>2026</v>
      </c>
      <c r="K15" s="155" t="str">
        <f t="shared" si="4"/>
        <v>AugustCeiling Fan2026body</v>
      </c>
      <c r="M15" s="157"/>
      <c r="N15" s="157"/>
      <c r="O15" s="160" t="s">
        <v>540</v>
      </c>
      <c r="P15" s="157" t="s">
        <v>542</v>
      </c>
      <c r="Q15" s="157"/>
    </row>
    <row r="16" spans="1:17" s="156" customFormat="1" x14ac:dyDescent="0.25">
      <c r="A16" s="150">
        <f t="shared" si="0"/>
        <v>46238</v>
      </c>
      <c r="B16" s="151">
        <v>46238</v>
      </c>
      <c r="C16" s="152" t="s">
        <v>735</v>
      </c>
      <c r="D16" s="152" t="str">
        <v>56 Inch Premium Ceiling Fan - Ivory {Blade}</v>
      </c>
      <c r="E16" s="153">
        <v>2130</v>
      </c>
      <c r="F16" s="154" t="str">
        <f t="shared" si="1"/>
        <v>August</v>
      </c>
      <c r="G16" s="155" t="str">
        <f>_xlfn.LET(_xlpm.x,UPPER(TRIM(C16)),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16" s="155" t="str">
        <f t="shared" si="2"/>
        <v>5601 BL</v>
      </c>
      <c r="I16" s="155" t="str">
        <f t="shared" si="3"/>
        <v>blade</v>
      </c>
      <c r="J16" s="155">
        <v>2026</v>
      </c>
      <c r="K16" s="155" t="str">
        <f t="shared" si="4"/>
        <v>AugustCeiling Fan2026blade</v>
      </c>
      <c r="M16" s="157"/>
      <c r="N16" s="157"/>
      <c r="O16" s="160" t="s">
        <v>543</v>
      </c>
      <c r="P16" s="157" t="s">
        <v>545</v>
      </c>
      <c r="Q16" s="157"/>
    </row>
    <row r="17" spans="1:17" s="156" customFormat="1" x14ac:dyDescent="0.25">
      <c r="A17" s="150">
        <f t="shared" si="0"/>
        <v>46242</v>
      </c>
      <c r="B17" s="151">
        <v>46242</v>
      </c>
      <c r="C17" s="152" t="s">
        <v>483</v>
      </c>
      <c r="D17" s="152" t="str">
        <v>56 Inch Premium Ceiling Fan - Ivory {Body}</v>
      </c>
      <c r="E17" s="153">
        <v>1283</v>
      </c>
      <c r="F17" s="154" t="str">
        <f t="shared" si="1"/>
        <v>August</v>
      </c>
      <c r="G17" s="155" t="str">
        <f>_xlfn.LET(_xlpm.x,UPPER(TRIM(C17)),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17" s="155" t="str">
        <f t="shared" si="2"/>
        <v>5601</v>
      </c>
      <c r="I17" s="155" t="str">
        <f t="shared" si="3"/>
        <v>body</v>
      </c>
      <c r="J17" s="155">
        <v>2026</v>
      </c>
      <c r="K17" s="155" t="str">
        <f t="shared" si="4"/>
        <v>AugustCeiling Fan2026body</v>
      </c>
      <c r="M17" s="157"/>
      <c r="N17" s="157"/>
      <c r="O17" s="160" t="s">
        <v>507</v>
      </c>
      <c r="P17" s="157" t="s">
        <v>741</v>
      </c>
      <c r="Q17" s="157"/>
    </row>
    <row r="18" spans="1:17" s="156" customFormat="1" x14ac:dyDescent="0.25">
      <c r="A18" s="150">
        <f t="shared" si="0"/>
        <v>46242</v>
      </c>
      <c r="B18" s="151">
        <v>46242</v>
      </c>
      <c r="C18" s="152" t="s">
        <v>557</v>
      </c>
      <c r="D18" s="152" t="str">
        <v>56 Inch Premium Plus Ceiling Fan - Ivory {Body}</v>
      </c>
      <c r="E18" s="153">
        <v>38</v>
      </c>
      <c r="F18" s="154" t="str">
        <f t="shared" si="1"/>
        <v>August</v>
      </c>
      <c r="G18" s="155" t="str">
        <f>_xlfn.LET(_xlpm.x,UPPER(TRIM(C18)),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18" s="155" t="str">
        <f t="shared" si="2"/>
        <v>5606</v>
      </c>
      <c r="I18" s="155" t="str">
        <f t="shared" si="3"/>
        <v>body</v>
      </c>
      <c r="J18" s="155">
        <v>2026</v>
      </c>
      <c r="K18" s="155" t="str">
        <f t="shared" si="4"/>
        <v>AugustCeiling Fan2026body</v>
      </c>
      <c r="M18" s="157"/>
      <c r="N18" s="157"/>
      <c r="O18" s="160" t="s">
        <v>505</v>
      </c>
      <c r="P18" s="157" t="s">
        <v>742</v>
      </c>
      <c r="Q18" s="157"/>
    </row>
    <row r="19" spans="1:17" s="156" customFormat="1" x14ac:dyDescent="0.25">
      <c r="A19" s="150">
        <f t="shared" si="0"/>
        <v>46242</v>
      </c>
      <c r="B19" s="151">
        <v>46242</v>
      </c>
      <c r="C19" s="152" t="s">
        <v>489</v>
      </c>
      <c r="D19" s="152" t="str">
        <v>56 Inch Crown Ceiling Fan - Ivory {Body}</v>
      </c>
      <c r="E19" s="153">
        <v>53</v>
      </c>
      <c r="F19" s="154" t="str">
        <f t="shared" si="1"/>
        <v>August</v>
      </c>
      <c r="G19" s="155" t="str">
        <f>_xlfn.LET(_xlpm.x,UPPER(TRIM(C19)),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19" s="155" t="str">
        <f t="shared" si="2"/>
        <v>5607</v>
      </c>
      <c r="I19" s="155" t="str">
        <f t="shared" si="3"/>
        <v>body</v>
      </c>
      <c r="J19" s="155">
        <v>2026</v>
      </c>
      <c r="K19" s="155" t="str">
        <f t="shared" si="4"/>
        <v>AugustCeiling Fan2026body</v>
      </c>
      <c r="M19" s="157"/>
      <c r="N19" s="157"/>
      <c r="O19" s="157"/>
      <c r="P19" s="157"/>
      <c r="Q19" s="157"/>
    </row>
    <row r="20" spans="1:17" s="156" customFormat="1" x14ac:dyDescent="0.25">
      <c r="A20" s="150">
        <f t="shared" si="0"/>
        <v>46242</v>
      </c>
      <c r="B20" s="151">
        <v>46242</v>
      </c>
      <c r="C20" s="152" t="s">
        <v>743</v>
      </c>
      <c r="D20" s="152" t="str">
        <v>56 Inch Premium Plus Ceiling Fan - Ivory {Blade}</v>
      </c>
      <c r="E20" s="153">
        <v>30</v>
      </c>
      <c r="F20" s="154" t="str">
        <f t="shared" si="1"/>
        <v>August</v>
      </c>
      <c r="G20" s="155" t="str">
        <f>_xlfn.LET(_xlpm.x,UPPER(TRIM(C20)),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20" s="155" t="str">
        <f t="shared" si="2"/>
        <v>5606 BL</v>
      </c>
      <c r="I20" s="155" t="str">
        <f t="shared" si="3"/>
        <v>blade</v>
      </c>
      <c r="J20" s="155">
        <v>2026</v>
      </c>
      <c r="K20" s="155" t="str">
        <f t="shared" si="4"/>
        <v>AugustCeiling Fan2026blade</v>
      </c>
      <c r="M20" s="157"/>
      <c r="N20" s="157"/>
      <c r="O20" s="157"/>
      <c r="P20" s="157"/>
      <c r="Q20" s="157"/>
    </row>
    <row r="21" spans="1:17" s="156" customFormat="1" x14ac:dyDescent="0.25">
      <c r="A21" s="150">
        <f t="shared" si="0"/>
        <v>46242</v>
      </c>
      <c r="B21" s="151">
        <v>46242</v>
      </c>
      <c r="C21" s="152" t="s">
        <v>735</v>
      </c>
      <c r="D21" s="152" t="str">
        <v>56 Inch Premium Ceiling Fan - Ivory {Blade}</v>
      </c>
      <c r="E21" s="153">
        <v>2150</v>
      </c>
      <c r="F21" s="154" t="str">
        <f t="shared" si="1"/>
        <v>August</v>
      </c>
      <c r="G21" s="155" t="str">
        <f>_xlfn.LET(_xlpm.x,UPPER(TRIM(C21)),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21" s="155" t="str">
        <f t="shared" si="2"/>
        <v>5601 BL</v>
      </c>
      <c r="I21" s="155" t="str">
        <f t="shared" si="3"/>
        <v>blade</v>
      </c>
      <c r="J21" s="155">
        <v>2026</v>
      </c>
      <c r="K21" s="155" t="str">
        <f t="shared" si="4"/>
        <v>AugustCeiling Fan2026blade</v>
      </c>
      <c r="M21" s="157"/>
      <c r="N21" s="157"/>
      <c r="O21" s="157"/>
      <c r="P21" s="157"/>
      <c r="Q21" s="157"/>
    </row>
    <row r="22" spans="1:17" s="156" customFormat="1" x14ac:dyDescent="0.25">
      <c r="A22" s="150">
        <f t="shared" si="0"/>
        <v>46243</v>
      </c>
      <c r="B22" s="151">
        <v>46243</v>
      </c>
      <c r="C22" s="152" t="s">
        <v>483</v>
      </c>
      <c r="D22" s="152" t="str">
        <v>56 Inch Premium Ceiling Fan - Ivory {Body}</v>
      </c>
      <c r="E22" s="153">
        <v>1700</v>
      </c>
      <c r="F22" s="154" t="str">
        <f t="shared" si="1"/>
        <v>August</v>
      </c>
      <c r="G22" s="155" t="str">
        <f>_xlfn.LET(_xlpm.x,UPPER(TRIM(C22)),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22" s="155" t="str">
        <f t="shared" si="2"/>
        <v>5601</v>
      </c>
      <c r="I22" s="155" t="str">
        <f t="shared" si="3"/>
        <v>body</v>
      </c>
      <c r="J22" s="155">
        <v>2026</v>
      </c>
      <c r="K22" s="155" t="str">
        <f t="shared" si="4"/>
        <v>AugustCeiling Fan2026body</v>
      </c>
      <c r="M22" s="157"/>
      <c r="N22" s="157"/>
      <c r="O22" s="157"/>
      <c r="P22" s="157"/>
      <c r="Q22" s="157"/>
    </row>
    <row r="23" spans="1:17" s="156" customFormat="1" x14ac:dyDescent="0.25">
      <c r="A23" s="150">
        <f t="shared" si="0"/>
        <v>46243</v>
      </c>
      <c r="B23" s="151">
        <v>46243</v>
      </c>
      <c r="C23" s="152" t="s">
        <v>735</v>
      </c>
      <c r="D23" s="152" t="str">
        <v>56 Inch Premium Ceiling Fan - Ivory {Blade}</v>
      </c>
      <c r="E23" s="153">
        <v>1950</v>
      </c>
      <c r="F23" s="154" t="str">
        <f t="shared" si="1"/>
        <v>August</v>
      </c>
      <c r="G23" s="155" t="str">
        <f>_xlfn.LET(_xlpm.x,UPPER(TRIM(C23)),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23" s="155" t="str">
        <f t="shared" si="2"/>
        <v>5601 BL</v>
      </c>
      <c r="I23" s="155" t="str">
        <f t="shared" si="3"/>
        <v>blade</v>
      </c>
      <c r="J23" s="155">
        <v>2026</v>
      </c>
      <c r="K23" s="155" t="str">
        <f t="shared" si="4"/>
        <v>AugustCeiling Fan2026blade</v>
      </c>
      <c r="M23" s="157"/>
      <c r="N23" s="157"/>
      <c r="O23" s="157"/>
      <c r="P23" s="157"/>
      <c r="Q23" s="157"/>
    </row>
    <row r="24" spans="1:17" s="156" customFormat="1" x14ac:dyDescent="0.25">
      <c r="A24" s="150">
        <f t="shared" si="0"/>
        <v>46243</v>
      </c>
      <c r="B24" s="151">
        <v>46243</v>
      </c>
      <c r="C24" s="152" t="s">
        <v>743</v>
      </c>
      <c r="D24" s="152" t="str">
        <v>56 Inch Premium Plus Ceiling Fan - Ivory {Blade}</v>
      </c>
      <c r="E24" s="153">
        <v>30</v>
      </c>
      <c r="F24" s="154" t="str">
        <f t="shared" si="1"/>
        <v>August</v>
      </c>
      <c r="G24" s="155" t="str">
        <f>_xlfn.LET(_xlpm.x,UPPER(TRIM(C24)),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24" s="155" t="str">
        <f t="shared" si="2"/>
        <v>5606 BL</v>
      </c>
      <c r="I24" s="155" t="str">
        <f t="shared" si="3"/>
        <v>blade</v>
      </c>
      <c r="J24" s="155">
        <v>2026</v>
      </c>
      <c r="K24" s="155" t="str">
        <f t="shared" si="4"/>
        <v>AugustCeiling Fan2026blade</v>
      </c>
      <c r="M24" s="157"/>
      <c r="N24" s="157"/>
      <c r="O24" s="157"/>
      <c r="P24" s="157"/>
      <c r="Q24" s="157"/>
    </row>
    <row r="25" spans="1:17" s="156" customFormat="1" x14ac:dyDescent="0.25">
      <c r="A25" s="150">
        <f t="shared" si="0"/>
        <v>46244</v>
      </c>
      <c r="B25" s="151">
        <v>46244</v>
      </c>
      <c r="C25" s="152" t="s">
        <v>483</v>
      </c>
      <c r="D25" s="152" t="str">
        <v>56 Inch Premium Ceiling Fan - Ivory {Body}</v>
      </c>
      <c r="E25" s="153">
        <v>3178</v>
      </c>
      <c r="F25" s="154" t="str">
        <f t="shared" si="1"/>
        <v>August</v>
      </c>
      <c r="G25" s="155" t="str">
        <f>_xlfn.LET(_xlpm.x,UPPER(TRIM(C25)),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25" s="155" t="str">
        <f t="shared" si="2"/>
        <v>5601</v>
      </c>
      <c r="I25" s="155" t="str">
        <f t="shared" si="3"/>
        <v>body</v>
      </c>
      <c r="J25" s="155">
        <v>2026</v>
      </c>
      <c r="K25" s="155" t="str">
        <f t="shared" si="4"/>
        <v>AugustCeiling Fan2026body</v>
      </c>
      <c r="M25" s="157"/>
      <c r="N25" s="157"/>
      <c r="O25" s="157"/>
      <c r="P25" s="157"/>
      <c r="Q25" s="157"/>
    </row>
    <row r="26" spans="1:17" s="156" customFormat="1" x14ac:dyDescent="0.25">
      <c r="A26" s="150">
        <f t="shared" si="0"/>
        <v>46244</v>
      </c>
      <c r="B26" s="151">
        <v>46244</v>
      </c>
      <c r="C26" s="152" t="s">
        <v>735</v>
      </c>
      <c r="D26" s="152" t="str">
        <v>56 Inch Premium Ceiling Fan - Ivory {Blade}</v>
      </c>
      <c r="E26" s="153">
        <v>1400</v>
      </c>
      <c r="F26" s="154" t="str">
        <f t="shared" si="1"/>
        <v>August</v>
      </c>
      <c r="G26" s="155" t="str">
        <f>_xlfn.LET(_xlpm.x,UPPER(TRIM(C26)),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26" s="155" t="str">
        <f t="shared" si="2"/>
        <v>5601 BL</v>
      </c>
      <c r="I26" s="155" t="str">
        <f t="shared" si="3"/>
        <v>blade</v>
      </c>
      <c r="J26" s="155">
        <v>2026</v>
      </c>
      <c r="K26" s="155" t="str">
        <f t="shared" si="4"/>
        <v>AugustCeiling Fan2026blade</v>
      </c>
      <c r="M26" s="157"/>
      <c r="N26" s="157"/>
      <c r="O26" s="157"/>
      <c r="P26" s="157"/>
      <c r="Q26" s="157"/>
    </row>
    <row r="27" spans="1:17" s="156" customFormat="1" x14ac:dyDescent="0.25">
      <c r="A27" s="150">
        <f t="shared" si="0"/>
        <v>46245</v>
      </c>
      <c r="B27" s="151">
        <v>46245</v>
      </c>
      <c r="C27" s="152" t="s">
        <v>483</v>
      </c>
      <c r="D27" s="152" t="str">
        <v>56 Inch Premium Ceiling Fan - Ivory {Body}</v>
      </c>
      <c r="E27" s="153">
        <v>1700</v>
      </c>
      <c r="F27" s="154" t="str">
        <f t="shared" si="1"/>
        <v>August</v>
      </c>
      <c r="G27" s="155" t="str">
        <f>_xlfn.LET(_xlpm.x,UPPER(TRIM(C27)),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27" s="155" t="str">
        <f t="shared" si="2"/>
        <v>5601</v>
      </c>
      <c r="I27" s="155" t="str">
        <f t="shared" si="3"/>
        <v>body</v>
      </c>
      <c r="J27" s="155">
        <v>2026</v>
      </c>
      <c r="K27" s="155" t="str">
        <f t="shared" si="4"/>
        <v>AugustCeiling Fan2026body</v>
      </c>
      <c r="M27" s="157"/>
      <c r="N27" s="157"/>
      <c r="O27" s="157"/>
      <c r="P27" s="157"/>
      <c r="Q27" s="157"/>
    </row>
    <row r="28" spans="1:17" s="156" customFormat="1" x14ac:dyDescent="0.25">
      <c r="A28" s="150">
        <f t="shared" si="0"/>
        <v>46245</v>
      </c>
      <c r="B28" s="151">
        <v>46245</v>
      </c>
      <c r="C28" s="152" t="s">
        <v>735</v>
      </c>
      <c r="D28" s="152" t="str">
        <v>56 Inch Premium Ceiling Fan - Ivory {Blade}</v>
      </c>
      <c r="E28" s="153">
        <v>1800</v>
      </c>
      <c r="F28" s="154" t="str">
        <f t="shared" si="1"/>
        <v>August</v>
      </c>
      <c r="G28" s="155" t="str">
        <f>_xlfn.LET(_xlpm.x,UPPER(TRIM(C28)),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28" s="155" t="str">
        <f t="shared" si="2"/>
        <v>5601 BL</v>
      </c>
      <c r="I28" s="155" t="str">
        <f t="shared" si="3"/>
        <v>blade</v>
      </c>
      <c r="J28" s="155">
        <v>2026</v>
      </c>
      <c r="K28" s="155" t="str">
        <f t="shared" si="4"/>
        <v>AugustCeiling Fan2026blade</v>
      </c>
      <c r="M28" s="157"/>
      <c r="N28" s="157"/>
      <c r="O28" s="157"/>
      <c r="P28" s="157"/>
      <c r="Q28" s="157"/>
    </row>
    <row r="29" spans="1:17" s="156" customFormat="1" x14ac:dyDescent="0.25">
      <c r="A29" s="150">
        <f t="shared" si="0"/>
        <v>46246</v>
      </c>
      <c r="B29" s="151">
        <v>46246</v>
      </c>
      <c r="C29" s="152" t="s">
        <v>483</v>
      </c>
      <c r="D29" s="152" t="str">
        <v>56 Inch Premium Ceiling Fan - Ivory {Body}</v>
      </c>
      <c r="E29" s="153">
        <v>1050</v>
      </c>
      <c r="F29" s="154" t="str">
        <f t="shared" si="1"/>
        <v>August</v>
      </c>
      <c r="G29" s="155" t="str">
        <f>_xlfn.LET(_xlpm.x,UPPER(TRIM(C29)),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29" s="155" t="str">
        <f t="shared" si="2"/>
        <v>5601</v>
      </c>
      <c r="I29" s="155" t="str">
        <f t="shared" si="3"/>
        <v>body</v>
      </c>
      <c r="J29" s="155">
        <v>2026</v>
      </c>
      <c r="K29" s="155" t="str">
        <f t="shared" si="4"/>
        <v>AugustCeiling Fan2026body</v>
      </c>
      <c r="M29" s="157"/>
      <c r="N29" s="157"/>
      <c r="O29" s="157"/>
      <c r="P29" s="157"/>
      <c r="Q29" s="157"/>
    </row>
    <row r="30" spans="1:17" s="156" customFormat="1" x14ac:dyDescent="0.25">
      <c r="A30" s="150">
        <f t="shared" si="0"/>
        <v>46246</v>
      </c>
      <c r="B30" s="151">
        <v>46246</v>
      </c>
      <c r="C30" s="152" t="s">
        <v>489</v>
      </c>
      <c r="D30" s="152" t="str">
        <v>56 Inch Crown Ceiling Fan - Ivory {Body}</v>
      </c>
      <c r="E30" s="153">
        <v>164</v>
      </c>
      <c r="F30" s="154" t="str">
        <f t="shared" si="1"/>
        <v>August</v>
      </c>
      <c r="G30" s="155" t="str">
        <f>_xlfn.LET(_xlpm.x,UPPER(TRIM(C30)),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30" s="155" t="str">
        <f t="shared" si="2"/>
        <v>5607</v>
      </c>
      <c r="I30" s="155" t="str">
        <f t="shared" si="3"/>
        <v>body</v>
      </c>
      <c r="J30" s="155">
        <v>2026</v>
      </c>
      <c r="K30" s="155" t="str">
        <f t="shared" si="4"/>
        <v>AugustCeiling Fan2026body</v>
      </c>
      <c r="M30" s="157"/>
      <c r="N30" s="157"/>
      <c r="O30" s="157"/>
      <c r="P30" s="157"/>
      <c r="Q30" s="157"/>
    </row>
    <row r="31" spans="1:17" s="156" customFormat="1" x14ac:dyDescent="0.25">
      <c r="A31" s="150">
        <f t="shared" si="0"/>
        <v>46246</v>
      </c>
      <c r="B31" s="151">
        <v>46246</v>
      </c>
      <c r="C31" s="152" t="s">
        <v>735</v>
      </c>
      <c r="D31" s="152" t="str">
        <v>56 Inch Premium Ceiling Fan - Ivory {Blade}</v>
      </c>
      <c r="E31" s="153">
        <v>1680</v>
      </c>
      <c r="F31" s="154" t="str">
        <f t="shared" si="1"/>
        <v>August</v>
      </c>
      <c r="G31" s="155" t="str">
        <f>_xlfn.LET(_xlpm.x,UPPER(TRIM(C31)),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31" s="155" t="str">
        <f t="shared" si="2"/>
        <v>5601 BL</v>
      </c>
      <c r="I31" s="155" t="str">
        <f t="shared" si="3"/>
        <v>blade</v>
      </c>
      <c r="J31" s="155">
        <v>2026</v>
      </c>
      <c r="K31" s="155" t="str">
        <f t="shared" si="4"/>
        <v>AugustCeiling Fan2026blade</v>
      </c>
      <c r="M31" s="157"/>
      <c r="N31" s="157"/>
      <c r="O31" s="157"/>
      <c r="P31" s="157"/>
      <c r="Q31" s="157"/>
    </row>
    <row r="32" spans="1:17" s="156" customFormat="1" x14ac:dyDescent="0.25">
      <c r="A32" s="150">
        <f t="shared" si="0"/>
        <v>46247</v>
      </c>
      <c r="B32" s="151">
        <v>46247</v>
      </c>
      <c r="C32" s="152" t="s">
        <v>483</v>
      </c>
      <c r="D32" s="152" t="str">
        <v>56 Inch Premium Ceiling Fan - Ivory {Body}</v>
      </c>
      <c r="E32" s="153">
        <v>1650</v>
      </c>
      <c r="F32" s="154" t="str">
        <f t="shared" si="1"/>
        <v>August</v>
      </c>
      <c r="G32" s="155" t="str">
        <f>_xlfn.LET(_xlpm.x,UPPER(TRIM(C32)),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32" s="155" t="str">
        <f t="shared" si="2"/>
        <v>5601</v>
      </c>
      <c r="I32" s="155" t="str">
        <f t="shared" si="3"/>
        <v>body</v>
      </c>
      <c r="J32" s="155">
        <v>2026</v>
      </c>
      <c r="K32" s="155" t="str">
        <f t="shared" si="4"/>
        <v>AugustCeiling Fan2026body</v>
      </c>
      <c r="M32" s="157"/>
      <c r="N32" s="157"/>
      <c r="O32" s="157"/>
      <c r="P32" s="157"/>
      <c r="Q32" s="157"/>
    </row>
    <row r="33" spans="1:17" s="156" customFormat="1" x14ac:dyDescent="0.25">
      <c r="A33" s="150">
        <f t="shared" si="0"/>
        <v>46247</v>
      </c>
      <c r="B33" s="151">
        <v>46247</v>
      </c>
      <c r="C33" s="152" t="s">
        <v>483</v>
      </c>
      <c r="D33" s="152" t="str">
        <v>56 Inch Premium Ceiling Fan - Ivory {Body}</v>
      </c>
      <c r="E33" s="153">
        <v>82</v>
      </c>
      <c r="F33" s="154" t="str">
        <f t="shared" si="1"/>
        <v>August</v>
      </c>
      <c r="G33" s="155" t="str">
        <f>_xlfn.LET(_xlpm.x,UPPER(TRIM(C33)),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33" s="155" t="str">
        <f t="shared" si="2"/>
        <v>5601</v>
      </c>
      <c r="I33" s="155" t="str">
        <f t="shared" si="3"/>
        <v>body</v>
      </c>
      <c r="J33" s="155">
        <v>2026</v>
      </c>
      <c r="K33" s="155" t="str">
        <f t="shared" si="4"/>
        <v>AugustCeiling Fan2026body</v>
      </c>
      <c r="M33" s="157"/>
      <c r="N33" s="157"/>
      <c r="O33" s="157"/>
      <c r="P33" s="157"/>
      <c r="Q33" s="157"/>
    </row>
    <row r="34" spans="1:17" s="156" customFormat="1" x14ac:dyDescent="0.25">
      <c r="A34" s="150">
        <f t="shared" ref="A34:A65" si="5">B34</f>
        <v>46247</v>
      </c>
      <c r="B34" s="151">
        <v>46247</v>
      </c>
      <c r="C34" s="152" t="s">
        <v>735</v>
      </c>
      <c r="D34" s="152" t="str">
        <v>56 Inch Premium Ceiling Fan - Ivory {Blade}</v>
      </c>
      <c r="E34" s="153">
        <v>800</v>
      </c>
      <c r="F34" s="154" t="str">
        <f t="shared" ref="F34:F65" si="6">TEXT(B34,"mmmm")</f>
        <v>August</v>
      </c>
      <c r="G34" s="155" t="str">
        <f>_xlfn.LET(_xlpm.x,UPPER(TRIM(C34)),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34" s="155" t="str">
        <f t="shared" ref="H34:H65" si="7">IF(ISNUMBER(SEARCH("2401",C34)),"2401"&amp;IF(ISNUMBER(SEARCH("(BL)",C34))," BL",""),
IF(ISNUMBER(SEARCH("3601",C34)),"3601"&amp;IF(ISNUMBER(SEARCH("(BL)",C34))," BL",""),
IF(ISNUMBER(SEARCH("4801",C34)),"4801"&amp;IF(ISNUMBER(SEARCH("(BL)",C34))," BL",""),
IF(ISNUMBER(SEARCH("5601",C34)),"5601"&amp;IF(ISNUMBER(SEARCH("(BL)",C34))," BL",""),
IF(ISNUMBER(SEARCH("5602",C34)),"5602"&amp;IF(ISNUMBER(SEARCH("(BL)",C34))," BL",""),
IF(ISNUMBER(SEARCH("5603",C34)),"5603"&amp;IF(ISNUMBER(SEARCH("(BL)",C34))," BL",""),
IF(ISNUMBER(SEARCH("5606",C34)),"5606"&amp;IF(ISNUMBER(SEARCH("(BL)",C34))," BL",""),
IF(ISNUMBER(SEARCH("5607",C34)),"5607"&amp;IF(ISNUMBER(SEARCH("(BL)",C34))," BL",""),
""))))))))</f>
        <v>5601 BL</v>
      </c>
      <c r="I34" s="155" t="str">
        <f t="shared" ref="I34:I65" si="8">IF(ISNUMBER(SEARCH("body",D34)),"body",IF(ISNUMBER(SEARCH("blade",D34)),"blade",0))</f>
        <v>blade</v>
      </c>
      <c r="J34" s="155">
        <v>2026</v>
      </c>
      <c r="K34" s="155" t="str">
        <f t="shared" ref="K34:K65" si="9">F34&amp;G34&amp;J34&amp;I34</f>
        <v>AugustCeiling Fan2026blade</v>
      </c>
      <c r="M34" s="157"/>
      <c r="N34" s="157"/>
      <c r="O34" s="157"/>
      <c r="P34" s="157"/>
      <c r="Q34" s="157"/>
    </row>
    <row r="35" spans="1:17" s="156" customFormat="1" x14ac:dyDescent="0.25">
      <c r="A35" s="150">
        <f t="shared" si="5"/>
        <v>46247</v>
      </c>
      <c r="B35" s="151">
        <v>46247</v>
      </c>
      <c r="C35" s="152" t="s">
        <v>735</v>
      </c>
      <c r="D35" s="152" t="str">
        <v>56 Inch Premium Ceiling Fan - Ivory {Blade}</v>
      </c>
      <c r="E35" s="153">
        <v>91</v>
      </c>
      <c r="F35" s="154" t="str">
        <f t="shared" si="6"/>
        <v>August</v>
      </c>
      <c r="G35" s="155" t="str">
        <f>_xlfn.LET(_xlpm.x,UPPER(TRIM(C35)),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35" s="155" t="str">
        <f t="shared" si="7"/>
        <v>5601 BL</v>
      </c>
      <c r="I35" s="155" t="str">
        <f t="shared" si="8"/>
        <v>blade</v>
      </c>
      <c r="J35" s="155">
        <v>2026</v>
      </c>
      <c r="K35" s="155" t="str">
        <f t="shared" si="9"/>
        <v>AugustCeiling Fan2026blade</v>
      </c>
      <c r="M35" s="157"/>
      <c r="N35" s="157"/>
      <c r="O35" s="157"/>
      <c r="P35" s="157"/>
      <c r="Q35" s="157"/>
    </row>
    <row r="36" spans="1:17" s="156" customFormat="1" x14ac:dyDescent="0.25">
      <c r="A36" s="150">
        <f t="shared" si="5"/>
        <v>46247</v>
      </c>
      <c r="B36" s="151">
        <v>46247</v>
      </c>
      <c r="C36" s="152" t="s">
        <v>744</v>
      </c>
      <c r="D36" s="152" t="str">
        <v>36 Inch Hero Ceiling Fan - Ivory {Blade}</v>
      </c>
      <c r="E36" s="153">
        <v>650</v>
      </c>
      <c r="F36" s="154" t="str">
        <f t="shared" si="6"/>
        <v>August</v>
      </c>
      <c r="G36" s="155" t="str">
        <f>_xlfn.LET(_xlpm.x,UPPER(TRIM(C36)),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36" s="155" t="str">
        <f t="shared" si="7"/>
        <v>3601 BL</v>
      </c>
      <c r="I36" s="155" t="str">
        <f t="shared" si="8"/>
        <v>blade</v>
      </c>
      <c r="J36" s="155">
        <v>2026</v>
      </c>
      <c r="K36" s="155" t="str">
        <f t="shared" si="9"/>
        <v>AugustCeiling Fan2026blade</v>
      </c>
      <c r="M36" s="157"/>
      <c r="N36" s="157"/>
      <c r="O36" s="157"/>
      <c r="P36" s="157"/>
      <c r="Q36" s="157"/>
    </row>
    <row r="37" spans="1:17" s="156" customFormat="1" x14ac:dyDescent="0.25">
      <c r="A37" s="150">
        <f t="shared" si="5"/>
        <v>46248</v>
      </c>
      <c r="B37" s="151">
        <v>46248</v>
      </c>
      <c r="C37" s="152" t="s">
        <v>483</v>
      </c>
      <c r="D37" s="152" t="str">
        <v>56 Inch Premium Ceiling Fan - Ivory {Body}</v>
      </c>
      <c r="E37" s="153">
        <v>1700</v>
      </c>
      <c r="F37" s="154" t="str">
        <f t="shared" si="6"/>
        <v>August</v>
      </c>
      <c r="G37" s="155" t="str">
        <f>_xlfn.LET(_xlpm.x,UPPER(TRIM(C37)),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37" s="155" t="str">
        <f t="shared" si="7"/>
        <v>5601</v>
      </c>
      <c r="I37" s="155" t="str">
        <f t="shared" si="8"/>
        <v>body</v>
      </c>
      <c r="J37" s="155">
        <v>2026</v>
      </c>
      <c r="K37" s="155" t="str">
        <f t="shared" si="9"/>
        <v>AugustCeiling Fan2026body</v>
      </c>
      <c r="M37" s="157"/>
      <c r="N37" s="157"/>
      <c r="O37" s="157"/>
      <c r="P37" s="157"/>
      <c r="Q37" s="157"/>
    </row>
    <row r="38" spans="1:17" s="156" customFormat="1" x14ac:dyDescent="0.25">
      <c r="A38" s="150">
        <f t="shared" si="5"/>
        <v>46248</v>
      </c>
      <c r="B38" s="151">
        <v>46248</v>
      </c>
      <c r="C38" s="152" t="s">
        <v>735</v>
      </c>
      <c r="D38" s="152" t="str">
        <v>56 Inch Premium Ceiling Fan - Ivory {Blade}</v>
      </c>
      <c r="E38" s="153">
        <v>121</v>
      </c>
      <c r="F38" s="154" t="str">
        <f t="shared" si="6"/>
        <v>August</v>
      </c>
      <c r="G38" s="155" t="str">
        <f>_xlfn.LET(_xlpm.x,UPPER(TRIM(C38)),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38" s="155" t="str">
        <f t="shared" si="7"/>
        <v>5601 BL</v>
      </c>
      <c r="I38" s="155" t="str">
        <f t="shared" si="8"/>
        <v>blade</v>
      </c>
      <c r="J38" s="155">
        <v>2026</v>
      </c>
      <c r="K38" s="155" t="str">
        <f t="shared" si="9"/>
        <v>AugustCeiling Fan2026blade</v>
      </c>
      <c r="M38" s="157"/>
      <c r="N38" s="157"/>
      <c r="O38" s="157"/>
      <c r="P38" s="157"/>
      <c r="Q38" s="157"/>
    </row>
    <row r="39" spans="1:17" s="156" customFormat="1" x14ac:dyDescent="0.25">
      <c r="A39" s="150">
        <f t="shared" si="5"/>
        <v>46248</v>
      </c>
      <c r="B39" s="151">
        <v>46248</v>
      </c>
      <c r="C39" s="152" t="s">
        <v>745</v>
      </c>
      <c r="D39" s="152" t="str">
        <v>56 Inch Crown Ceiling Fan - Ivory {Blade}</v>
      </c>
      <c r="E39" s="153">
        <v>265</v>
      </c>
      <c r="F39" s="154" t="str">
        <f t="shared" si="6"/>
        <v>August</v>
      </c>
      <c r="G39" s="155" t="str">
        <f>_xlfn.LET(_xlpm.x,UPPER(TRIM(C39)),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39" s="155" t="str">
        <f t="shared" si="7"/>
        <v>5607 BL</v>
      </c>
      <c r="I39" s="155" t="str">
        <f t="shared" si="8"/>
        <v>blade</v>
      </c>
      <c r="J39" s="155">
        <v>2026</v>
      </c>
      <c r="K39" s="155" t="str">
        <f t="shared" si="9"/>
        <v>AugustCeiling Fan2026blade</v>
      </c>
      <c r="M39" s="157"/>
      <c r="N39" s="157"/>
      <c r="O39" s="157"/>
      <c r="P39" s="157"/>
      <c r="Q39" s="157"/>
    </row>
    <row r="40" spans="1:17" s="156" customFormat="1" x14ac:dyDescent="0.25">
      <c r="A40" s="150">
        <f t="shared" si="5"/>
        <v>46248</v>
      </c>
      <c r="B40" s="151">
        <v>46248</v>
      </c>
      <c r="C40" s="152" t="s">
        <v>744</v>
      </c>
      <c r="D40" s="152" t="str">
        <v>36 Inch Hero Ceiling Fan - Ivory {Blade}</v>
      </c>
      <c r="E40" s="153">
        <v>820</v>
      </c>
      <c r="F40" s="154" t="str">
        <f t="shared" si="6"/>
        <v>August</v>
      </c>
      <c r="G40" s="155" t="str">
        <f>_xlfn.LET(_xlpm.x,UPPER(TRIM(C40)),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40" s="155" t="str">
        <f t="shared" si="7"/>
        <v>3601 BL</v>
      </c>
      <c r="I40" s="155" t="str">
        <f t="shared" si="8"/>
        <v>blade</v>
      </c>
      <c r="J40" s="155">
        <v>2026</v>
      </c>
      <c r="K40" s="155" t="str">
        <f t="shared" si="9"/>
        <v>AugustCeiling Fan2026blade</v>
      </c>
      <c r="M40" s="157"/>
      <c r="N40" s="157"/>
      <c r="O40" s="157"/>
      <c r="P40" s="157"/>
      <c r="Q40" s="157"/>
    </row>
    <row r="41" spans="1:17" s="156" customFormat="1" x14ac:dyDescent="0.25">
      <c r="A41" s="150">
        <f t="shared" si="5"/>
        <v>46249</v>
      </c>
      <c r="B41" s="151">
        <v>46249</v>
      </c>
      <c r="C41" s="152" t="s">
        <v>483</v>
      </c>
      <c r="D41" s="152" t="str">
        <v>56 Inch Premium Ceiling Fan - Ivory {Body}</v>
      </c>
      <c r="E41" s="153">
        <v>1700</v>
      </c>
      <c r="F41" s="154" t="str">
        <f t="shared" si="6"/>
        <v>August</v>
      </c>
      <c r="G41" s="155" t="str">
        <f>_xlfn.LET(_xlpm.x,UPPER(TRIM(C41)),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41" s="155" t="str">
        <f t="shared" si="7"/>
        <v>5601</v>
      </c>
      <c r="I41" s="155" t="str">
        <f t="shared" si="8"/>
        <v>body</v>
      </c>
      <c r="J41" s="155">
        <v>2026</v>
      </c>
      <c r="K41" s="155" t="str">
        <f t="shared" si="9"/>
        <v>AugustCeiling Fan2026body</v>
      </c>
      <c r="M41" s="157"/>
      <c r="N41" s="157"/>
      <c r="O41" s="157"/>
      <c r="P41" s="157"/>
      <c r="Q41" s="157"/>
    </row>
    <row r="42" spans="1:17" s="156" customFormat="1" x14ac:dyDescent="0.25">
      <c r="A42" s="150">
        <f t="shared" si="5"/>
        <v>46249</v>
      </c>
      <c r="B42" s="151">
        <v>46249</v>
      </c>
      <c r="C42" s="152" t="s">
        <v>735</v>
      </c>
      <c r="D42" s="152" t="str">
        <v>56 Inch Premium Ceiling Fan - Ivory {Blade}</v>
      </c>
      <c r="E42" s="153">
        <v>790</v>
      </c>
      <c r="F42" s="154" t="str">
        <f t="shared" si="6"/>
        <v>August</v>
      </c>
      <c r="G42" s="155" t="str">
        <f>_xlfn.LET(_xlpm.x,UPPER(TRIM(C42)),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42" s="155" t="str">
        <f t="shared" si="7"/>
        <v>5601 BL</v>
      </c>
      <c r="I42" s="155" t="str">
        <f t="shared" si="8"/>
        <v>blade</v>
      </c>
      <c r="J42" s="155">
        <v>2026</v>
      </c>
      <c r="K42" s="155" t="str">
        <f t="shared" si="9"/>
        <v>AugustCeiling Fan2026blade</v>
      </c>
      <c r="M42" s="157"/>
      <c r="N42" s="157"/>
      <c r="O42" s="157"/>
      <c r="P42" s="157"/>
      <c r="Q42" s="157"/>
    </row>
    <row r="43" spans="1:17" s="156" customFormat="1" x14ac:dyDescent="0.25">
      <c r="A43" s="150">
        <f t="shared" si="5"/>
        <v>46249</v>
      </c>
      <c r="B43" s="151">
        <v>46249</v>
      </c>
      <c r="C43" s="152" t="s">
        <v>743</v>
      </c>
      <c r="D43" s="152" t="str">
        <v>56 Inch Premium Plus Ceiling Fan - Ivory {Blade}</v>
      </c>
      <c r="E43" s="153">
        <v>240</v>
      </c>
      <c r="F43" s="154" t="str">
        <f t="shared" si="6"/>
        <v>August</v>
      </c>
      <c r="G43" s="155" t="str">
        <f>_xlfn.LET(_xlpm.x,UPPER(TRIM(C43)),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43" s="155" t="str">
        <f t="shared" si="7"/>
        <v>5606 BL</v>
      </c>
      <c r="I43" s="155" t="str">
        <f t="shared" si="8"/>
        <v>blade</v>
      </c>
      <c r="J43" s="155">
        <v>2026</v>
      </c>
      <c r="K43" s="155" t="str">
        <f t="shared" si="9"/>
        <v>AugustCeiling Fan2026blade</v>
      </c>
      <c r="M43" s="157"/>
      <c r="N43" s="157"/>
      <c r="O43" s="157"/>
      <c r="P43" s="157"/>
      <c r="Q43" s="157"/>
    </row>
    <row r="44" spans="1:17" s="156" customFormat="1" x14ac:dyDescent="0.25">
      <c r="A44" s="150">
        <f t="shared" si="5"/>
        <v>46249</v>
      </c>
      <c r="B44" s="151">
        <v>46249</v>
      </c>
      <c r="C44" s="152" t="s">
        <v>746</v>
      </c>
      <c r="D44" s="152" t="str">
        <v>48 Inch Popular Ceiling Fan - Ivory {Blade}</v>
      </c>
      <c r="E44" s="153">
        <v>270</v>
      </c>
      <c r="F44" s="154" t="str">
        <f t="shared" si="6"/>
        <v>August</v>
      </c>
      <c r="G44" s="155" t="str">
        <f>_xlfn.LET(_xlpm.x,UPPER(TRIM(C44)),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44" s="155" t="str">
        <f t="shared" si="7"/>
        <v>4801 BL</v>
      </c>
      <c r="I44" s="155" t="str">
        <f t="shared" si="8"/>
        <v>blade</v>
      </c>
      <c r="J44" s="155">
        <v>2026</v>
      </c>
      <c r="K44" s="155" t="str">
        <f t="shared" si="9"/>
        <v>AugustCeiling Fan2026blade</v>
      </c>
      <c r="M44" s="157"/>
      <c r="N44" s="157"/>
      <c r="O44" s="157"/>
      <c r="P44" s="157"/>
      <c r="Q44" s="157"/>
    </row>
    <row r="45" spans="1:17" s="156" customFormat="1" x14ac:dyDescent="0.25">
      <c r="A45" s="150">
        <f t="shared" si="5"/>
        <v>46249</v>
      </c>
      <c r="B45" s="151">
        <v>46249</v>
      </c>
      <c r="C45" s="152" t="s">
        <v>744</v>
      </c>
      <c r="D45" s="152" t="str">
        <v>36 Inch Hero Ceiling Fan - Ivory {Blade}</v>
      </c>
      <c r="E45" s="153">
        <v>130</v>
      </c>
      <c r="F45" s="154" t="str">
        <f t="shared" si="6"/>
        <v>August</v>
      </c>
      <c r="G45" s="155" t="str">
        <f>_xlfn.LET(_xlpm.x,UPPER(TRIM(C45)),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45" s="155" t="str">
        <f t="shared" si="7"/>
        <v>3601 BL</v>
      </c>
      <c r="I45" s="155" t="str">
        <f t="shared" si="8"/>
        <v>blade</v>
      </c>
      <c r="J45" s="155">
        <v>2026</v>
      </c>
      <c r="K45" s="155" t="str">
        <f t="shared" si="9"/>
        <v>AugustCeiling Fan2026blade</v>
      </c>
      <c r="M45" s="157"/>
      <c r="N45" s="157"/>
      <c r="O45" s="157"/>
      <c r="P45" s="157"/>
      <c r="Q45" s="157"/>
    </row>
    <row r="46" spans="1:17" s="156" customFormat="1" x14ac:dyDescent="0.25">
      <c r="A46" s="150">
        <f t="shared" si="5"/>
        <v>46250</v>
      </c>
      <c r="B46" s="151">
        <v>46250</v>
      </c>
      <c r="C46" s="152" t="s">
        <v>493</v>
      </c>
      <c r="D46" s="152" t="str">
        <v>48 Inch Popular Ceiling Fan - Ivory {Body}</v>
      </c>
      <c r="E46" s="153">
        <v>800</v>
      </c>
      <c r="F46" s="154" t="str">
        <f t="shared" si="6"/>
        <v>August</v>
      </c>
      <c r="G46" s="155" t="str">
        <f>_xlfn.LET(_xlpm.x,UPPER(TRIM(C46)),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46" s="155" t="str">
        <f t="shared" si="7"/>
        <v>4801</v>
      </c>
      <c r="I46" s="155" t="str">
        <f t="shared" si="8"/>
        <v>body</v>
      </c>
      <c r="J46" s="155">
        <v>2026</v>
      </c>
      <c r="K46" s="155" t="str">
        <f t="shared" si="9"/>
        <v>AugustCeiling Fan2026body</v>
      </c>
      <c r="M46" s="157"/>
      <c r="N46" s="157"/>
      <c r="O46" s="157"/>
      <c r="P46" s="157"/>
      <c r="Q46" s="157"/>
    </row>
    <row r="47" spans="1:17" s="156" customFormat="1" x14ac:dyDescent="0.25">
      <c r="A47" s="150">
        <f t="shared" si="5"/>
        <v>46250</v>
      </c>
      <c r="B47" s="151">
        <v>46250</v>
      </c>
      <c r="C47" s="152" t="s">
        <v>483</v>
      </c>
      <c r="D47" s="152" t="str">
        <v>56 Inch Premium Ceiling Fan - Ivory {Body}</v>
      </c>
      <c r="E47" s="153">
        <v>115</v>
      </c>
      <c r="F47" s="154" t="str">
        <f t="shared" si="6"/>
        <v>August</v>
      </c>
      <c r="G47" s="155" t="str">
        <f>_xlfn.LET(_xlpm.x,UPPER(TRIM(C47)),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47" s="155" t="str">
        <f t="shared" si="7"/>
        <v>5601</v>
      </c>
      <c r="I47" s="155" t="str">
        <f t="shared" si="8"/>
        <v>body</v>
      </c>
      <c r="J47" s="155">
        <v>2026</v>
      </c>
      <c r="K47" s="155" t="str">
        <f t="shared" si="9"/>
        <v>AugustCeiling Fan2026body</v>
      </c>
      <c r="M47" s="157"/>
      <c r="N47" s="157"/>
      <c r="O47" s="157"/>
      <c r="P47" s="157"/>
      <c r="Q47" s="157"/>
    </row>
    <row r="48" spans="1:17" s="156" customFormat="1" x14ac:dyDescent="0.25">
      <c r="A48" s="150">
        <f t="shared" si="5"/>
        <v>46250</v>
      </c>
      <c r="B48" s="151">
        <v>46250</v>
      </c>
      <c r="C48" s="152" t="s">
        <v>483</v>
      </c>
      <c r="D48" s="152" t="str">
        <v>56 Inch Premium Ceiling Fan - Ivory {Body}</v>
      </c>
      <c r="E48" s="153">
        <v>50</v>
      </c>
      <c r="F48" s="154" t="str">
        <f t="shared" si="6"/>
        <v>August</v>
      </c>
      <c r="G48" s="155" t="str">
        <f>_xlfn.LET(_xlpm.x,UPPER(TRIM(C48)),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48" s="155" t="str">
        <f t="shared" si="7"/>
        <v>5601</v>
      </c>
      <c r="I48" s="155" t="str">
        <f t="shared" si="8"/>
        <v>body</v>
      </c>
      <c r="J48" s="155">
        <v>2026</v>
      </c>
      <c r="K48" s="155" t="str">
        <f t="shared" si="9"/>
        <v>AugustCeiling Fan2026body</v>
      </c>
      <c r="M48" s="157"/>
      <c r="N48" s="157"/>
      <c r="O48" s="157"/>
      <c r="P48" s="157"/>
      <c r="Q48" s="157"/>
    </row>
    <row r="49" spans="1:17" s="156" customFormat="1" x14ac:dyDescent="0.25">
      <c r="A49" s="150">
        <f t="shared" si="5"/>
        <v>46250</v>
      </c>
      <c r="B49" s="151">
        <v>46250</v>
      </c>
      <c r="C49" s="152" t="s">
        <v>735</v>
      </c>
      <c r="D49" s="152" t="str">
        <v>56 Inch Premium Ceiling Fan - Ivory {Blade}</v>
      </c>
      <c r="E49" s="153">
        <v>1250</v>
      </c>
      <c r="F49" s="154" t="str">
        <f t="shared" si="6"/>
        <v>August</v>
      </c>
      <c r="G49" s="155" t="str">
        <f>_xlfn.LET(_xlpm.x,UPPER(TRIM(C49)),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49" s="155" t="str">
        <f t="shared" si="7"/>
        <v>5601 BL</v>
      </c>
      <c r="I49" s="155" t="str">
        <f t="shared" si="8"/>
        <v>blade</v>
      </c>
      <c r="J49" s="155">
        <v>2026</v>
      </c>
      <c r="K49" s="155" t="str">
        <f t="shared" si="9"/>
        <v>AugustCeiling Fan2026blade</v>
      </c>
      <c r="M49" s="157"/>
      <c r="N49" s="157"/>
      <c r="O49" s="157"/>
      <c r="P49" s="157"/>
      <c r="Q49" s="157"/>
    </row>
    <row r="50" spans="1:17" s="156" customFormat="1" x14ac:dyDescent="0.25">
      <c r="A50" s="150">
        <f t="shared" si="5"/>
        <v>46251</v>
      </c>
      <c r="B50" s="151">
        <v>46251</v>
      </c>
      <c r="C50" s="152" t="s">
        <v>483</v>
      </c>
      <c r="D50" s="152" t="str">
        <v>56 Inch Premium Ceiling Fan - Ivory {Body}</v>
      </c>
      <c r="E50" s="153">
        <v>1050</v>
      </c>
      <c r="F50" s="154" t="str">
        <f t="shared" si="6"/>
        <v>August</v>
      </c>
      <c r="G50" s="155" t="str">
        <f>_xlfn.LET(_xlpm.x,UPPER(TRIM(C50)),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50" s="155" t="str">
        <f t="shared" si="7"/>
        <v>5601</v>
      </c>
      <c r="I50" s="155" t="str">
        <f t="shared" si="8"/>
        <v>body</v>
      </c>
      <c r="J50" s="155">
        <v>2026</v>
      </c>
      <c r="K50" s="155" t="str">
        <f t="shared" si="9"/>
        <v>AugustCeiling Fan2026body</v>
      </c>
      <c r="M50" s="157"/>
      <c r="N50" s="157"/>
      <c r="O50" s="157"/>
      <c r="P50" s="157"/>
      <c r="Q50" s="157"/>
    </row>
    <row r="51" spans="1:17" s="156" customFormat="1" x14ac:dyDescent="0.25">
      <c r="A51" s="150">
        <f t="shared" si="5"/>
        <v>46251</v>
      </c>
      <c r="B51" s="151">
        <v>46251</v>
      </c>
      <c r="C51" s="152" t="s">
        <v>493</v>
      </c>
      <c r="D51" s="152" t="str">
        <v>48 Inch Popular Ceiling Fan - Ivory {Body}</v>
      </c>
      <c r="E51" s="153">
        <v>367</v>
      </c>
      <c r="F51" s="154" t="str">
        <f t="shared" si="6"/>
        <v>August</v>
      </c>
      <c r="G51" s="155" t="str">
        <f>_xlfn.LET(_xlpm.x,UPPER(TRIM(C51)),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51" s="155" t="str">
        <f t="shared" si="7"/>
        <v>4801</v>
      </c>
      <c r="I51" s="155" t="str">
        <f t="shared" si="8"/>
        <v>body</v>
      </c>
      <c r="J51" s="155">
        <v>2026</v>
      </c>
      <c r="K51" s="155" t="str">
        <f t="shared" si="9"/>
        <v>AugustCeiling Fan2026body</v>
      </c>
      <c r="M51" s="157"/>
      <c r="N51" s="157"/>
      <c r="O51" s="157"/>
      <c r="P51" s="157"/>
      <c r="Q51" s="157"/>
    </row>
    <row r="52" spans="1:17" s="156" customFormat="1" x14ac:dyDescent="0.25">
      <c r="A52" s="150">
        <f t="shared" si="5"/>
        <v>46251</v>
      </c>
      <c r="B52" s="151">
        <v>46251</v>
      </c>
      <c r="C52" s="152" t="s">
        <v>735</v>
      </c>
      <c r="D52" s="152" t="str">
        <v>56 Inch Premium Ceiling Fan - Ivory {Blade}</v>
      </c>
      <c r="E52" s="153">
        <v>1800</v>
      </c>
      <c r="F52" s="154" t="str">
        <f t="shared" si="6"/>
        <v>August</v>
      </c>
      <c r="G52" s="155" t="str">
        <f>_xlfn.LET(_xlpm.x,UPPER(TRIM(C52)),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52" s="155" t="str">
        <f t="shared" si="7"/>
        <v>5601 BL</v>
      </c>
      <c r="I52" s="155" t="str">
        <f t="shared" si="8"/>
        <v>blade</v>
      </c>
      <c r="J52" s="155">
        <v>2026</v>
      </c>
      <c r="K52" s="155" t="str">
        <f t="shared" si="9"/>
        <v>AugustCeiling Fan2026blade</v>
      </c>
      <c r="M52" s="157"/>
      <c r="N52" s="157"/>
      <c r="O52" s="157"/>
      <c r="P52" s="157"/>
      <c r="Q52" s="157"/>
    </row>
    <row r="53" spans="1:17" s="156" customFormat="1" x14ac:dyDescent="0.25">
      <c r="A53" s="150">
        <f t="shared" si="5"/>
        <v>46252</v>
      </c>
      <c r="B53" s="151">
        <v>46252</v>
      </c>
      <c r="C53" s="152" t="s">
        <v>483</v>
      </c>
      <c r="D53" s="152" t="str">
        <v>56 Inch Premium Ceiling Fan - Ivory {Body}</v>
      </c>
      <c r="E53" s="153">
        <v>1700</v>
      </c>
      <c r="F53" s="154" t="str">
        <f t="shared" si="6"/>
        <v>August</v>
      </c>
      <c r="G53" s="155" t="str">
        <f>_xlfn.LET(_xlpm.x,UPPER(TRIM(C53)),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53" s="155" t="str">
        <f t="shared" si="7"/>
        <v>5601</v>
      </c>
      <c r="I53" s="155" t="str">
        <f t="shared" si="8"/>
        <v>body</v>
      </c>
      <c r="J53" s="155">
        <v>2026</v>
      </c>
      <c r="K53" s="155" t="str">
        <f t="shared" si="9"/>
        <v>AugustCeiling Fan2026body</v>
      </c>
      <c r="M53" s="157"/>
      <c r="N53" s="157"/>
      <c r="O53" s="157"/>
      <c r="P53" s="157"/>
      <c r="Q53" s="157"/>
    </row>
    <row r="54" spans="1:17" s="156" customFormat="1" x14ac:dyDescent="0.25">
      <c r="A54" s="150">
        <f t="shared" si="5"/>
        <v>46252</v>
      </c>
      <c r="B54" s="151">
        <v>46252</v>
      </c>
      <c r="C54" s="152" t="s">
        <v>735</v>
      </c>
      <c r="D54" s="152" t="str">
        <v>56 Inch Premium Ceiling Fan - Ivory {Blade}</v>
      </c>
      <c r="E54" s="153">
        <v>2200</v>
      </c>
      <c r="F54" s="154" t="str">
        <f t="shared" si="6"/>
        <v>August</v>
      </c>
      <c r="G54" s="155" t="str">
        <f>_xlfn.LET(_xlpm.x,UPPER(TRIM(C54)),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54" s="155" t="str">
        <f t="shared" si="7"/>
        <v>5601 BL</v>
      </c>
      <c r="I54" s="155" t="str">
        <f t="shared" si="8"/>
        <v>blade</v>
      </c>
      <c r="J54" s="155">
        <v>2026</v>
      </c>
      <c r="K54" s="155" t="str">
        <f t="shared" si="9"/>
        <v>AugustCeiling Fan2026blade</v>
      </c>
      <c r="M54" s="157"/>
      <c r="N54" s="157"/>
      <c r="O54" s="157"/>
      <c r="P54" s="157"/>
      <c r="Q54" s="157"/>
    </row>
    <row r="55" spans="1:17" s="156" customFormat="1" x14ac:dyDescent="0.25">
      <c r="A55" s="150">
        <f t="shared" si="5"/>
        <v>46253</v>
      </c>
      <c r="B55" s="151">
        <v>46253</v>
      </c>
      <c r="C55" s="152" t="s">
        <v>483</v>
      </c>
      <c r="D55" s="152" t="str">
        <v>56 Inch Premium Ceiling Fan - Ivory {Body}</v>
      </c>
      <c r="E55" s="153">
        <v>1000</v>
      </c>
      <c r="F55" s="154" t="str">
        <f t="shared" si="6"/>
        <v>August</v>
      </c>
      <c r="G55" s="155" t="str">
        <f>_xlfn.LET(_xlpm.x,UPPER(TRIM(C55)),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55" s="155" t="str">
        <f t="shared" si="7"/>
        <v>5601</v>
      </c>
      <c r="I55" s="155" t="str">
        <f t="shared" si="8"/>
        <v>body</v>
      </c>
      <c r="J55" s="155">
        <v>2026</v>
      </c>
      <c r="K55" s="155" t="str">
        <f t="shared" si="9"/>
        <v>AugustCeiling Fan2026body</v>
      </c>
      <c r="M55" s="157"/>
      <c r="N55" s="157"/>
      <c r="O55" s="157"/>
      <c r="P55" s="157"/>
      <c r="Q55" s="157"/>
    </row>
    <row r="56" spans="1:17" s="156" customFormat="1" x14ac:dyDescent="0.25">
      <c r="A56" s="150">
        <f t="shared" si="5"/>
        <v>46253</v>
      </c>
      <c r="B56" s="151">
        <v>46253</v>
      </c>
      <c r="C56" s="152" t="s">
        <v>495</v>
      </c>
      <c r="D56" s="152" t="str">
        <v>36 Inch Hero Ceiling Fan - Ivory {Body}</v>
      </c>
      <c r="E56" s="153">
        <v>610</v>
      </c>
      <c r="F56" s="154" t="str">
        <f t="shared" si="6"/>
        <v>August</v>
      </c>
      <c r="G56" s="155" t="str">
        <f>_xlfn.LET(_xlpm.x,UPPER(TRIM(C56)),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56" s="155" t="str">
        <f t="shared" si="7"/>
        <v>3601</v>
      </c>
      <c r="I56" s="155" t="str">
        <f t="shared" si="8"/>
        <v>body</v>
      </c>
      <c r="J56" s="155">
        <v>2026</v>
      </c>
      <c r="K56" s="155" t="str">
        <f t="shared" si="9"/>
        <v>AugustCeiling Fan2026body</v>
      </c>
      <c r="M56" s="157"/>
      <c r="N56" s="157"/>
      <c r="O56" s="157"/>
      <c r="P56" s="157"/>
      <c r="Q56" s="157"/>
    </row>
    <row r="57" spans="1:17" s="156" customFormat="1" x14ac:dyDescent="0.25">
      <c r="A57" s="150">
        <f t="shared" si="5"/>
        <v>46253</v>
      </c>
      <c r="B57" s="151">
        <v>46253</v>
      </c>
      <c r="C57" s="152" t="s">
        <v>735</v>
      </c>
      <c r="D57" s="152" t="str">
        <v>56 Inch Premium Ceiling Fan - Ivory {Blade}</v>
      </c>
      <c r="E57" s="153">
        <v>1750</v>
      </c>
      <c r="F57" s="154" t="str">
        <f t="shared" si="6"/>
        <v>August</v>
      </c>
      <c r="G57" s="155" t="str">
        <f>_xlfn.LET(_xlpm.x,UPPER(TRIM(C57)),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57" s="155" t="str">
        <f t="shared" si="7"/>
        <v>5601 BL</v>
      </c>
      <c r="I57" s="155" t="str">
        <f t="shared" si="8"/>
        <v>blade</v>
      </c>
      <c r="J57" s="155">
        <v>2026</v>
      </c>
      <c r="K57" s="155" t="str">
        <f t="shared" si="9"/>
        <v>AugustCeiling Fan2026blade</v>
      </c>
      <c r="M57" s="157"/>
      <c r="N57" s="157"/>
      <c r="O57" s="157"/>
      <c r="P57" s="157"/>
      <c r="Q57" s="157"/>
    </row>
    <row r="58" spans="1:17" s="156" customFormat="1" x14ac:dyDescent="0.25">
      <c r="A58" s="150">
        <f t="shared" si="5"/>
        <v>46254</v>
      </c>
      <c r="B58" s="151">
        <v>46254</v>
      </c>
      <c r="C58" s="152" t="s">
        <v>495</v>
      </c>
      <c r="D58" s="152" t="str">
        <v>36 Inch Hero Ceiling Fan - Ivory {Body}</v>
      </c>
      <c r="E58" s="153">
        <v>1200</v>
      </c>
      <c r="F58" s="154" t="str">
        <f t="shared" si="6"/>
        <v>August</v>
      </c>
      <c r="G58" s="155" t="str">
        <f>_xlfn.LET(_xlpm.x,UPPER(TRIM(C58)),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58" s="155" t="str">
        <f t="shared" si="7"/>
        <v>3601</v>
      </c>
      <c r="I58" s="155" t="str">
        <f t="shared" si="8"/>
        <v>body</v>
      </c>
      <c r="J58" s="155">
        <v>2026</v>
      </c>
      <c r="K58" s="155" t="str">
        <f t="shared" si="9"/>
        <v>AugustCeiling Fan2026body</v>
      </c>
      <c r="M58" s="157"/>
      <c r="N58" s="157"/>
      <c r="O58" s="157"/>
      <c r="P58" s="157"/>
      <c r="Q58" s="157"/>
    </row>
    <row r="59" spans="1:17" s="156" customFormat="1" x14ac:dyDescent="0.25">
      <c r="A59" s="150">
        <f t="shared" si="5"/>
        <v>46254</v>
      </c>
      <c r="B59" s="151">
        <v>46254</v>
      </c>
      <c r="C59" s="152" t="s">
        <v>735</v>
      </c>
      <c r="D59" s="152" t="str">
        <v>56 Inch Premium Ceiling Fan - Ivory {Blade}</v>
      </c>
      <c r="E59" s="153">
        <v>1150</v>
      </c>
      <c r="F59" s="154" t="str">
        <f t="shared" si="6"/>
        <v>August</v>
      </c>
      <c r="G59" s="155" t="str">
        <f>_xlfn.LET(_xlpm.x,UPPER(TRIM(C59)),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59" s="155" t="str">
        <f t="shared" si="7"/>
        <v>5601 BL</v>
      </c>
      <c r="I59" s="155" t="str">
        <f t="shared" si="8"/>
        <v>blade</v>
      </c>
      <c r="J59" s="155">
        <v>2026</v>
      </c>
      <c r="K59" s="155" t="str">
        <f t="shared" si="9"/>
        <v>AugustCeiling Fan2026blade</v>
      </c>
      <c r="M59" s="157"/>
      <c r="N59" s="157"/>
      <c r="O59" s="157"/>
      <c r="P59" s="157"/>
      <c r="Q59" s="157"/>
    </row>
    <row r="60" spans="1:17" s="156" customFormat="1" x14ac:dyDescent="0.25">
      <c r="A60" s="150">
        <f t="shared" si="5"/>
        <v>46256</v>
      </c>
      <c r="B60" s="151">
        <v>46256</v>
      </c>
      <c r="C60" s="152" t="s">
        <v>495</v>
      </c>
      <c r="D60" s="152" t="str">
        <v>36 Inch Hero Ceiling Fan - Ivory {Body}</v>
      </c>
      <c r="E60" s="153">
        <v>1400</v>
      </c>
      <c r="F60" s="154" t="str">
        <f t="shared" si="6"/>
        <v>August</v>
      </c>
      <c r="G60" s="155" t="str">
        <f>_xlfn.LET(_xlpm.x,UPPER(TRIM(C60)),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60" s="155" t="str">
        <f t="shared" si="7"/>
        <v>3601</v>
      </c>
      <c r="I60" s="155" t="str">
        <f t="shared" si="8"/>
        <v>body</v>
      </c>
      <c r="J60" s="155">
        <v>2026</v>
      </c>
      <c r="K60" s="155" t="str">
        <f t="shared" si="9"/>
        <v>AugustCeiling Fan2026body</v>
      </c>
      <c r="M60" s="157"/>
      <c r="N60" s="157"/>
      <c r="O60" s="157"/>
      <c r="P60" s="157"/>
      <c r="Q60" s="157"/>
    </row>
    <row r="61" spans="1:17" s="156" customFormat="1" x14ac:dyDescent="0.25">
      <c r="A61" s="150">
        <f t="shared" si="5"/>
        <v>46256</v>
      </c>
      <c r="B61" s="151">
        <v>46256</v>
      </c>
      <c r="C61" s="152" t="s">
        <v>752</v>
      </c>
      <c r="D61" s="152" t="str">
        <v>56 Inch Premium Ceiling Fan- Ivory (Without Regulator) {Blade}</v>
      </c>
      <c r="E61" s="153">
        <v>50</v>
      </c>
      <c r="F61" s="154" t="str">
        <f t="shared" si="6"/>
        <v>August</v>
      </c>
      <c r="G61" s="155" t="str">
        <f>_xlfn.LET(_xlpm.x,UPPER(TRIM(C61)),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61" s="155" t="str">
        <f t="shared" si="7"/>
        <v>5601 BL</v>
      </c>
      <c r="I61" s="155" t="str">
        <f t="shared" si="8"/>
        <v>blade</v>
      </c>
      <c r="J61" s="155">
        <v>2026</v>
      </c>
      <c r="K61" s="155" t="str">
        <f t="shared" si="9"/>
        <v>AugustCeiling Fan2026blade</v>
      </c>
      <c r="M61" s="157"/>
      <c r="N61" s="157"/>
      <c r="O61" s="157"/>
      <c r="P61" s="157"/>
      <c r="Q61" s="157"/>
    </row>
    <row r="62" spans="1:17" s="156" customFormat="1" x14ac:dyDescent="0.25">
      <c r="A62" s="150">
        <f t="shared" si="5"/>
        <v>46256</v>
      </c>
      <c r="B62" s="151">
        <v>46256</v>
      </c>
      <c r="C62" s="152" t="s">
        <v>757</v>
      </c>
      <c r="D62" s="152" t="str">
        <v>56 Inch Speed King Ceiling Fan - Ivory {Blade}</v>
      </c>
      <c r="E62" s="153">
        <v>1090</v>
      </c>
      <c r="F62" s="154" t="str">
        <f t="shared" si="6"/>
        <v>August</v>
      </c>
      <c r="G62" s="155" t="str">
        <f>_xlfn.LET(_xlpm.x,UPPER(TRIM(C62)),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62" s="155" t="str">
        <f t="shared" si="7"/>
        <v>5602 BL</v>
      </c>
      <c r="I62" s="155" t="str">
        <f t="shared" si="8"/>
        <v>blade</v>
      </c>
      <c r="J62" s="155">
        <v>2026</v>
      </c>
      <c r="K62" s="155" t="str">
        <f t="shared" si="9"/>
        <v>AugustCeiling Fan2026blade</v>
      </c>
      <c r="M62" s="157"/>
      <c r="N62" s="157"/>
      <c r="O62" s="157"/>
      <c r="P62" s="157"/>
      <c r="Q62" s="157"/>
    </row>
    <row r="63" spans="1:17" s="156" customFormat="1" x14ac:dyDescent="0.25">
      <c r="A63" s="150">
        <f t="shared" si="5"/>
        <v>46257</v>
      </c>
      <c r="B63" s="151">
        <v>46257</v>
      </c>
      <c r="C63" s="152" t="s">
        <v>495</v>
      </c>
      <c r="D63" s="152" t="str">
        <v>36 Inch Hero Ceiling Fan - Ivory {Body}</v>
      </c>
      <c r="E63" s="153">
        <v>1697</v>
      </c>
      <c r="F63" s="154" t="str">
        <f t="shared" si="6"/>
        <v>August</v>
      </c>
      <c r="G63" s="155" t="str">
        <f>_xlfn.LET(_xlpm.x,UPPER(TRIM(C63)),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63" s="155" t="str">
        <f t="shared" si="7"/>
        <v>3601</v>
      </c>
      <c r="I63" s="155" t="str">
        <f t="shared" si="8"/>
        <v>body</v>
      </c>
      <c r="J63" s="155">
        <v>2026</v>
      </c>
      <c r="K63" s="155" t="str">
        <f t="shared" si="9"/>
        <v>AugustCeiling Fan2026body</v>
      </c>
      <c r="M63" s="157"/>
      <c r="N63" s="157"/>
      <c r="O63" s="157"/>
      <c r="P63" s="157"/>
      <c r="Q63" s="157"/>
    </row>
    <row r="64" spans="1:17" s="156" customFormat="1" x14ac:dyDescent="0.25">
      <c r="A64" s="150">
        <f t="shared" si="5"/>
        <v>46257</v>
      </c>
      <c r="B64" s="151">
        <v>46257</v>
      </c>
      <c r="C64" s="152" t="s">
        <v>757</v>
      </c>
      <c r="D64" s="152" t="str">
        <v>56 Inch Speed King Ceiling Fan - Ivory {Blade}</v>
      </c>
      <c r="E64" s="153">
        <v>1380</v>
      </c>
      <c r="F64" s="154" t="str">
        <f t="shared" si="6"/>
        <v>August</v>
      </c>
      <c r="G64" s="155" t="str">
        <f>_xlfn.LET(_xlpm.x,UPPER(TRIM(C64)),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64" s="155" t="str">
        <f t="shared" si="7"/>
        <v>5602 BL</v>
      </c>
      <c r="I64" s="155" t="str">
        <f t="shared" si="8"/>
        <v>blade</v>
      </c>
      <c r="J64" s="155">
        <v>2026</v>
      </c>
      <c r="K64" s="155" t="str">
        <f t="shared" si="9"/>
        <v>AugustCeiling Fan2026blade</v>
      </c>
      <c r="M64" s="157"/>
      <c r="N64" s="157"/>
      <c r="O64" s="157"/>
      <c r="P64" s="157"/>
      <c r="Q64" s="157"/>
    </row>
    <row r="65" spans="1:17" s="156" customFormat="1" x14ac:dyDescent="0.25">
      <c r="A65" s="150">
        <f t="shared" si="5"/>
        <v>46258</v>
      </c>
      <c r="B65" s="151">
        <v>46258</v>
      </c>
      <c r="C65" s="152" t="s">
        <v>483</v>
      </c>
      <c r="D65" s="152" t="str">
        <v>56 Inch Premium Ceiling Fan - Ivory {Body}</v>
      </c>
      <c r="E65" s="153">
        <v>1600</v>
      </c>
      <c r="F65" s="154" t="str">
        <f t="shared" si="6"/>
        <v>August</v>
      </c>
      <c r="G65" s="155" t="str">
        <f>_xlfn.LET(_xlpm.x,UPPER(TRIM(C65)),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65" s="155" t="str">
        <f t="shared" si="7"/>
        <v>5601</v>
      </c>
      <c r="I65" s="155" t="str">
        <f t="shared" si="8"/>
        <v>body</v>
      </c>
      <c r="J65" s="155">
        <v>2026</v>
      </c>
      <c r="K65" s="155" t="str">
        <f t="shared" si="9"/>
        <v>AugustCeiling Fan2026body</v>
      </c>
      <c r="M65" s="157"/>
      <c r="N65" s="157"/>
      <c r="O65" s="157"/>
      <c r="P65" s="157"/>
      <c r="Q65" s="157"/>
    </row>
    <row r="66" spans="1:17" s="156" customFormat="1" x14ac:dyDescent="0.25">
      <c r="A66" s="150">
        <f t="shared" ref="A66:A97" si="10">B66</f>
        <v>46258</v>
      </c>
      <c r="B66" s="151">
        <v>46258</v>
      </c>
      <c r="C66" s="152" t="s">
        <v>735</v>
      </c>
      <c r="D66" s="152" t="str">
        <v>56 Inch Premium Ceiling Fan - Ivory {Blade}</v>
      </c>
      <c r="E66" s="153">
        <v>349</v>
      </c>
      <c r="F66" s="154" t="str">
        <f t="shared" ref="F66:F97" si="11">TEXT(B66,"mmmm")</f>
        <v>August</v>
      </c>
      <c r="G66" s="155" t="str">
        <f>_xlfn.LET(_xlpm.x,UPPER(TRIM(C66)),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66" s="155" t="str">
        <f t="shared" ref="H66:H97" si="12">IF(ISNUMBER(SEARCH("2401",C66)),"2401"&amp;IF(ISNUMBER(SEARCH("(BL)",C66))," BL",""),
IF(ISNUMBER(SEARCH("3601",C66)),"3601"&amp;IF(ISNUMBER(SEARCH("(BL)",C66))," BL",""),
IF(ISNUMBER(SEARCH("4801",C66)),"4801"&amp;IF(ISNUMBER(SEARCH("(BL)",C66))," BL",""),
IF(ISNUMBER(SEARCH("5601",C66)),"5601"&amp;IF(ISNUMBER(SEARCH("(BL)",C66))," BL",""),
IF(ISNUMBER(SEARCH("5602",C66)),"5602"&amp;IF(ISNUMBER(SEARCH("(BL)",C66))," BL",""),
IF(ISNUMBER(SEARCH("5603",C66)),"5603"&amp;IF(ISNUMBER(SEARCH("(BL)",C66))," BL",""),
IF(ISNUMBER(SEARCH("5606",C66)),"5606"&amp;IF(ISNUMBER(SEARCH("(BL)",C66))," BL",""),
IF(ISNUMBER(SEARCH("5607",C66)),"5607"&amp;IF(ISNUMBER(SEARCH("(BL)",C66))," BL",""),
""))))))))</f>
        <v>5601 BL</v>
      </c>
      <c r="I66" s="155" t="str">
        <f t="shared" ref="I66:I97" si="13">IF(ISNUMBER(SEARCH("body",D66)),"body",IF(ISNUMBER(SEARCH("blade",D66)),"blade",0))</f>
        <v>blade</v>
      </c>
      <c r="J66" s="155">
        <v>2026</v>
      </c>
      <c r="K66" s="155" t="str">
        <f t="shared" ref="K66:K97" si="14">F66&amp;G66&amp;J66&amp;I66</f>
        <v>AugustCeiling Fan2026blade</v>
      </c>
      <c r="M66" s="157"/>
      <c r="N66" s="157"/>
      <c r="O66" s="157"/>
      <c r="P66" s="157"/>
      <c r="Q66" s="157"/>
    </row>
    <row r="67" spans="1:17" s="156" customFormat="1" x14ac:dyDescent="0.25">
      <c r="A67" s="150">
        <f t="shared" si="10"/>
        <v>46258</v>
      </c>
      <c r="B67" s="151">
        <v>46258</v>
      </c>
      <c r="C67" s="152" t="s">
        <v>757</v>
      </c>
      <c r="D67" s="152" t="str">
        <v>56 Inch Speed King Ceiling Fan - Ivory {Blade}</v>
      </c>
      <c r="E67" s="153">
        <v>800</v>
      </c>
      <c r="F67" s="154" t="str">
        <f t="shared" si="11"/>
        <v>August</v>
      </c>
      <c r="G67" s="155" t="str">
        <f>_xlfn.LET(_xlpm.x,UPPER(TRIM(C67)),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67" s="155" t="str">
        <f t="shared" si="12"/>
        <v>5602 BL</v>
      </c>
      <c r="I67" s="155" t="str">
        <f t="shared" si="13"/>
        <v>blade</v>
      </c>
      <c r="J67" s="155">
        <v>2026</v>
      </c>
      <c r="K67" s="155" t="str">
        <f t="shared" si="14"/>
        <v>AugustCeiling Fan2026blade</v>
      </c>
      <c r="M67" s="157"/>
      <c r="N67" s="157"/>
      <c r="O67" s="157"/>
      <c r="P67" s="157"/>
      <c r="Q67" s="157"/>
    </row>
    <row r="68" spans="1:17" s="156" customFormat="1" x14ac:dyDescent="0.25">
      <c r="A68" s="150">
        <f t="shared" si="10"/>
        <v>46259</v>
      </c>
      <c r="B68" s="151">
        <v>46259</v>
      </c>
      <c r="C68" s="152" t="s">
        <v>483</v>
      </c>
      <c r="D68" s="152" t="str">
        <v>56 Inch Premium Ceiling Fan - Ivory {Body}</v>
      </c>
      <c r="E68" s="153">
        <v>287</v>
      </c>
      <c r="F68" s="154" t="str">
        <f t="shared" si="11"/>
        <v>August</v>
      </c>
      <c r="G68" s="155" t="str">
        <f>_xlfn.LET(_xlpm.x,UPPER(TRIM(C68)),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68" s="155" t="str">
        <f t="shared" si="12"/>
        <v>5601</v>
      </c>
      <c r="I68" s="155" t="str">
        <f t="shared" si="13"/>
        <v>body</v>
      </c>
      <c r="J68" s="155">
        <v>2026</v>
      </c>
      <c r="K68" s="155" t="str">
        <f t="shared" si="14"/>
        <v>AugustCeiling Fan2026body</v>
      </c>
      <c r="M68" s="157"/>
      <c r="N68" s="157"/>
      <c r="O68" s="157"/>
      <c r="P68" s="157"/>
      <c r="Q68" s="157"/>
    </row>
    <row r="69" spans="1:17" s="156" customFormat="1" x14ac:dyDescent="0.25">
      <c r="A69" s="150">
        <f t="shared" si="10"/>
        <v>46259</v>
      </c>
      <c r="B69" s="151">
        <v>46259</v>
      </c>
      <c r="C69" s="152" t="s">
        <v>497</v>
      </c>
      <c r="D69" s="152" t="str">
        <v>24 Inch Super Ceiling Fan - Ivory {Body}</v>
      </c>
      <c r="E69" s="153">
        <v>450</v>
      </c>
      <c r="F69" s="154" t="str">
        <f t="shared" si="11"/>
        <v>August</v>
      </c>
      <c r="G69" s="155" t="str">
        <f>_xlfn.LET(_xlpm.x,UPPER(TRIM(C69)),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69" s="155" t="str">
        <f t="shared" si="12"/>
        <v>2401</v>
      </c>
      <c r="I69" s="155" t="str">
        <f t="shared" si="13"/>
        <v>body</v>
      </c>
      <c r="J69" s="155">
        <v>2026</v>
      </c>
      <c r="K69" s="155" t="str">
        <f t="shared" si="14"/>
        <v>AugustCeiling Fan2026body</v>
      </c>
      <c r="M69" s="157"/>
      <c r="N69" s="157"/>
      <c r="O69" s="157"/>
      <c r="P69" s="157"/>
      <c r="Q69" s="157"/>
    </row>
    <row r="70" spans="1:17" s="156" customFormat="1" x14ac:dyDescent="0.25">
      <c r="A70" s="150">
        <f t="shared" si="10"/>
        <v>46259</v>
      </c>
      <c r="B70" s="151">
        <v>46259</v>
      </c>
      <c r="C70" s="152" t="s">
        <v>735</v>
      </c>
      <c r="D70" s="152" t="str">
        <v>56 Inch Premium Ceiling Fan - Ivory {Blade}</v>
      </c>
      <c r="E70" s="153">
        <v>590</v>
      </c>
      <c r="F70" s="154" t="str">
        <f t="shared" si="11"/>
        <v>August</v>
      </c>
      <c r="G70" s="155" t="str">
        <f>_xlfn.LET(_xlpm.x,UPPER(TRIM(C70)),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70" s="155" t="str">
        <f t="shared" si="12"/>
        <v>5601 BL</v>
      </c>
      <c r="I70" s="155" t="str">
        <f t="shared" si="13"/>
        <v>blade</v>
      </c>
      <c r="J70" s="155">
        <v>2026</v>
      </c>
      <c r="K70" s="155" t="str">
        <f t="shared" si="14"/>
        <v>AugustCeiling Fan2026blade</v>
      </c>
      <c r="M70" s="157"/>
      <c r="N70" s="157"/>
      <c r="O70" s="157"/>
      <c r="P70" s="157"/>
      <c r="Q70" s="157"/>
    </row>
    <row r="71" spans="1:17" s="156" customFormat="1" x14ac:dyDescent="0.25">
      <c r="A71" s="150">
        <f t="shared" si="10"/>
        <v>46259</v>
      </c>
      <c r="B71" s="151">
        <v>46259</v>
      </c>
      <c r="C71" s="152" t="s">
        <v>744</v>
      </c>
      <c r="D71" s="152" t="str">
        <v>36 Inch Hero Ceiling Fan - Ivory {Blade}</v>
      </c>
      <c r="E71" s="153">
        <v>600</v>
      </c>
      <c r="F71" s="154" t="str">
        <f t="shared" si="11"/>
        <v>August</v>
      </c>
      <c r="G71" s="155" t="str">
        <f>_xlfn.LET(_xlpm.x,UPPER(TRIM(C71)),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71" s="155" t="str">
        <f t="shared" si="12"/>
        <v>3601 BL</v>
      </c>
      <c r="I71" s="155" t="str">
        <f t="shared" si="13"/>
        <v>blade</v>
      </c>
      <c r="J71" s="155">
        <v>2026</v>
      </c>
      <c r="K71" s="155" t="str">
        <f t="shared" si="14"/>
        <v>AugustCeiling Fan2026blade</v>
      </c>
      <c r="M71" s="157"/>
      <c r="N71" s="157"/>
      <c r="O71" s="157"/>
      <c r="P71" s="157"/>
      <c r="Q71" s="157"/>
    </row>
    <row r="72" spans="1:17" s="156" customFormat="1" x14ac:dyDescent="0.25">
      <c r="A72" s="150">
        <f t="shared" si="10"/>
        <v>46260</v>
      </c>
      <c r="B72" s="151">
        <v>46260</v>
      </c>
      <c r="C72" s="152" t="s">
        <v>497</v>
      </c>
      <c r="D72" s="152" t="str">
        <v>24 Inch Super Ceiling Fan - Ivory {Body}</v>
      </c>
      <c r="E72" s="153">
        <v>1560</v>
      </c>
      <c r="F72" s="154" t="str">
        <f t="shared" si="11"/>
        <v>August</v>
      </c>
      <c r="G72" s="155" t="str">
        <f>_xlfn.LET(_xlpm.x,UPPER(TRIM(C72)),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72" s="155" t="str">
        <f t="shared" si="12"/>
        <v>2401</v>
      </c>
      <c r="I72" s="155" t="str">
        <f t="shared" si="13"/>
        <v>body</v>
      </c>
      <c r="J72" s="155">
        <v>2026</v>
      </c>
      <c r="K72" s="155" t="str">
        <f t="shared" si="14"/>
        <v>AugustCeiling Fan2026body</v>
      </c>
      <c r="M72" s="157"/>
      <c r="N72" s="157"/>
      <c r="O72" s="157"/>
      <c r="P72" s="157"/>
      <c r="Q72" s="157"/>
    </row>
    <row r="73" spans="1:17" s="156" customFormat="1" x14ac:dyDescent="0.25">
      <c r="A73" s="150">
        <f t="shared" si="10"/>
        <v>46260</v>
      </c>
      <c r="B73" s="151">
        <v>46260</v>
      </c>
      <c r="C73" s="152" t="s">
        <v>735</v>
      </c>
      <c r="D73" s="152" t="str">
        <v>56 Inch Premium Ceiling Fan - Ivory {Blade}</v>
      </c>
      <c r="E73" s="153">
        <v>2050</v>
      </c>
      <c r="F73" s="154" t="str">
        <f t="shared" si="11"/>
        <v>August</v>
      </c>
      <c r="G73" s="155" t="str">
        <f>_xlfn.LET(_xlpm.x,UPPER(TRIM(C73)),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73" s="155" t="str">
        <f t="shared" si="12"/>
        <v>5601 BL</v>
      </c>
      <c r="I73" s="155" t="str">
        <f t="shared" si="13"/>
        <v>blade</v>
      </c>
      <c r="J73" s="155">
        <v>2026</v>
      </c>
      <c r="K73" s="155" t="str">
        <f t="shared" si="14"/>
        <v>AugustCeiling Fan2026blade</v>
      </c>
      <c r="M73" s="157"/>
      <c r="N73" s="157"/>
      <c r="O73" s="157"/>
      <c r="P73" s="157"/>
      <c r="Q73" s="157"/>
    </row>
    <row r="74" spans="1:17" s="156" customFormat="1" x14ac:dyDescent="0.25">
      <c r="A74" s="150">
        <f t="shared" si="10"/>
        <v>46260</v>
      </c>
      <c r="B74" s="151">
        <v>46260</v>
      </c>
      <c r="C74" s="152" t="s">
        <v>744</v>
      </c>
      <c r="D74" s="152" t="str">
        <v>36 Inch Hero Ceiling Fan - Ivory {Blade}</v>
      </c>
      <c r="E74" s="153">
        <v>630</v>
      </c>
      <c r="F74" s="154" t="str">
        <f t="shared" si="11"/>
        <v>August</v>
      </c>
      <c r="G74" s="155" t="str">
        <f>_xlfn.LET(_xlpm.x,UPPER(TRIM(C74)),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74" s="155" t="str">
        <f t="shared" si="12"/>
        <v>3601 BL</v>
      </c>
      <c r="I74" s="155" t="str">
        <f t="shared" si="13"/>
        <v>blade</v>
      </c>
      <c r="J74" s="155">
        <v>2026</v>
      </c>
      <c r="K74" s="155" t="str">
        <f t="shared" si="14"/>
        <v>AugustCeiling Fan2026blade</v>
      </c>
      <c r="M74" s="157"/>
      <c r="N74" s="157"/>
      <c r="O74" s="157"/>
      <c r="P74" s="157"/>
      <c r="Q74" s="157"/>
    </row>
    <row r="75" spans="1:17" s="156" customFormat="1" x14ac:dyDescent="0.25">
      <c r="A75" s="150">
        <f t="shared" si="10"/>
        <v>46261</v>
      </c>
      <c r="B75" s="151">
        <v>46261</v>
      </c>
      <c r="C75" s="152" t="s">
        <v>483</v>
      </c>
      <c r="D75" s="152" t="str">
        <v>56 Inch Premium Ceiling Fan - Ivory {Body}</v>
      </c>
      <c r="E75" s="153">
        <v>2000</v>
      </c>
      <c r="F75" s="154" t="str">
        <f t="shared" si="11"/>
        <v>August</v>
      </c>
      <c r="G75" s="155" t="str">
        <f>_xlfn.LET(_xlpm.x,UPPER(TRIM(C75)),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75" s="155" t="str">
        <f t="shared" si="12"/>
        <v>5601</v>
      </c>
      <c r="I75" s="155" t="str">
        <f t="shared" si="13"/>
        <v>body</v>
      </c>
      <c r="J75" s="155">
        <v>2026</v>
      </c>
      <c r="K75" s="155" t="str">
        <f t="shared" si="14"/>
        <v>AugustCeiling Fan2026body</v>
      </c>
      <c r="M75" s="157"/>
      <c r="N75" s="157"/>
      <c r="O75" s="157"/>
      <c r="P75" s="157"/>
      <c r="Q75" s="157"/>
    </row>
    <row r="76" spans="1:17" s="156" customFormat="1" x14ac:dyDescent="0.25">
      <c r="A76" s="150">
        <f t="shared" si="10"/>
        <v>46261</v>
      </c>
      <c r="B76" s="151">
        <v>46261</v>
      </c>
      <c r="C76" s="152" t="s">
        <v>735</v>
      </c>
      <c r="D76" s="152" t="str">
        <v>56 Inch Premium Ceiling Fan - Ivory {Blade}</v>
      </c>
      <c r="E76" s="153">
        <v>60</v>
      </c>
      <c r="F76" s="154" t="str">
        <f t="shared" si="11"/>
        <v>August</v>
      </c>
      <c r="G76" s="155" t="str">
        <f>_xlfn.LET(_xlpm.x,UPPER(TRIM(C76)),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76" s="155" t="str">
        <f t="shared" si="12"/>
        <v>5601 BL</v>
      </c>
      <c r="I76" s="155" t="str">
        <f t="shared" si="13"/>
        <v>blade</v>
      </c>
      <c r="J76" s="155">
        <v>2026</v>
      </c>
      <c r="K76" s="155" t="str">
        <f t="shared" si="14"/>
        <v>AugustCeiling Fan2026blade</v>
      </c>
      <c r="M76" s="157"/>
      <c r="N76" s="157"/>
      <c r="O76" s="157"/>
      <c r="P76" s="157"/>
      <c r="Q76" s="157"/>
    </row>
    <row r="77" spans="1:17" s="156" customFormat="1" x14ac:dyDescent="0.25">
      <c r="A77" s="150">
        <f t="shared" si="10"/>
        <v>46261</v>
      </c>
      <c r="B77" s="151">
        <v>46261</v>
      </c>
      <c r="C77" s="152" t="s">
        <v>744</v>
      </c>
      <c r="D77" s="152" t="str">
        <v>36 Inch Hero Ceiling Fan - Ivory {Blade}</v>
      </c>
      <c r="E77" s="153">
        <v>310</v>
      </c>
      <c r="F77" s="154" t="str">
        <f t="shared" si="11"/>
        <v>August</v>
      </c>
      <c r="G77" s="155" t="str">
        <f>_xlfn.LET(_xlpm.x,UPPER(TRIM(C77)),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77" s="155" t="str">
        <f t="shared" si="12"/>
        <v>3601 BL</v>
      </c>
      <c r="I77" s="155" t="str">
        <f t="shared" si="13"/>
        <v>blade</v>
      </c>
      <c r="J77" s="155">
        <v>2026</v>
      </c>
      <c r="K77" s="155" t="str">
        <f t="shared" si="14"/>
        <v>AugustCeiling Fan2026blade</v>
      </c>
      <c r="M77" s="157"/>
      <c r="N77" s="157"/>
      <c r="O77" s="157"/>
      <c r="P77" s="157"/>
      <c r="Q77" s="157"/>
    </row>
    <row r="78" spans="1:17" s="156" customFormat="1" x14ac:dyDescent="0.25">
      <c r="A78" s="150">
        <f t="shared" si="10"/>
        <v>46261</v>
      </c>
      <c r="B78" s="151">
        <v>46261</v>
      </c>
      <c r="C78" s="152" t="s">
        <v>727</v>
      </c>
      <c r="D78" s="152" t="str">
        <v>24 Inch Super Ceiling Fan - Ivory {Blade}</v>
      </c>
      <c r="E78" s="153">
        <v>1445</v>
      </c>
      <c r="F78" s="154" t="str">
        <f t="shared" si="11"/>
        <v>August</v>
      </c>
      <c r="G78" s="155" t="str">
        <f>_xlfn.LET(_xlpm.x,UPPER(TRIM(C78)),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78" s="155" t="str">
        <f t="shared" si="12"/>
        <v>2401 BL</v>
      </c>
      <c r="I78" s="155" t="str">
        <f t="shared" si="13"/>
        <v>blade</v>
      </c>
      <c r="J78" s="155">
        <v>2026</v>
      </c>
      <c r="K78" s="155" t="str">
        <f t="shared" si="14"/>
        <v>AugustCeiling Fan2026blade</v>
      </c>
      <c r="M78" s="157"/>
      <c r="N78" s="157"/>
      <c r="O78" s="157"/>
      <c r="P78" s="157"/>
      <c r="Q78" s="157"/>
    </row>
    <row r="79" spans="1:17" s="156" customFormat="1" x14ac:dyDescent="0.25">
      <c r="A79" s="150">
        <f t="shared" si="10"/>
        <v>46263</v>
      </c>
      <c r="B79" s="151">
        <v>46263</v>
      </c>
      <c r="C79" s="152" t="s">
        <v>483</v>
      </c>
      <c r="D79" s="152" t="str">
        <v>56 Inch Premium Ceiling Fan - Ivory {Body}</v>
      </c>
      <c r="E79" s="153">
        <v>1350</v>
      </c>
      <c r="F79" s="154" t="str">
        <f t="shared" si="11"/>
        <v>August</v>
      </c>
      <c r="G79" s="155" t="str">
        <f>_xlfn.LET(_xlpm.x,UPPER(TRIM(C79)),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79" s="155" t="str">
        <f t="shared" si="12"/>
        <v>5601</v>
      </c>
      <c r="I79" s="155" t="str">
        <f t="shared" si="13"/>
        <v>body</v>
      </c>
      <c r="J79" s="155">
        <v>2026</v>
      </c>
      <c r="K79" s="155" t="str">
        <f t="shared" si="14"/>
        <v>AugustCeiling Fan2026body</v>
      </c>
      <c r="M79" s="157"/>
      <c r="N79" s="157"/>
      <c r="O79" s="157"/>
      <c r="P79" s="157"/>
      <c r="Q79" s="157"/>
    </row>
    <row r="80" spans="1:17" s="156" customFormat="1" x14ac:dyDescent="0.25">
      <c r="A80" s="150">
        <f t="shared" si="10"/>
        <v>46263</v>
      </c>
      <c r="B80" s="151">
        <v>46263</v>
      </c>
      <c r="C80" s="152" t="s">
        <v>735</v>
      </c>
      <c r="D80" s="152" t="str">
        <v>56 Inch Premium Ceiling Fan - Ivory {Blade}</v>
      </c>
      <c r="E80" s="153">
        <v>1240</v>
      </c>
      <c r="F80" s="154" t="str">
        <f t="shared" si="11"/>
        <v>August</v>
      </c>
      <c r="G80" s="155" t="str">
        <f>_xlfn.LET(_xlpm.x,UPPER(TRIM(C80)),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>Ceiling Fan</v>
      </c>
      <c r="H80" s="155" t="str">
        <f t="shared" si="12"/>
        <v>5601 BL</v>
      </c>
      <c r="I80" s="155" t="str">
        <f t="shared" si="13"/>
        <v>blade</v>
      </c>
      <c r="J80" s="155">
        <v>2026</v>
      </c>
      <c r="K80" s="155" t="str">
        <f t="shared" si="14"/>
        <v>AugustCeiling Fan2026blade</v>
      </c>
      <c r="M80" s="157"/>
      <c r="N80" s="157"/>
      <c r="O80" s="157"/>
      <c r="P80" s="157"/>
      <c r="Q80" s="157"/>
    </row>
    <row r="81" spans="1:17" s="156" customFormat="1" x14ac:dyDescent="0.25">
      <c r="A81" s="150">
        <f t="shared" si="10"/>
        <v>46264</v>
      </c>
      <c r="B81" s="151">
        <v>46264</v>
      </c>
      <c r="C81" s="152"/>
      <c r="D81" s="152">
        <v>0</v>
      </c>
      <c r="E81" s="153"/>
      <c r="F81" s="154" t="str">
        <f t="shared" si="11"/>
        <v>August</v>
      </c>
      <c r="G81" s="155" t="str">
        <f>_xlfn.LET(_xlpm.x,UPPER(TRIM(C81)),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81" s="155" t="str">
        <f t="shared" si="12"/>
        <v/>
      </c>
      <c r="I81" s="155">
        <f t="shared" si="13"/>
        <v>0</v>
      </c>
      <c r="J81" s="155">
        <v>2026</v>
      </c>
      <c r="K81" s="155" t="str">
        <f t="shared" si="14"/>
        <v>August20260</v>
      </c>
      <c r="M81" s="157"/>
      <c r="N81" s="157"/>
      <c r="O81" s="157"/>
      <c r="P81" s="157"/>
      <c r="Q81" s="157"/>
    </row>
    <row r="82" spans="1:17" s="156" customFormat="1" x14ac:dyDescent="0.25">
      <c r="A82" s="150">
        <f t="shared" si="10"/>
        <v>46265</v>
      </c>
      <c r="B82" s="151">
        <v>46265</v>
      </c>
      <c r="C82" s="152"/>
      <c r="D82" s="152">
        <v>0</v>
      </c>
      <c r="E82" s="153"/>
      <c r="F82" s="154" t="str">
        <f t="shared" si="11"/>
        <v>August</v>
      </c>
      <c r="G82" s="155" t="str">
        <f>_xlfn.LET(_xlpm.x,UPPER(TRIM(C82)),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82" s="155" t="str">
        <f t="shared" si="12"/>
        <v/>
      </c>
      <c r="I82" s="155">
        <f t="shared" si="13"/>
        <v>0</v>
      </c>
      <c r="J82" s="155">
        <v>2026</v>
      </c>
      <c r="K82" s="155" t="str">
        <f t="shared" si="14"/>
        <v>August20260</v>
      </c>
      <c r="M82" s="157"/>
      <c r="N82" s="157"/>
      <c r="O82" s="157"/>
      <c r="P82" s="157"/>
      <c r="Q82" s="157"/>
    </row>
    <row r="83" spans="1:17" s="156" customFormat="1" x14ac:dyDescent="0.25">
      <c r="A83" s="150">
        <f t="shared" si="10"/>
        <v>0</v>
      </c>
      <c r="B83" s="151"/>
      <c r="C83" s="152"/>
      <c r="D83" s="152">
        <v>0</v>
      </c>
      <c r="E83" s="153"/>
      <c r="F83" s="154" t="str">
        <f t="shared" si="11"/>
        <v>January</v>
      </c>
      <c r="G83" s="155" t="str">
        <f>_xlfn.LET(_xlpm.x,UPPER(TRIM(C83)),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83" s="155" t="str">
        <f t="shared" si="12"/>
        <v/>
      </c>
      <c r="I83" s="155">
        <f t="shared" si="13"/>
        <v>0</v>
      </c>
      <c r="J83" s="155">
        <v>2026</v>
      </c>
      <c r="K83" s="155" t="str">
        <f t="shared" si="14"/>
        <v>January20260</v>
      </c>
      <c r="M83" s="157"/>
      <c r="N83" s="157"/>
      <c r="O83" s="157"/>
      <c r="P83" s="157"/>
      <c r="Q83" s="157"/>
    </row>
    <row r="84" spans="1:17" s="156" customFormat="1" x14ac:dyDescent="0.25">
      <c r="A84" s="150">
        <f t="shared" si="10"/>
        <v>0</v>
      </c>
      <c r="B84" s="151"/>
      <c r="C84" s="152"/>
      <c r="D84" s="152">
        <v>0</v>
      </c>
      <c r="E84" s="153"/>
      <c r="F84" s="154" t="str">
        <f t="shared" si="11"/>
        <v>January</v>
      </c>
      <c r="G84" s="155" t="str">
        <f>_xlfn.LET(_xlpm.x,UPPER(TRIM(C84)),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84" s="155" t="str">
        <f t="shared" si="12"/>
        <v/>
      </c>
      <c r="I84" s="155">
        <f t="shared" si="13"/>
        <v>0</v>
      </c>
      <c r="J84" s="155">
        <v>2026</v>
      </c>
      <c r="K84" s="155" t="str">
        <f t="shared" si="14"/>
        <v>January20260</v>
      </c>
      <c r="M84" s="157"/>
      <c r="N84" s="157"/>
      <c r="O84" s="157"/>
      <c r="P84" s="157"/>
      <c r="Q84" s="157"/>
    </row>
    <row r="85" spans="1:17" s="156" customFormat="1" x14ac:dyDescent="0.25">
      <c r="A85" s="150">
        <f t="shared" si="10"/>
        <v>0</v>
      </c>
      <c r="B85" s="151"/>
      <c r="C85" s="152"/>
      <c r="D85" s="152">
        <v>0</v>
      </c>
      <c r="E85" s="153"/>
      <c r="F85" s="154" t="str">
        <f t="shared" si="11"/>
        <v>January</v>
      </c>
      <c r="G85" s="155" t="str">
        <f>_xlfn.LET(_xlpm.x,UPPER(TRIM(C85)),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85" s="155" t="str">
        <f t="shared" si="12"/>
        <v/>
      </c>
      <c r="I85" s="155">
        <f t="shared" si="13"/>
        <v>0</v>
      </c>
      <c r="J85" s="155">
        <v>2026</v>
      </c>
      <c r="K85" s="155" t="str">
        <f t="shared" si="14"/>
        <v>January20260</v>
      </c>
      <c r="M85" s="157"/>
      <c r="N85" s="157"/>
      <c r="O85" s="157"/>
      <c r="P85" s="157"/>
      <c r="Q85" s="157"/>
    </row>
    <row r="86" spans="1:17" s="156" customFormat="1" x14ac:dyDescent="0.25">
      <c r="A86" s="150">
        <f t="shared" si="10"/>
        <v>0</v>
      </c>
      <c r="B86" s="151"/>
      <c r="C86" s="152"/>
      <c r="D86" s="152">
        <v>0</v>
      </c>
      <c r="E86" s="153"/>
      <c r="F86" s="154" t="str">
        <f t="shared" si="11"/>
        <v>January</v>
      </c>
      <c r="G86" s="155" t="str">
        <f>_xlfn.LET(_xlpm.x,UPPER(TRIM(C86)),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86" s="155" t="str">
        <f t="shared" si="12"/>
        <v/>
      </c>
      <c r="I86" s="155">
        <f t="shared" si="13"/>
        <v>0</v>
      </c>
      <c r="J86" s="155">
        <v>2026</v>
      </c>
      <c r="K86" s="155" t="str">
        <f t="shared" si="14"/>
        <v>January20260</v>
      </c>
      <c r="M86" s="157"/>
      <c r="N86" s="157"/>
      <c r="O86" s="157"/>
      <c r="P86" s="157"/>
      <c r="Q86" s="157"/>
    </row>
    <row r="87" spans="1:17" s="156" customFormat="1" x14ac:dyDescent="0.25">
      <c r="A87" s="150">
        <f t="shared" si="10"/>
        <v>0</v>
      </c>
      <c r="B87" s="151"/>
      <c r="C87" s="152"/>
      <c r="D87" s="152">
        <v>0</v>
      </c>
      <c r="E87" s="153"/>
      <c r="F87" s="154" t="str">
        <f t="shared" si="11"/>
        <v>January</v>
      </c>
      <c r="G87" s="155" t="str">
        <f>_xlfn.LET(_xlpm.x,UPPER(TRIM(C87)),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87" s="155" t="str">
        <f t="shared" si="12"/>
        <v/>
      </c>
      <c r="I87" s="155">
        <f t="shared" si="13"/>
        <v>0</v>
      </c>
      <c r="J87" s="155">
        <v>2026</v>
      </c>
      <c r="K87" s="155" t="str">
        <f t="shared" si="14"/>
        <v>January20260</v>
      </c>
      <c r="M87" s="157"/>
      <c r="N87" s="157"/>
      <c r="O87" s="157"/>
      <c r="P87" s="157"/>
      <c r="Q87" s="157"/>
    </row>
    <row r="88" spans="1:17" s="156" customFormat="1" x14ac:dyDescent="0.25">
      <c r="A88" s="150">
        <f t="shared" si="10"/>
        <v>0</v>
      </c>
      <c r="B88" s="151"/>
      <c r="C88" s="152"/>
      <c r="D88" s="152">
        <v>0</v>
      </c>
      <c r="E88" s="153"/>
      <c r="F88" s="154" t="str">
        <f t="shared" si="11"/>
        <v>January</v>
      </c>
      <c r="G88" s="155" t="str">
        <f>_xlfn.LET(_xlpm.x,UPPER(TRIM(C88)),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88" s="155" t="str">
        <f t="shared" si="12"/>
        <v/>
      </c>
      <c r="I88" s="155">
        <f t="shared" si="13"/>
        <v>0</v>
      </c>
      <c r="J88" s="155">
        <v>2026</v>
      </c>
      <c r="K88" s="155" t="str">
        <f t="shared" si="14"/>
        <v>January20260</v>
      </c>
      <c r="M88" s="157"/>
      <c r="N88" s="157"/>
      <c r="O88" s="157"/>
      <c r="P88" s="157"/>
      <c r="Q88" s="157"/>
    </row>
    <row r="89" spans="1:17" s="156" customFormat="1" x14ac:dyDescent="0.25">
      <c r="A89" s="150">
        <f t="shared" si="10"/>
        <v>0</v>
      </c>
      <c r="B89" s="151"/>
      <c r="C89" s="152"/>
      <c r="D89" s="152">
        <v>0</v>
      </c>
      <c r="E89" s="153"/>
      <c r="F89" s="154" t="str">
        <f t="shared" si="11"/>
        <v>January</v>
      </c>
      <c r="G89" s="155" t="str">
        <f>_xlfn.LET(_xlpm.x,UPPER(TRIM(C89)),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89" s="155" t="str">
        <f t="shared" si="12"/>
        <v/>
      </c>
      <c r="I89" s="155">
        <f t="shared" si="13"/>
        <v>0</v>
      </c>
      <c r="J89" s="155">
        <v>2026</v>
      </c>
      <c r="K89" s="155" t="str">
        <f t="shared" si="14"/>
        <v>January20260</v>
      </c>
      <c r="M89" s="157"/>
      <c r="N89" s="157"/>
      <c r="O89" s="157"/>
      <c r="P89" s="157"/>
      <c r="Q89" s="157"/>
    </row>
    <row r="90" spans="1:17" s="156" customFormat="1" x14ac:dyDescent="0.25">
      <c r="A90" s="150">
        <f t="shared" si="10"/>
        <v>0</v>
      </c>
      <c r="B90" s="151"/>
      <c r="C90" s="152"/>
      <c r="D90" s="152">
        <v>0</v>
      </c>
      <c r="E90" s="153"/>
      <c r="F90" s="154" t="str">
        <f t="shared" si="11"/>
        <v>January</v>
      </c>
      <c r="G90" s="155" t="str">
        <f>_xlfn.LET(_xlpm.x,UPPER(TRIM(C90)),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90" s="155" t="str">
        <f t="shared" si="12"/>
        <v/>
      </c>
      <c r="I90" s="155">
        <f t="shared" si="13"/>
        <v>0</v>
      </c>
      <c r="J90" s="155">
        <v>2026</v>
      </c>
      <c r="K90" s="155" t="str">
        <f t="shared" si="14"/>
        <v>January20260</v>
      </c>
      <c r="M90" s="157"/>
      <c r="N90" s="157"/>
      <c r="O90" s="157"/>
      <c r="P90" s="157"/>
      <c r="Q90" s="157"/>
    </row>
    <row r="91" spans="1:17" s="156" customFormat="1" x14ac:dyDescent="0.25">
      <c r="A91" s="150">
        <f t="shared" si="10"/>
        <v>0</v>
      </c>
      <c r="B91" s="151"/>
      <c r="C91" s="152"/>
      <c r="D91" s="152">
        <v>0</v>
      </c>
      <c r="E91" s="153"/>
      <c r="F91" s="154" t="str">
        <f t="shared" si="11"/>
        <v>January</v>
      </c>
      <c r="G91" s="155" t="str">
        <f>_xlfn.LET(_xlpm.x,UPPER(TRIM(C91)),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91" s="155" t="str">
        <f t="shared" si="12"/>
        <v/>
      </c>
      <c r="I91" s="155">
        <f t="shared" si="13"/>
        <v>0</v>
      </c>
      <c r="J91" s="155">
        <v>2026</v>
      </c>
      <c r="K91" s="155" t="str">
        <f t="shared" si="14"/>
        <v>January20260</v>
      </c>
      <c r="M91" s="157"/>
      <c r="N91" s="157"/>
      <c r="O91" s="157"/>
      <c r="P91" s="157"/>
      <c r="Q91" s="157"/>
    </row>
    <row r="92" spans="1:17" s="156" customFormat="1" x14ac:dyDescent="0.25">
      <c r="A92" s="150">
        <f t="shared" si="10"/>
        <v>0</v>
      </c>
      <c r="B92" s="151"/>
      <c r="C92" s="152"/>
      <c r="D92" s="152">
        <v>0</v>
      </c>
      <c r="E92" s="153"/>
      <c r="F92" s="154" t="str">
        <f t="shared" si="11"/>
        <v>January</v>
      </c>
      <c r="G92" s="155" t="str">
        <f>_xlfn.LET(_xlpm.x,UPPER(TRIM(C92)),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92" s="155" t="str">
        <f t="shared" si="12"/>
        <v/>
      </c>
      <c r="I92" s="155">
        <f t="shared" si="13"/>
        <v>0</v>
      </c>
      <c r="J92" s="155">
        <v>2026</v>
      </c>
      <c r="K92" s="155" t="str">
        <f t="shared" si="14"/>
        <v>January20260</v>
      </c>
      <c r="M92" s="157"/>
      <c r="N92" s="157"/>
      <c r="O92" s="157"/>
      <c r="P92" s="157"/>
      <c r="Q92" s="157"/>
    </row>
    <row r="93" spans="1:17" s="156" customFormat="1" x14ac:dyDescent="0.25">
      <c r="A93" s="150">
        <f t="shared" si="10"/>
        <v>0</v>
      </c>
      <c r="B93" s="151"/>
      <c r="C93" s="152"/>
      <c r="D93" s="152">
        <v>0</v>
      </c>
      <c r="E93" s="153"/>
      <c r="F93" s="154" t="str">
        <f t="shared" si="11"/>
        <v>January</v>
      </c>
      <c r="G93" s="155" t="str">
        <f>_xlfn.LET(_xlpm.x,UPPER(TRIM(C93)),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93" s="155" t="str">
        <f t="shared" si="12"/>
        <v/>
      </c>
      <c r="I93" s="155">
        <f t="shared" si="13"/>
        <v>0</v>
      </c>
      <c r="J93" s="155">
        <v>2026</v>
      </c>
      <c r="K93" s="155" t="str">
        <f t="shared" si="14"/>
        <v>January20260</v>
      </c>
      <c r="M93" s="157"/>
      <c r="N93" s="157"/>
      <c r="O93" s="157"/>
      <c r="P93" s="157"/>
      <c r="Q93" s="157"/>
    </row>
    <row r="94" spans="1:17" s="156" customFormat="1" x14ac:dyDescent="0.25">
      <c r="A94" s="150">
        <f t="shared" si="10"/>
        <v>0</v>
      </c>
      <c r="B94" s="151"/>
      <c r="C94" s="152"/>
      <c r="D94" s="152">
        <v>0</v>
      </c>
      <c r="E94" s="153"/>
      <c r="F94" s="154" t="str">
        <f t="shared" si="11"/>
        <v>January</v>
      </c>
      <c r="G94" s="155" t="str">
        <f>_xlfn.LET(_xlpm.x,UPPER(TRIM(C94)),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94" s="155" t="str">
        <f t="shared" si="12"/>
        <v/>
      </c>
      <c r="I94" s="155">
        <f t="shared" si="13"/>
        <v>0</v>
      </c>
      <c r="J94" s="155">
        <v>2026</v>
      </c>
      <c r="K94" s="155" t="str">
        <f t="shared" si="14"/>
        <v>January20260</v>
      </c>
      <c r="M94" s="157"/>
      <c r="N94" s="157"/>
      <c r="O94" s="157"/>
      <c r="P94" s="157"/>
      <c r="Q94" s="157"/>
    </row>
    <row r="95" spans="1:17" s="156" customFormat="1" x14ac:dyDescent="0.25">
      <c r="A95" s="150">
        <f t="shared" si="10"/>
        <v>0</v>
      </c>
      <c r="B95" s="151"/>
      <c r="C95" s="152"/>
      <c r="D95" s="152">
        <v>0</v>
      </c>
      <c r="E95" s="153"/>
      <c r="F95" s="154" t="str">
        <f t="shared" si="11"/>
        <v>January</v>
      </c>
      <c r="G95" s="155" t="str">
        <f>_xlfn.LET(_xlpm.x,UPPER(TRIM(C95)),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95" s="155" t="str">
        <f t="shared" si="12"/>
        <v/>
      </c>
      <c r="I95" s="155">
        <f t="shared" si="13"/>
        <v>0</v>
      </c>
      <c r="J95" s="155">
        <v>2026</v>
      </c>
      <c r="K95" s="155" t="str">
        <f t="shared" si="14"/>
        <v>January20260</v>
      </c>
      <c r="M95" s="157"/>
      <c r="N95" s="157"/>
      <c r="O95" s="157"/>
      <c r="P95" s="157"/>
      <c r="Q95" s="157"/>
    </row>
    <row r="96" spans="1:17" s="156" customFormat="1" x14ac:dyDescent="0.25">
      <c r="A96" s="150">
        <f t="shared" si="10"/>
        <v>0</v>
      </c>
      <c r="B96" s="151"/>
      <c r="C96" s="152"/>
      <c r="D96" s="152">
        <v>0</v>
      </c>
      <c r="E96" s="153"/>
      <c r="F96" s="154" t="str">
        <f t="shared" si="11"/>
        <v>January</v>
      </c>
      <c r="G96" s="155" t="str">
        <f>_xlfn.LET(_xlpm.x,UPPER(TRIM(C96)),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96" s="155" t="str">
        <f t="shared" si="12"/>
        <v/>
      </c>
      <c r="I96" s="155">
        <f t="shared" si="13"/>
        <v>0</v>
      </c>
      <c r="J96" s="155">
        <v>2026</v>
      </c>
      <c r="K96" s="155" t="str">
        <f t="shared" si="14"/>
        <v>January20260</v>
      </c>
      <c r="M96" s="157"/>
      <c r="N96" s="157"/>
      <c r="O96" s="157"/>
      <c r="P96" s="157"/>
      <c r="Q96" s="157"/>
    </row>
    <row r="97" spans="1:17" s="156" customFormat="1" x14ac:dyDescent="0.25">
      <c r="A97" s="150">
        <f t="shared" si="10"/>
        <v>0</v>
      </c>
      <c r="B97" s="151"/>
      <c r="C97" s="152"/>
      <c r="D97" s="152">
        <v>0</v>
      </c>
      <c r="E97" s="153"/>
      <c r="F97" s="154" t="str">
        <f t="shared" si="11"/>
        <v>January</v>
      </c>
      <c r="G97" s="155" t="str">
        <f>_xlfn.LET(_xlpm.x,UPPER(TRIM(C97)),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97" s="155" t="str">
        <f t="shared" si="12"/>
        <v/>
      </c>
      <c r="I97" s="155">
        <f t="shared" si="13"/>
        <v>0</v>
      </c>
      <c r="J97" s="155">
        <v>2026</v>
      </c>
      <c r="K97" s="155" t="str">
        <f t="shared" si="14"/>
        <v>January20260</v>
      </c>
      <c r="M97" s="157"/>
      <c r="N97" s="157"/>
      <c r="O97" s="157"/>
      <c r="P97" s="157"/>
      <c r="Q97" s="157"/>
    </row>
    <row r="98" spans="1:17" s="156" customFormat="1" x14ac:dyDescent="0.25">
      <c r="A98" s="150">
        <f t="shared" ref="A98:A129" si="15">B98</f>
        <v>0</v>
      </c>
      <c r="B98" s="151"/>
      <c r="C98" s="152"/>
      <c r="D98" s="152">
        <v>0</v>
      </c>
      <c r="E98" s="153"/>
      <c r="F98" s="154" t="str">
        <f t="shared" ref="F98:F129" si="16">TEXT(B98,"mmmm")</f>
        <v>January</v>
      </c>
      <c r="G98" s="155" t="str">
        <f>_xlfn.LET(_xlpm.x,UPPER(TRIM(C98)),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98" s="155" t="str">
        <f t="shared" ref="H98:H129" si="17">IF(ISNUMBER(SEARCH("2401",C98)),"2401"&amp;IF(ISNUMBER(SEARCH("(BL)",C98))," BL",""),
IF(ISNUMBER(SEARCH("3601",C98)),"3601"&amp;IF(ISNUMBER(SEARCH("(BL)",C98))," BL",""),
IF(ISNUMBER(SEARCH("4801",C98)),"4801"&amp;IF(ISNUMBER(SEARCH("(BL)",C98))," BL",""),
IF(ISNUMBER(SEARCH("5601",C98)),"5601"&amp;IF(ISNUMBER(SEARCH("(BL)",C98))," BL",""),
IF(ISNUMBER(SEARCH("5602",C98)),"5602"&amp;IF(ISNUMBER(SEARCH("(BL)",C98))," BL",""),
IF(ISNUMBER(SEARCH("5603",C98)),"5603"&amp;IF(ISNUMBER(SEARCH("(BL)",C98))," BL",""),
IF(ISNUMBER(SEARCH("5606",C98)),"5606"&amp;IF(ISNUMBER(SEARCH("(BL)",C98))," BL",""),
IF(ISNUMBER(SEARCH("5607",C98)),"5607"&amp;IF(ISNUMBER(SEARCH("(BL)",C98))," BL",""),
""))))))))</f>
        <v/>
      </c>
      <c r="I98" s="155">
        <f t="shared" ref="I98:I129" si="18">IF(ISNUMBER(SEARCH("body",D98)),"body",IF(ISNUMBER(SEARCH("blade",D98)),"blade",0))</f>
        <v>0</v>
      </c>
      <c r="J98" s="155">
        <v>2026</v>
      </c>
      <c r="K98" s="155" t="str">
        <f t="shared" ref="K98:K129" si="19">F98&amp;G98&amp;J98&amp;I98</f>
        <v>January20260</v>
      </c>
      <c r="M98" s="157"/>
      <c r="N98" s="157"/>
      <c r="O98" s="157"/>
      <c r="P98" s="157"/>
      <c r="Q98" s="157"/>
    </row>
    <row r="99" spans="1:17" s="156" customFormat="1" x14ac:dyDescent="0.25">
      <c r="A99" s="150">
        <f t="shared" si="15"/>
        <v>0</v>
      </c>
      <c r="B99" s="151"/>
      <c r="C99" s="152"/>
      <c r="D99" s="152">
        <v>0</v>
      </c>
      <c r="E99" s="153"/>
      <c r="F99" s="154" t="str">
        <f t="shared" si="16"/>
        <v>January</v>
      </c>
      <c r="G99" s="155" t="str">
        <f>_xlfn.LET(_xlpm.x,UPPER(TRIM(C99)),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99" s="155" t="str">
        <f t="shared" si="17"/>
        <v/>
      </c>
      <c r="I99" s="155">
        <f t="shared" si="18"/>
        <v>0</v>
      </c>
      <c r="J99" s="155">
        <v>2026</v>
      </c>
      <c r="K99" s="155" t="str">
        <f t="shared" si="19"/>
        <v>January20260</v>
      </c>
      <c r="M99" s="157"/>
      <c r="N99" s="157"/>
      <c r="O99" s="157"/>
      <c r="P99" s="157"/>
      <c r="Q99" s="157"/>
    </row>
    <row r="100" spans="1:17" s="156" customFormat="1" x14ac:dyDescent="0.25">
      <c r="A100" s="150">
        <f t="shared" si="15"/>
        <v>0</v>
      </c>
      <c r="B100" s="151"/>
      <c r="C100" s="152"/>
      <c r="D100" s="152">
        <v>0</v>
      </c>
      <c r="E100" s="153"/>
      <c r="F100" s="154" t="str">
        <f t="shared" si="16"/>
        <v>January</v>
      </c>
      <c r="G100" s="155" t="str">
        <f>_xlfn.LET(_xlpm.x,UPPER(TRIM(C100)),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00" s="155" t="str">
        <f t="shared" si="17"/>
        <v/>
      </c>
      <c r="I100" s="155">
        <f t="shared" si="18"/>
        <v>0</v>
      </c>
      <c r="J100" s="155">
        <v>2026</v>
      </c>
      <c r="K100" s="155" t="str">
        <f t="shared" si="19"/>
        <v>January20260</v>
      </c>
      <c r="M100" s="157"/>
      <c r="N100" s="157"/>
      <c r="O100" s="157"/>
      <c r="P100" s="157"/>
      <c r="Q100" s="157"/>
    </row>
    <row r="101" spans="1:17" s="156" customFormat="1" x14ac:dyDescent="0.25">
      <c r="A101" s="150">
        <f t="shared" si="15"/>
        <v>0</v>
      </c>
      <c r="B101" s="151"/>
      <c r="C101" s="152"/>
      <c r="D101" s="152">
        <v>0</v>
      </c>
      <c r="E101" s="153"/>
      <c r="F101" s="154" t="str">
        <f t="shared" si="16"/>
        <v>January</v>
      </c>
      <c r="G101" s="155" t="str">
        <f>_xlfn.LET(_xlpm.x,UPPER(TRIM(C101)),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01" s="155" t="str">
        <f t="shared" si="17"/>
        <v/>
      </c>
      <c r="I101" s="155">
        <f t="shared" si="18"/>
        <v>0</v>
      </c>
      <c r="J101" s="155">
        <v>2026</v>
      </c>
      <c r="K101" s="155" t="str">
        <f t="shared" si="19"/>
        <v>January20260</v>
      </c>
      <c r="M101" s="157"/>
      <c r="N101" s="157"/>
      <c r="O101" s="157"/>
      <c r="P101" s="157"/>
      <c r="Q101" s="157"/>
    </row>
    <row r="102" spans="1:17" s="156" customFormat="1" x14ac:dyDescent="0.25">
      <c r="A102" s="150">
        <f t="shared" si="15"/>
        <v>0</v>
      </c>
      <c r="B102" s="151"/>
      <c r="C102" s="152"/>
      <c r="D102" s="152">
        <v>0</v>
      </c>
      <c r="E102" s="153"/>
      <c r="F102" s="154" t="str">
        <f t="shared" si="16"/>
        <v>January</v>
      </c>
      <c r="G102" s="155" t="str">
        <f>_xlfn.LET(_xlpm.x,UPPER(TRIM(C102)),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02" s="155" t="str">
        <f t="shared" si="17"/>
        <v/>
      </c>
      <c r="I102" s="155">
        <f t="shared" si="18"/>
        <v>0</v>
      </c>
      <c r="J102" s="155">
        <v>2026</v>
      </c>
      <c r="K102" s="155" t="str">
        <f t="shared" si="19"/>
        <v>January20260</v>
      </c>
      <c r="M102" s="157"/>
      <c r="N102" s="157"/>
      <c r="O102" s="157"/>
      <c r="P102" s="157"/>
      <c r="Q102" s="157"/>
    </row>
    <row r="103" spans="1:17" s="156" customFormat="1" x14ac:dyDescent="0.25">
      <c r="A103" s="150">
        <f t="shared" si="15"/>
        <v>0</v>
      </c>
      <c r="B103" s="151"/>
      <c r="C103" s="152"/>
      <c r="D103" s="152">
        <v>0</v>
      </c>
      <c r="E103" s="153"/>
      <c r="F103" s="154" t="str">
        <f t="shared" si="16"/>
        <v>January</v>
      </c>
      <c r="G103" s="155" t="str">
        <f>_xlfn.LET(_xlpm.x,UPPER(TRIM(C103)),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03" s="155" t="str">
        <f t="shared" si="17"/>
        <v/>
      </c>
      <c r="I103" s="155">
        <f t="shared" si="18"/>
        <v>0</v>
      </c>
      <c r="J103" s="155">
        <v>2026</v>
      </c>
      <c r="K103" s="155" t="str">
        <f t="shared" si="19"/>
        <v>January20260</v>
      </c>
      <c r="M103" s="157"/>
      <c r="N103" s="157"/>
      <c r="O103" s="157"/>
      <c r="P103" s="157"/>
      <c r="Q103" s="157"/>
    </row>
    <row r="104" spans="1:17" s="156" customFormat="1" x14ac:dyDescent="0.25">
      <c r="A104" s="150">
        <f t="shared" si="15"/>
        <v>0</v>
      </c>
      <c r="B104" s="151"/>
      <c r="C104" s="152"/>
      <c r="D104" s="152">
        <v>0</v>
      </c>
      <c r="E104" s="153"/>
      <c r="F104" s="154" t="str">
        <f t="shared" si="16"/>
        <v>January</v>
      </c>
      <c r="G104" s="155" t="str">
        <f>_xlfn.LET(_xlpm.x,UPPER(TRIM(C104)),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04" s="155" t="str">
        <f t="shared" si="17"/>
        <v/>
      </c>
      <c r="I104" s="155">
        <f t="shared" si="18"/>
        <v>0</v>
      </c>
      <c r="J104" s="155">
        <v>2026</v>
      </c>
      <c r="K104" s="155" t="str">
        <f t="shared" si="19"/>
        <v>January20260</v>
      </c>
      <c r="M104" s="157"/>
      <c r="N104" s="157"/>
      <c r="O104" s="157"/>
      <c r="P104" s="157"/>
      <c r="Q104" s="157"/>
    </row>
    <row r="105" spans="1:17" s="156" customFormat="1" x14ac:dyDescent="0.25">
      <c r="A105" s="150">
        <f t="shared" si="15"/>
        <v>0</v>
      </c>
      <c r="B105" s="151"/>
      <c r="C105" s="152"/>
      <c r="D105" s="152">
        <v>0</v>
      </c>
      <c r="E105" s="153"/>
      <c r="F105" s="154" t="str">
        <f t="shared" si="16"/>
        <v>January</v>
      </c>
      <c r="G105" s="155" t="str">
        <f>_xlfn.LET(_xlpm.x,UPPER(TRIM(C105)),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05" s="155" t="str">
        <f t="shared" si="17"/>
        <v/>
      </c>
      <c r="I105" s="155">
        <f t="shared" si="18"/>
        <v>0</v>
      </c>
      <c r="J105" s="155">
        <v>2026</v>
      </c>
      <c r="K105" s="155" t="str">
        <f t="shared" si="19"/>
        <v>January20260</v>
      </c>
      <c r="M105" s="157"/>
      <c r="N105" s="157"/>
      <c r="O105" s="157"/>
      <c r="P105" s="157"/>
      <c r="Q105" s="157"/>
    </row>
    <row r="106" spans="1:17" s="156" customFormat="1" x14ac:dyDescent="0.25">
      <c r="A106" s="150">
        <f t="shared" si="15"/>
        <v>0</v>
      </c>
      <c r="B106" s="151"/>
      <c r="C106" s="152"/>
      <c r="D106" s="152">
        <v>0</v>
      </c>
      <c r="E106" s="153"/>
      <c r="F106" s="154" t="str">
        <f t="shared" si="16"/>
        <v>January</v>
      </c>
      <c r="G106" s="155" t="str">
        <f>_xlfn.LET(_xlpm.x,UPPER(TRIM(C106)),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06" s="155" t="str">
        <f t="shared" si="17"/>
        <v/>
      </c>
      <c r="I106" s="155">
        <f t="shared" si="18"/>
        <v>0</v>
      </c>
      <c r="J106" s="155">
        <v>2026</v>
      </c>
      <c r="K106" s="155" t="str">
        <f t="shared" si="19"/>
        <v>January20260</v>
      </c>
      <c r="M106" s="157"/>
      <c r="N106" s="157"/>
      <c r="O106" s="157"/>
      <c r="P106" s="157"/>
      <c r="Q106" s="157"/>
    </row>
    <row r="107" spans="1:17" s="156" customFormat="1" x14ac:dyDescent="0.25">
      <c r="A107" s="150">
        <f t="shared" si="15"/>
        <v>0</v>
      </c>
      <c r="B107" s="151"/>
      <c r="C107" s="152"/>
      <c r="D107" s="152">
        <v>0</v>
      </c>
      <c r="E107" s="153"/>
      <c r="F107" s="154" t="str">
        <f t="shared" si="16"/>
        <v>January</v>
      </c>
      <c r="G107" s="155" t="str">
        <f>_xlfn.LET(_xlpm.x,UPPER(TRIM(C107)),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07" s="155" t="str">
        <f t="shared" si="17"/>
        <v/>
      </c>
      <c r="I107" s="155">
        <f t="shared" si="18"/>
        <v>0</v>
      </c>
      <c r="J107" s="155">
        <v>2026</v>
      </c>
      <c r="K107" s="155" t="str">
        <f t="shared" si="19"/>
        <v>January20260</v>
      </c>
      <c r="M107" s="157"/>
      <c r="N107" s="157"/>
      <c r="O107" s="157"/>
      <c r="P107" s="157"/>
      <c r="Q107" s="157"/>
    </row>
    <row r="108" spans="1:17" s="156" customFormat="1" x14ac:dyDescent="0.25">
      <c r="A108" s="150">
        <f t="shared" si="15"/>
        <v>0</v>
      </c>
      <c r="B108" s="151"/>
      <c r="C108" s="152"/>
      <c r="D108" s="152">
        <v>0</v>
      </c>
      <c r="E108" s="153"/>
      <c r="F108" s="154" t="str">
        <f t="shared" si="16"/>
        <v>January</v>
      </c>
      <c r="G108" s="155" t="str">
        <f>_xlfn.LET(_xlpm.x,UPPER(TRIM(C108)),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08" s="155" t="str">
        <f t="shared" si="17"/>
        <v/>
      </c>
      <c r="I108" s="155">
        <f t="shared" si="18"/>
        <v>0</v>
      </c>
      <c r="J108" s="155">
        <v>2026</v>
      </c>
      <c r="K108" s="155" t="str">
        <f t="shared" si="19"/>
        <v>January20260</v>
      </c>
      <c r="M108" s="157"/>
      <c r="N108" s="157"/>
      <c r="O108" s="157"/>
      <c r="P108" s="157"/>
      <c r="Q108" s="157"/>
    </row>
    <row r="109" spans="1:17" s="156" customFormat="1" x14ac:dyDescent="0.25">
      <c r="A109" s="150">
        <f t="shared" si="15"/>
        <v>0</v>
      </c>
      <c r="B109" s="151"/>
      <c r="C109" s="152"/>
      <c r="D109" s="152">
        <v>0</v>
      </c>
      <c r="E109" s="153"/>
      <c r="F109" s="154" t="str">
        <f t="shared" si="16"/>
        <v>January</v>
      </c>
      <c r="G109" s="155" t="str">
        <f>_xlfn.LET(_xlpm.x,UPPER(TRIM(C109)),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09" s="155" t="str">
        <f t="shared" si="17"/>
        <v/>
      </c>
      <c r="I109" s="155">
        <f t="shared" si="18"/>
        <v>0</v>
      </c>
      <c r="J109" s="155">
        <v>2026</v>
      </c>
      <c r="K109" s="155" t="str">
        <f t="shared" si="19"/>
        <v>January20260</v>
      </c>
      <c r="M109" s="157"/>
      <c r="N109" s="157"/>
      <c r="O109" s="157"/>
      <c r="P109" s="157"/>
      <c r="Q109" s="157"/>
    </row>
    <row r="110" spans="1:17" s="156" customFormat="1" x14ac:dyDescent="0.25">
      <c r="A110" s="150">
        <f t="shared" si="15"/>
        <v>0</v>
      </c>
      <c r="B110" s="151"/>
      <c r="C110" s="152"/>
      <c r="D110" s="152">
        <v>0</v>
      </c>
      <c r="E110" s="153"/>
      <c r="F110" s="154" t="str">
        <f t="shared" si="16"/>
        <v>January</v>
      </c>
      <c r="G110" s="155" t="str">
        <f>_xlfn.LET(_xlpm.x,UPPER(TRIM(C110)),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10" s="155" t="str">
        <f t="shared" si="17"/>
        <v/>
      </c>
      <c r="I110" s="155">
        <f t="shared" si="18"/>
        <v>0</v>
      </c>
      <c r="J110" s="155">
        <v>2026</v>
      </c>
      <c r="K110" s="155" t="str">
        <f t="shared" si="19"/>
        <v>January20260</v>
      </c>
      <c r="M110" s="157"/>
      <c r="N110" s="157"/>
      <c r="O110" s="157"/>
      <c r="P110" s="157"/>
      <c r="Q110" s="157"/>
    </row>
    <row r="111" spans="1:17" s="156" customFormat="1" x14ac:dyDescent="0.25">
      <c r="A111" s="150">
        <f t="shared" si="15"/>
        <v>0</v>
      </c>
      <c r="B111" s="151"/>
      <c r="C111" s="152"/>
      <c r="D111" s="152">
        <v>0</v>
      </c>
      <c r="E111" s="153"/>
      <c r="F111" s="154" t="str">
        <f t="shared" si="16"/>
        <v>January</v>
      </c>
      <c r="G111" s="155" t="str">
        <f>_xlfn.LET(_xlpm.x,UPPER(TRIM(C111)),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11" s="155" t="str">
        <f t="shared" si="17"/>
        <v/>
      </c>
      <c r="I111" s="155">
        <f t="shared" si="18"/>
        <v>0</v>
      </c>
      <c r="J111" s="155">
        <v>2026</v>
      </c>
      <c r="K111" s="155" t="str">
        <f t="shared" si="19"/>
        <v>January20260</v>
      </c>
      <c r="M111" s="157"/>
      <c r="N111" s="157"/>
      <c r="O111" s="157"/>
      <c r="P111" s="157"/>
      <c r="Q111" s="157"/>
    </row>
    <row r="112" spans="1:17" s="156" customFormat="1" x14ac:dyDescent="0.25">
      <c r="A112" s="150">
        <f t="shared" si="15"/>
        <v>0</v>
      </c>
      <c r="B112" s="151"/>
      <c r="C112" s="152"/>
      <c r="D112" s="152">
        <v>0</v>
      </c>
      <c r="E112" s="153"/>
      <c r="F112" s="154" t="str">
        <f t="shared" si="16"/>
        <v>January</v>
      </c>
      <c r="G112" s="155" t="str">
        <f>_xlfn.LET(_xlpm.x,UPPER(TRIM(C112)),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12" s="155" t="str">
        <f t="shared" si="17"/>
        <v/>
      </c>
      <c r="I112" s="155">
        <f t="shared" si="18"/>
        <v>0</v>
      </c>
      <c r="J112" s="155">
        <v>2026</v>
      </c>
      <c r="K112" s="155" t="str">
        <f t="shared" si="19"/>
        <v>January20260</v>
      </c>
      <c r="M112" s="157"/>
      <c r="N112" s="157"/>
      <c r="O112" s="157"/>
      <c r="P112" s="157"/>
      <c r="Q112" s="157"/>
    </row>
    <row r="113" spans="1:17" s="156" customFormat="1" x14ac:dyDescent="0.25">
      <c r="A113" s="150">
        <f t="shared" si="15"/>
        <v>0</v>
      </c>
      <c r="B113" s="151"/>
      <c r="C113" s="152"/>
      <c r="D113" s="152">
        <v>0</v>
      </c>
      <c r="E113" s="153"/>
      <c r="F113" s="154" t="str">
        <f t="shared" si="16"/>
        <v>January</v>
      </c>
      <c r="G113" s="155" t="str">
        <f>_xlfn.LET(_xlpm.x,UPPER(TRIM(C113)),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13" s="155" t="str">
        <f t="shared" si="17"/>
        <v/>
      </c>
      <c r="I113" s="155">
        <f t="shared" si="18"/>
        <v>0</v>
      </c>
      <c r="J113" s="155">
        <v>2026</v>
      </c>
      <c r="K113" s="155" t="str">
        <f t="shared" si="19"/>
        <v>January20260</v>
      </c>
      <c r="M113" s="157"/>
      <c r="N113" s="157"/>
      <c r="O113" s="157"/>
      <c r="P113" s="157"/>
      <c r="Q113" s="157"/>
    </row>
    <row r="114" spans="1:17" s="156" customFormat="1" x14ac:dyDescent="0.25">
      <c r="A114" s="150">
        <f t="shared" si="15"/>
        <v>0</v>
      </c>
      <c r="B114" s="151"/>
      <c r="C114" s="152"/>
      <c r="D114" s="152">
        <v>0</v>
      </c>
      <c r="E114" s="153"/>
      <c r="F114" s="154" t="str">
        <f t="shared" si="16"/>
        <v>January</v>
      </c>
      <c r="G114" s="155" t="str">
        <f>_xlfn.LET(_xlpm.x,UPPER(TRIM(C114)),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14" s="155" t="str">
        <f t="shared" si="17"/>
        <v/>
      </c>
      <c r="I114" s="155">
        <f t="shared" si="18"/>
        <v>0</v>
      </c>
      <c r="J114" s="155">
        <v>2026</v>
      </c>
      <c r="K114" s="155" t="str">
        <f t="shared" si="19"/>
        <v>January20260</v>
      </c>
      <c r="M114" s="157"/>
      <c r="N114" s="157"/>
      <c r="O114" s="157"/>
      <c r="P114" s="157"/>
      <c r="Q114" s="157"/>
    </row>
    <row r="115" spans="1:17" s="156" customFormat="1" x14ac:dyDescent="0.25">
      <c r="A115" s="150">
        <f t="shared" si="15"/>
        <v>0</v>
      </c>
      <c r="B115" s="151"/>
      <c r="C115" s="152"/>
      <c r="D115" s="152">
        <v>0</v>
      </c>
      <c r="E115" s="153"/>
      <c r="F115" s="154" t="str">
        <f t="shared" si="16"/>
        <v>January</v>
      </c>
      <c r="G115" s="155" t="str">
        <f>_xlfn.LET(_xlpm.x,UPPER(TRIM(C115)),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15" s="155" t="str">
        <f t="shared" si="17"/>
        <v/>
      </c>
      <c r="I115" s="155">
        <f t="shared" si="18"/>
        <v>0</v>
      </c>
      <c r="J115" s="155">
        <v>2026</v>
      </c>
      <c r="K115" s="155" t="str">
        <f t="shared" si="19"/>
        <v>January20260</v>
      </c>
      <c r="M115" s="157"/>
      <c r="N115" s="157"/>
      <c r="O115" s="157"/>
      <c r="P115" s="157"/>
      <c r="Q115" s="157"/>
    </row>
    <row r="116" spans="1:17" s="156" customFormat="1" x14ac:dyDescent="0.25">
      <c r="A116" s="150">
        <f t="shared" si="15"/>
        <v>0</v>
      </c>
      <c r="B116" s="151"/>
      <c r="C116" s="152"/>
      <c r="D116" s="152">
        <v>0</v>
      </c>
      <c r="E116" s="153"/>
      <c r="F116" s="154" t="str">
        <f t="shared" si="16"/>
        <v>January</v>
      </c>
      <c r="G116" s="155" t="str">
        <f>_xlfn.LET(_xlpm.x,UPPER(TRIM(C116)),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16" s="155" t="str">
        <f t="shared" si="17"/>
        <v/>
      </c>
      <c r="I116" s="155">
        <f t="shared" si="18"/>
        <v>0</v>
      </c>
      <c r="J116" s="155">
        <v>2026</v>
      </c>
      <c r="K116" s="155" t="str">
        <f t="shared" si="19"/>
        <v>January20260</v>
      </c>
      <c r="M116" s="157"/>
      <c r="N116" s="157"/>
      <c r="O116" s="157"/>
      <c r="P116" s="157"/>
      <c r="Q116" s="157"/>
    </row>
    <row r="117" spans="1:17" s="156" customFormat="1" x14ac:dyDescent="0.25">
      <c r="A117" s="150">
        <f t="shared" si="15"/>
        <v>0</v>
      </c>
      <c r="B117" s="151"/>
      <c r="C117" s="152"/>
      <c r="D117" s="152">
        <v>0</v>
      </c>
      <c r="E117" s="153"/>
      <c r="F117" s="154" t="str">
        <f t="shared" si="16"/>
        <v>January</v>
      </c>
      <c r="G117" s="155" t="str">
        <f>_xlfn.LET(_xlpm.x,UPPER(TRIM(C117)),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17" s="155" t="str">
        <f t="shared" si="17"/>
        <v/>
      </c>
      <c r="I117" s="155">
        <f t="shared" si="18"/>
        <v>0</v>
      </c>
      <c r="J117" s="155">
        <v>2026</v>
      </c>
      <c r="K117" s="155" t="str">
        <f t="shared" si="19"/>
        <v>January20260</v>
      </c>
      <c r="M117" s="157"/>
      <c r="N117" s="157"/>
      <c r="O117" s="157"/>
      <c r="P117" s="157"/>
      <c r="Q117" s="157"/>
    </row>
    <row r="118" spans="1:17" s="156" customFormat="1" x14ac:dyDescent="0.25">
      <c r="A118" s="150">
        <f t="shared" si="15"/>
        <v>0</v>
      </c>
      <c r="B118" s="151"/>
      <c r="C118" s="152"/>
      <c r="D118" s="152">
        <v>0</v>
      </c>
      <c r="E118" s="153"/>
      <c r="F118" s="154" t="str">
        <f t="shared" si="16"/>
        <v>January</v>
      </c>
      <c r="G118" s="155" t="str">
        <f>_xlfn.LET(_xlpm.x,UPPER(TRIM(C118)),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18" s="155" t="str">
        <f t="shared" si="17"/>
        <v/>
      </c>
      <c r="I118" s="155">
        <f t="shared" si="18"/>
        <v>0</v>
      </c>
      <c r="J118" s="155">
        <v>2026</v>
      </c>
      <c r="K118" s="155" t="str">
        <f t="shared" si="19"/>
        <v>January20260</v>
      </c>
      <c r="M118" s="157"/>
      <c r="N118" s="157"/>
      <c r="O118" s="157"/>
      <c r="P118" s="157"/>
      <c r="Q118" s="157"/>
    </row>
    <row r="119" spans="1:17" s="156" customFormat="1" x14ac:dyDescent="0.25">
      <c r="A119" s="150">
        <f t="shared" si="15"/>
        <v>0</v>
      </c>
      <c r="B119" s="151"/>
      <c r="C119" s="152"/>
      <c r="D119" s="152">
        <v>0</v>
      </c>
      <c r="E119" s="153"/>
      <c r="F119" s="154" t="str">
        <f t="shared" si="16"/>
        <v>January</v>
      </c>
      <c r="G119" s="155" t="str">
        <f>_xlfn.LET(_xlpm.x,UPPER(TRIM(C119)),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19" s="155" t="str">
        <f t="shared" si="17"/>
        <v/>
      </c>
      <c r="I119" s="155">
        <f t="shared" si="18"/>
        <v>0</v>
      </c>
      <c r="J119" s="155">
        <v>2026</v>
      </c>
      <c r="K119" s="155" t="str">
        <f t="shared" si="19"/>
        <v>January20260</v>
      </c>
      <c r="M119" s="157"/>
      <c r="N119" s="157"/>
      <c r="O119" s="157"/>
      <c r="P119" s="157"/>
      <c r="Q119" s="157"/>
    </row>
    <row r="120" spans="1:17" s="156" customFormat="1" x14ac:dyDescent="0.25">
      <c r="A120" s="150">
        <f t="shared" si="15"/>
        <v>0</v>
      </c>
      <c r="B120" s="151"/>
      <c r="C120" s="152"/>
      <c r="D120" s="152">
        <v>0</v>
      </c>
      <c r="E120" s="153"/>
      <c r="F120" s="154" t="str">
        <f t="shared" si="16"/>
        <v>January</v>
      </c>
      <c r="G120" s="155" t="str">
        <f>_xlfn.LET(_xlpm.x,UPPER(TRIM(C120)),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20" s="155" t="str">
        <f t="shared" si="17"/>
        <v/>
      </c>
      <c r="I120" s="155">
        <f t="shared" si="18"/>
        <v>0</v>
      </c>
      <c r="J120" s="155">
        <v>2026</v>
      </c>
      <c r="K120" s="155" t="str">
        <f t="shared" si="19"/>
        <v>January20260</v>
      </c>
      <c r="M120" s="157"/>
      <c r="N120" s="157"/>
      <c r="O120" s="157"/>
      <c r="P120" s="157"/>
      <c r="Q120" s="157"/>
    </row>
    <row r="121" spans="1:17" s="156" customFormat="1" x14ac:dyDescent="0.25">
      <c r="A121" s="150">
        <f t="shared" si="15"/>
        <v>0</v>
      </c>
      <c r="B121" s="151"/>
      <c r="C121" s="152"/>
      <c r="D121" s="152">
        <v>0</v>
      </c>
      <c r="E121" s="153"/>
      <c r="F121" s="154" t="str">
        <f t="shared" si="16"/>
        <v>January</v>
      </c>
      <c r="G121" s="155" t="str">
        <f>_xlfn.LET(_xlpm.x,UPPER(TRIM(C121)),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21" s="155" t="str">
        <f t="shared" si="17"/>
        <v/>
      </c>
      <c r="I121" s="155">
        <f t="shared" si="18"/>
        <v>0</v>
      </c>
      <c r="J121" s="155">
        <v>2026</v>
      </c>
      <c r="K121" s="155" t="str">
        <f t="shared" si="19"/>
        <v>January20260</v>
      </c>
      <c r="M121" s="157"/>
      <c r="N121" s="157"/>
      <c r="O121" s="157"/>
      <c r="P121" s="157"/>
      <c r="Q121" s="157"/>
    </row>
    <row r="122" spans="1:17" s="156" customFormat="1" x14ac:dyDescent="0.25">
      <c r="A122" s="150">
        <f t="shared" si="15"/>
        <v>0</v>
      </c>
      <c r="B122" s="151"/>
      <c r="C122" s="152"/>
      <c r="D122" s="152">
        <v>0</v>
      </c>
      <c r="E122" s="153"/>
      <c r="F122" s="154" t="str">
        <f t="shared" si="16"/>
        <v>January</v>
      </c>
      <c r="G122" s="155" t="str">
        <f>_xlfn.LET(_xlpm.x,UPPER(TRIM(C122)),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22" s="155" t="str">
        <f t="shared" si="17"/>
        <v/>
      </c>
      <c r="I122" s="155">
        <f t="shared" si="18"/>
        <v>0</v>
      </c>
      <c r="J122" s="155">
        <v>2026</v>
      </c>
      <c r="K122" s="155" t="str">
        <f t="shared" si="19"/>
        <v>January20260</v>
      </c>
      <c r="M122" s="157"/>
      <c r="N122" s="157"/>
      <c r="O122" s="157"/>
      <c r="P122" s="157"/>
      <c r="Q122" s="157"/>
    </row>
    <row r="123" spans="1:17" s="156" customFormat="1" x14ac:dyDescent="0.25">
      <c r="A123" s="150">
        <f t="shared" si="15"/>
        <v>0</v>
      </c>
      <c r="B123" s="151"/>
      <c r="C123" s="152"/>
      <c r="D123" s="152">
        <v>0</v>
      </c>
      <c r="E123" s="153"/>
      <c r="F123" s="154" t="str">
        <f t="shared" si="16"/>
        <v>January</v>
      </c>
      <c r="G123" s="155" t="str">
        <f>_xlfn.LET(_xlpm.x,UPPER(TRIM(C123)),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23" s="155" t="str">
        <f t="shared" si="17"/>
        <v/>
      </c>
      <c r="I123" s="155">
        <f t="shared" si="18"/>
        <v>0</v>
      </c>
      <c r="J123" s="155">
        <v>2026</v>
      </c>
      <c r="K123" s="155" t="str">
        <f t="shared" si="19"/>
        <v>January20260</v>
      </c>
      <c r="M123" s="157"/>
      <c r="N123" s="157"/>
      <c r="O123" s="157"/>
      <c r="P123" s="157"/>
      <c r="Q123" s="157"/>
    </row>
    <row r="124" spans="1:17" s="156" customFormat="1" x14ac:dyDescent="0.25">
      <c r="A124" s="150">
        <f t="shared" si="15"/>
        <v>0</v>
      </c>
      <c r="B124" s="151"/>
      <c r="C124" s="152"/>
      <c r="D124" s="152">
        <v>0</v>
      </c>
      <c r="E124" s="153"/>
      <c r="F124" s="154" t="str">
        <f t="shared" si="16"/>
        <v>January</v>
      </c>
      <c r="G124" s="155" t="str">
        <f>_xlfn.LET(_xlpm.x,UPPER(TRIM(C124)),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24" s="155" t="str">
        <f t="shared" si="17"/>
        <v/>
      </c>
      <c r="I124" s="155">
        <f t="shared" si="18"/>
        <v>0</v>
      </c>
      <c r="J124" s="155">
        <v>2026</v>
      </c>
      <c r="K124" s="155" t="str">
        <f t="shared" si="19"/>
        <v>January20260</v>
      </c>
      <c r="M124" s="157"/>
      <c r="N124" s="157"/>
      <c r="O124" s="157"/>
      <c r="P124" s="157"/>
      <c r="Q124" s="157"/>
    </row>
    <row r="125" spans="1:17" s="156" customFormat="1" x14ac:dyDescent="0.25">
      <c r="A125" s="150">
        <f t="shared" si="15"/>
        <v>0</v>
      </c>
      <c r="B125" s="151"/>
      <c r="C125" s="152"/>
      <c r="D125" s="152">
        <v>0</v>
      </c>
      <c r="E125" s="153"/>
      <c r="F125" s="154" t="str">
        <f t="shared" si="16"/>
        <v>January</v>
      </c>
      <c r="G125" s="155" t="str">
        <f>_xlfn.LET(_xlpm.x,UPPER(TRIM(C125)),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25" s="155" t="str">
        <f t="shared" si="17"/>
        <v/>
      </c>
      <c r="I125" s="155">
        <f t="shared" si="18"/>
        <v>0</v>
      </c>
      <c r="J125" s="155">
        <v>2026</v>
      </c>
      <c r="K125" s="155" t="str">
        <f t="shared" si="19"/>
        <v>January20260</v>
      </c>
      <c r="M125" s="157"/>
      <c r="N125" s="157"/>
      <c r="O125" s="157"/>
      <c r="P125" s="157"/>
      <c r="Q125" s="157"/>
    </row>
    <row r="126" spans="1:17" s="156" customFormat="1" x14ac:dyDescent="0.25">
      <c r="A126" s="150">
        <f t="shared" si="15"/>
        <v>0</v>
      </c>
      <c r="B126" s="151"/>
      <c r="C126" s="152"/>
      <c r="D126" s="152">
        <v>0</v>
      </c>
      <c r="E126" s="153"/>
      <c r="F126" s="154" t="str">
        <f t="shared" si="16"/>
        <v>January</v>
      </c>
      <c r="G126" s="155" t="str">
        <f>_xlfn.LET(_xlpm.x,UPPER(TRIM(C126)),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26" s="155" t="str">
        <f t="shared" si="17"/>
        <v/>
      </c>
      <c r="I126" s="155">
        <f t="shared" si="18"/>
        <v>0</v>
      </c>
      <c r="J126" s="155">
        <v>2026</v>
      </c>
      <c r="K126" s="155" t="str">
        <f t="shared" si="19"/>
        <v>January20260</v>
      </c>
      <c r="M126" s="157"/>
      <c r="N126" s="157"/>
      <c r="O126" s="157"/>
      <c r="P126" s="157"/>
      <c r="Q126" s="157"/>
    </row>
    <row r="127" spans="1:17" s="156" customFormat="1" x14ac:dyDescent="0.25">
      <c r="A127" s="150">
        <f t="shared" si="15"/>
        <v>0</v>
      </c>
      <c r="B127" s="151"/>
      <c r="C127" s="152"/>
      <c r="D127" s="152">
        <v>0</v>
      </c>
      <c r="E127" s="153"/>
      <c r="F127" s="154" t="str">
        <f t="shared" si="16"/>
        <v>January</v>
      </c>
      <c r="G127" s="155" t="str">
        <f>_xlfn.LET(_xlpm.x,UPPER(TRIM(C127)),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27" s="155" t="str">
        <f t="shared" si="17"/>
        <v/>
      </c>
      <c r="I127" s="155">
        <f t="shared" si="18"/>
        <v>0</v>
      </c>
      <c r="J127" s="155">
        <v>2026</v>
      </c>
      <c r="K127" s="155" t="str">
        <f t="shared" si="19"/>
        <v>January20260</v>
      </c>
      <c r="M127" s="157"/>
      <c r="N127" s="157"/>
      <c r="O127" s="157"/>
      <c r="P127" s="157"/>
      <c r="Q127" s="157"/>
    </row>
    <row r="128" spans="1:17" s="156" customFormat="1" x14ac:dyDescent="0.25">
      <c r="A128" s="150">
        <f t="shared" si="15"/>
        <v>0</v>
      </c>
      <c r="B128" s="151"/>
      <c r="C128" s="152"/>
      <c r="D128" s="152">
        <v>0</v>
      </c>
      <c r="E128" s="153"/>
      <c r="F128" s="154" t="str">
        <f t="shared" si="16"/>
        <v>January</v>
      </c>
      <c r="G128" s="155" t="str">
        <f>_xlfn.LET(_xlpm.x,UPPER(TRIM(C128)),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28" s="155" t="str">
        <f t="shared" si="17"/>
        <v/>
      </c>
      <c r="I128" s="155">
        <f t="shared" si="18"/>
        <v>0</v>
      </c>
      <c r="J128" s="155">
        <v>2026</v>
      </c>
      <c r="K128" s="155" t="str">
        <f t="shared" si="19"/>
        <v>January20260</v>
      </c>
      <c r="M128" s="157"/>
      <c r="N128" s="157"/>
      <c r="O128" s="157"/>
      <c r="P128" s="157"/>
      <c r="Q128" s="157"/>
    </row>
    <row r="129" spans="1:17" s="156" customFormat="1" x14ac:dyDescent="0.25">
      <c r="A129" s="150">
        <f t="shared" si="15"/>
        <v>0</v>
      </c>
      <c r="B129" s="151"/>
      <c r="C129" s="152"/>
      <c r="D129" s="152">
        <v>0</v>
      </c>
      <c r="E129" s="153"/>
      <c r="F129" s="154" t="str">
        <f t="shared" si="16"/>
        <v>January</v>
      </c>
      <c r="G129" s="155" t="str">
        <f>_xlfn.LET(_xlpm.x,UPPER(TRIM(C129)),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29" s="155" t="str">
        <f t="shared" si="17"/>
        <v/>
      </c>
      <c r="I129" s="155">
        <f t="shared" si="18"/>
        <v>0</v>
      </c>
      <c r="J129" s="155">
        <v>2026</v>
      </c>
      <c r="K129" s="155" t="str">
        <f t="shared" si="19"/>
        <v>January20260</v>
      </c>
      <c r="M129" s="157"/>
      <c r="N129" s="157"/>
      <c r="O129" s="157"/>
      <c r="P129" s="157"/>
      <c r="Q129" s="157"/>
    </row>
    <row r="130" spans="1:17" s="156" customFormat="1" x14ac:dyDescent="0.25">
      <c r="A130" s="150">
        <f t="shared" ref="A130:A145" si="20">B130</f>
        <v>0</v>
      </c>
      <c r="B130" s="151"/>
      <c r="C130" s="152"/>
      <c r="D130" s="152">
        <v>0</v>
      </c>
      <c r="E130" s="153"/>
      <c r="F130" s="154" t="str">
        <f t="shared" ref="F130:F145" si="21">TEXT(B130,"mmmm")</f>
        <v>January</v>
      </c>
      <c r="G130" s="155" t="str">
        <f>_xlfn.LET(_xlpm.x,UPPER(TRIM(C130)),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30" s="155" t="str">
        <f t="shared" ref="H130:H145" si="22">IF(ISNUMBER(SEARCH("2401",C130)),"2401"&amp;IF(ISNUMBER(SEARCH("(BL)",C130))," BL",""),
IF(ISNUMBER(SEARCH("3601",C130)),"3601"&amp;IF(ISNUMBER(SEARCH("(BL)",C130))," BL",""),
IF(ISNUMBER(SEARCH("4801",C130)),"4801"&amp;IF(ISNUMBER(SEARCH("(BL)",C130))," BL",""),
IF(ISNUMBER(SEARCH("5601",C130)),"5601"&amp;IF(ISNUMBER(SEARCH("(BL)",C130))," BL",""),
IF(ISNUMBER(SEARCH("5602",C130)),"5602"&amp;IF(ISNUMBER(SEARCH("(BL)",C130))," BL",""),
IF(ISNUMBER(SEARCH("5603",C130)),"5603"&amp;IF(ISNUMBER(SEARCH("(BL)",C130))," BL",""),
IF(ISNUMBER(SEARCH("5606",C130)),"5606"&amp;IF(ISNUMBER(SEARCH("(BL)",C130))," BL",""),
IF(ISNUMBER(SEARCH("5607",C130)),"5607"&amp;IF(ISNUMBER(SEARCH("(BL)",C130))," BL",""),
""))))))))</f>
        <v/>
      </c>
      <c r="I130" s="155">
        <f t="shared" ref="I130:I145" si="23">IF(ISNUMBER(SEARCH("body",D130)),"body",IF(ISNUMBER(SEARCH("blade",D130)),"blade",0))</f>
        <v>0</v>
      </c>
      <c r="J130" s="155">
        <v>2026</v>
      </c>
      <c r="K130" s="155" t="str">
        <f t="shared" ref="K130:K145" si="24">F130&amp;G130&amp;J130&amp;I130</f>
        <v>January20260</v>
      </c>
      <c r="M130" s="157"/>
      <c r="N130" s="157"/>
      <c r="O130" s="157"/>
      <c r="P130" s="157"/>
      <c r="Q130" s="157"/>
    </row>
    <row r="131" spans="1:17" s="156" customFormat="1" x14ac:dyDescent="0.25">
      <c r="A131" s="150">
        <f t="shared" si="20"/>
        <v>0</v>
      </c>
      <c r="B131" s="151"/>
      <c r="C131" s="152"/>
      <c r="D131" s="152">
        <v>0</v>
      </c>
      <c r="E131" s="153"/>
      <c r="F131" s="154" t="str">
        <f t="shared" si="21"/>
        <v>January</v>
      </c>
      <c r="G131" s="155" t="str">
        <f>_xlfn.LET(_xlpm.x,UPPER(TRIM(C131)),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31" s="155" t="str">
        <f t="shared" si="22"/>
        <v/>
      </c>
      <c r="I131" s="155">
        <f t="shared" si="23"/>
        <v>0</v>
      </c>
      <c r="J131" s="155">
        <v>2026</v>
      </c>
      <c r="K131" s="155" t="str">
        <f t="shared" si="24"/>
        <v>January20260</v>
      </c>
      <c r="M131" s="157"/>
      <c r="N131" s="157"/>
      <c r="O131" s="157"/>
      <c r="P131" s="157"/>
      <c r="Q131" s="157"/>
    </row>
    <row r="132" spans="1:17" s="156" customFormat="1" x14ac:dyDescent="0.25">
      <c r="A132" s="150">
        <f t="shared" si="20"/>
        <v>0</v>
      </c>
      <c r="B132" s="151"/>
      <c r="C132" s="152"/>
      <c r="D132" s="152">
        <v>0</v>
      </c>
      <c r="E132" s="153"/>
      <c r="F132" s="154" t="str">
        <f t="shared" si="21"/>
        <v>January</v>
      </c>
      <c r="G132" s="155" t="str">
        <f>_xlfn.LET(_xlpm.x,UPPER(TRIM(C132)),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32" s="155" t="str">
        <f t="shared" si="22"/>
        <v/>
      </c>
      <c r="I132" s="155">
        <f t="shared" si="23"/>
        <v>0</v>
      </c>
      <c r="J132" s="155">
        <v>2026</v>
      </c>
      <c r="K132" s="155" t="str">
        <f t="shared" si="24"/>
        <v>January20260</v>
      </c>
      <c r="M132" s="157"/>
      <c r="N132" s="157"/>
      <c r="O132" s="157"/>
      <c r="P132" s="157"/>
      <c r="Q132" s="157"/>
    </row>
    <row r="133" spans="1:17" s="156" customFormat="1" x14ac:dyDescent="0.25">
      <c r="A133" s="150">
        <f t="shared" si="20"/>
        <v>0</v>
      </c>
      <c r="B133" s="151"/>
      <c r="C133" s="152"/>
      <c r="D133" s="152">
        <v>0</v>
      </c>
      <c r="E133" s="153"/>
      <c r="F133" s="154" t="str">
        <f t="shared" si="21"/>
        <v>January</v>
      </c>
      <c r="G133" s="155" t="str">
        <f>_xlfn.LET(_xlpm.x,UPPER(TRIM(C133)),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33" s="155" t="str">
        <f t="shared" si="22"/>
        <v/>
      </c>
      <c r="I133" s="155">
        <f t="shared" si="23"/>
        <v>0</v>
      </c>
      <c r="J133" s="155">
        <v>2026</v>
      </c>
      <c r="K133" s="155" t="str">
        <f t="shared" si="24"/>
        <v>January20260</v>
      </c>
      <c r="M133" s="157"/>
      <c r="N133" s="157"/>
      <c r="O133" s="160" t="s">
        <v>727</v>
      </c>
      <c r="P133" s="157" t="s">
        <v>747</v>
      </c>
    </row>
    <row r="134" spans="1:17" s="156" customFormat="1" x14ac:dyDescent="0.25">
      <c r="A134" s="150">
        <f t="shared" si="20"/>
        <v>0</v>
      </c>
      <c r="B134" s="151"/>
      <c r="C134" s="152"/>
      <c r="D134" s="152">
        <v>0</v>
      </c>
      <c r="E134" s="153"/>
      <c r="F134" s="154" t="str">
        <f t="shared" si="21"/>
        <v>January</v>
      </c>
      <c r="G134" s="155" t="str">
        <f>_xlfn.LET(_xlpm.x,UPPER(TRIM(C134)),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34" s="155" t="str">
        <f t="shared" si="22"/>
        <v/>
      </c>
      <c r="I134" s="155">
        <f t="shared" si="23"/>
        <v>0</v>
      </c>
      <c r="J134" s="155">
        <v>2026</v>
      </c>
      <c r="K134" s="155" t="str">
        <f t="shared" si="24"/>
        <v>January20260</v>
      </c>
      <c r="M134" s="157"/>
      <c r="N134" s="157"/>
      <c r="O134" s="160" t="s">
        <v>744</v>
      </c>
      <c r="P134" s="157" t="s">
        <v>748</v>
      </c>
      <c r="Q134" s="157"/>
    </row>
    <row r="135" spans="1:17" s="156" customFormat="1" x14ac:dyDescent="0.25">
      <c r="A135" s="150">
        <f t="shared" si="20"/>
        <v>0</v>
      </c>
      <c r="B135" s="151"/>
      <c r="C135" s="152"/>
      <c r="D135" s="152">
        <v>0</v>
      </c>
      <c r="E135" s="153"/>
      <c r="F135" s="154" t="str">
        <f t="shared" si="21"/>
        <v>January</v>
      </c>
      <c r="G135" s="155" t="str">
        <f>_xlfn.LET(_xlpm.x,UPPER(TRIM(C135)),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35" s="155" t="str">
        <f t="shared" si="22"/>
        <v/>
      </c>
      <c r="I135" s="155">
        <f t="shared" si="23"/>
        <v>0</v>
      </c>
      <c r="J135" s="155">
        <v>2026</v>
      </c>
      <c r="K135" s="155" t="str">
        <f t="shared" si="24"/>
        <v>January20260</v>
      </c>
      <c r="M135" s="157"/>
      <c r="N135" s="157"/>
      <c r="O135" s="160" t="s">
        <v>746</v>
      </c>
      <c r="P135" s="157" t="s">
        <v>749</v>
      </c>
      <c r="Q135" s="157"/>
    </row>
    <row r="136" spans="1:17" s="156" customFormat="1" x14ac:dyDescent="0.25">
      <c r="A136" s="150">
        <f t="shared" si="20"/>
        <v>0</v>
      </c>
      <c r="B136" s="151"/>
      <c r="C136" s="152"/>
      <c r="D136" s="152">
        <v>0</v>
      </c>
      <c r="E136" s="153"/>
      <c r="F136" s="154" t="str">
        <f t="shared" si="21"/>
        <v>January</v>
      </c>
      <c r="G136" s="155" t="str">
        <f>_xlfn.LET(_xlpm.x,UPPER(TRIM(C136)),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36" s="155" t="str">
        <f t="shared" si="22"/>
        <v/>
      </c>
      <c r="I136" s="155">
        <f t="shared" si="23"/>
        <v>0</v>
      </c>
      <c r="J136" s="155">
        <v>2026</v>
      </c>
      <c r="K136" s="155" t="str">
        <f t="shared" si="24"/>
        <v>January20260</v>
      </c>
      <c r="M136" s="157"/>
      <c r="N136" s="157"/>
      <c r="O136" s="160" t="s">
        <v>745</v>
      </c>
      <c r="P136" s="157" t="s">
        <v>750</v>
      </c>
      <c r="Q136" s="157"/>
    </row>
    <row r="137" spans="1:17" s="156" customFormat="1" x14ac:dyDescent="0.25">
      <c r="A137" s="150">
        <f t="shared" si="20"/>
        <v>0</v>
      </c>
      <c r="B137" s="151"/>
      <c r="C137" s="152"/>
      <c r="D137" s="152">
        <v>0</v>
      </c>
      <c r="E137" s="153"/>
      <c r="F137" s="154" t="str">
        <f t="shared" si="21"/>
        <v>January</v>
      </c>
      <c r="G137" s="155" t="str">
        <f>_xlfn.LET(_xlpm.x,UPPER(TRIM(C137)),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37" s="155" t="str">
        <f t="shared" si="22"/>
        <v/>
      </c>
      <c r="I137" s="155">
        <f t="shared" si="23"/>
        <v>0</v>
      </c>
      <c r="J137" s="155">
        <v>2026</v>
      </c>
      <c r="K137" s="155" t="str">
        <f t="shared" si="24"/>
        <v>January20260</v>
      </c>
      <c r="M137" s="157"/>
      <c r="N137" s="157"/>
      <c r="O137" s="160" t="s">
        <v>735</v>
      </c>
      <c r="P137" s="157" t="s">
        <v>751</v>
      </c>
      <c r="Q137" s="157"/>
    </row>
    <row r="138" spans="1:17" s="156" customFormat="1" x14ac:dyDescent="0.25">
      <c r="A138" s="150">
        <f t="shared" si="20"/>
        <v>0</v>
      </c>
      <c r="B138" s="151"/>
      <c r="C138" s="152"/>
      <c r="D138" s="152">
        <v>0</v>
      </c>
      <c r="E138" s="153"/>
      <c r="F138" s="154" t="str">
        <f t="shared" si="21"/>
        <v>January</v>
      </c>
      <c r="G138" s="155" t="str">
        <f>_xlfn.LET(_xlpm.x,UPPER(TRIM(C138)),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38" s="155" t="str">
        <f t="shared" si="22"/>
        <v/>
      </c>
      <c r="I138" s="155">
        <f t="shared" si="23"/>
        <v>0</v>
      </c>
      <c r="J138" s="155">
        <v>2026</v>
      </c>
      <c r="K138" s="155" t="str">
        <f t="shared" si="24"/>
        <v>January20260</v>
      </c>
      <c r="M138" s="157"/>
      <c r="N138" s="157"/>
      <c r="O138" s="160" t="s">
        <v>752</v>
      </c>
      <c r="P138" s="157" t="s">
        <v>753</v>
      </c>
      <c r="Q138" s="157"/>
    </row>
    <row r="139" spans="1:17" s="156" customFormat="1" x14ac:dyDescent="0.25">
      <c r="A139" s="150">
        <f t="shared" si="20"/>
        <v>0</v>
      </c>
      <c r="B139" s="151"/>
      <c r="C139" s="152"/>
      <c r="D139" s="152">
        <v>0</v>
      </c>
      <c r="E139" s="153"/>
      <c r="F139" s="154" t="str">
        <f t="shared" si="21"/>
        <v>January</v>
      </c>
      <c r="G139" s="155" t="str">
        <f>_xlfn.LET(_xlpm.x,UPPER(TRIM(C139)),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39" s="155" t="str">
        <f t="shared" si="22"/>
        <v/>
      </c>
      <c r="I139" s="155">
        <f t="shared" si="23"/>
        <v>0</v>
      </c>
      <c r="J139" s="155">
        <v>2026</v>
      </c>
      <c r="K139" s="155" t="str">
        <f t="shared" si="24"/>
        <v>January20260</v>
      </c>
      <c r="M139" s="157"/>
      <c r="N139" s="157"/>
      <c r="O139" s="160" t="s">
        <v>754</v>
      </c>
      <c r="P139" s="1" t="s">
        <v>755</v>
      </c>
      <c r="Q139" s="157"/>
    </row>
    <row r="140" spans="1:17" s="156" customFormat="1" x14ac:dyDescent="0.25">
      <c r="A140" s="150">
        <f t="shared" si="20"/>
        <v>0</v>
      </c>
      <c r="B140" s="151"/>
      <c r="C140" s="152"/>
      <c r="D140" s="152">
        <v>0</v>
      </c>
      <c r="E140" s="153"/>
      <c r="F140" s="154" t="str">
        <f t="shared" si="21"/>
        <v>January</v>
      </c>
      <c r="G140" s="155" t="str">
        <f>_xlfn.LET(_xlpm.x,UPPER(TRIM(C140)),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40" s="155" t="str">
        <f t="shared" si="22"/>
        <v/>
      </c>
      <c r="I140" s="155">
        <f t="shared" si="23"/>
        <v>0</v>
      </c>
      <c r="J140" s="155">
        <v>2026</v>
      </c>
      <c r="K140" s="155" t="str">
        <f t="shared" si="24"/>
        <v>January20260</v>
      </c>
      <c r="M140" s="157"/>
      <c r="N140" s="157"/>
      <c r="O140" s="160" t="s">
        <v>743</v>
      </c>
      <c r="P140" s="1" t="s">
        <v>756</v>
      </c>
      <c r="Q140" s="157"/>
    </row>
    <row r="141" spans="1:17" s="156" customFormat="1" x14ac:dyDescent="0.25">
      <c r="A141" s="150">
        <f t="shared" si="20"/>
        <v>0</v>
      </c>
      <c r="B141" s="151"/>
      <c r="C141" s="152"/>
      <c r="D141" s="152">
        <v>0</v>
      </c>
      <c r="E141" s="153"/>
      <c r="F141" s="154" t="str">
        <f t="shared" si="21"/>
        <v>January</v>
      </c>
      <c r="G141" s="155" t="str">
        <f>_xlfn.LET(_xlpm.x,UPPER(TRIM(C141)),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41" s="155" t="str">
        <f t="shared" si="22"/>
        <v/>
      </c>
      <c r="I141" s="155">
        <f t="shared" si="23"/>
        <v>0</v>
      </c>
      <c r="J141" s="155">
        <v>2026</v>
      </c>
      <c r="K141" s="155" t="str">
        <f t="shared" si="24"/>
        <v>January20260</v>
      </c>
      <c r="M141" s="157"/>
      <c r="N141" s="157"/>
      <c r="O141" s="160" t="s">
        <v>757</v>
      </c>
      <c r="P141" s="1" t="s">
        <v>758</v>
      </c>
      <c r="Q141" s="157"/>
    </row>
    <row r="142" spans="1:17" s="156" customFormat="1" x14ac:dyDescent="0.25">
      <c r="A142" s="150">
        <f t="shared" si="20"/>
        <v>0</v>
      </c>
      <c r="B142" s="151"/>
      <c r="C142" s="152"/>
      <c r="D142" s="152">
        <v>0</v>
      </c>
      <c r="E142" s="153"/>
      <c r="F142" s="154" t="str">
        <f t="shared" si="21"/>
        <v>January</v>
      </c>
      <c r="G142" s="155" t="str">
        <f>_xlfn.LET(_xlpm.x,UPPER(TRIM(C142)),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42" s="155" t="str">
        <f t="shared" si="22"/>
        <v/>
      </c>
      <c r="I142" s="155">
        <f t="shared" si="23"/>
        <v>0</v>
      </c>
      <c r="J142" s="155">
        <v>2026</v>
      </c>
      <c r="K142" s="155" t="str">
        <f t="shared" si="24"/>
        <v>January20260</v>
      </c>
      <c r="M142" s="157"/>
      <c r="N142" s="157"/>
      <c r="O142" s="160" t="s">
        <v>759</v>
      </c>
      <c r="P142" s="1" t="s">
        <v>760</v>
      </c>
      <c r="Q142" s="157"/>
    </row>
    <row r="143" spans="1:17" s="156" customFormat="1" x14ac:dyDescent="0.25">
      <c r="A143" s="150">
        <f t="shared" si="20"/>
        <v>0</v>
      </c>
      <c r="B143" s="151"/>
      <c r="C143" s="152"/>
      <c r="D143" s="152">
        <v>0</v>
      </c>
      <c r="E143" s="153"/>
      <c r="F143" s="154" t="str">
        <f t="shared" si="21"/>
        <v>January</v>
      </c>
      <c r="G143" s="155" t="str">
        <f>_xlfn.LET(_xlpm.x,UPPER(TRIM(C143)),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43" s="155" t="str">
        <f t="shared" si="22"/>
        <v/>
      </c>
      <c r="I143" s="155">
        <f t="shared" si="23"/>
        <v>0</v>
      </c>
      <c r="J143" s="155">
        <v>2026</v>
      </c>
      <c r="K143" s="155" t="str">
        <f t="shared" si="24"/>
        <v>January20260</v>
      </c>
      <c r="M143" s="157"/>
      <c r="N143" s="157"/>
      <c r="O143" s="160" t="s">
        <v>761</v>
      </c>
      <c r="P143" s="1" t="s">
        <v>762</v>
      </c>
      <c r="Q143" s="157"/>
    </row>
    <row r="144" spans="1:17" s="156" customFormat="1" x14ac:dyDescent="0.25">
      <c r="A144" s="150">
        <f t="shared" si="20"/>
        <v>0</v>
      </c>
      <c r="B144" s="151"/>
      <c r="C144" s="152"/>
      <c r="D144" s="152">
        <v>0</v>
      </c>
      <c r="E144" s="153"/>
      <c r="F144" s="154" t="str">
        <f t="shared" si="21"/>
        <v>January</v>
      </c>
      <c r="G144" s="155" t="str">
        <f>_xlfn.LET(_xlpm.x,UPPER(TRIM(C144)),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44" s="155" t="str">
        <f t="shared" si="22"/>
        <v/>
      </c>
      <c r="I144" s="155">
        <f t="shared" si="23"/>
        <v>0</v>
      </c>
      <c r="J144" s="155">
        <v>2026</v>
      </c>
      <c r="K144" s="155" t="str">
        <f t="shared" si="24"/>
        <v>January20260</v>
      </c>
      <c r="M144" s="157"/>
      <c r="N144" s="157"/>
      <c r="O144" s="160"/>
      <c r="P144" s="1"/>
      <c r="Q144" s="157"/>
    </row>
    <row r="145" spans="1:17" s="156" customFormat="1" x14ac:dyDescent="0.25">
      <c r="A145" s="150">
        <f t="shared" si="20"/>
        <v>0</v>
      </c>
      <c r="B145" s="151"/>
      <c r="C145" s="152"/>
      <c r="D145" s="152">
        <v>0</v>
      </c>
      <c r="E145" s="153"/>
      <c r="F145" s="154" t="str">
        <f t="shared" si="21"/>
        <v>January</v>
      </c>
      <c r="G145" s="155" t="str">
        <f>_xlfn.LET(_xlpm.x,UPPER(TRIM(C145)),
IF(ISNUMBER(_xlfn.XMATCH(_xlpm.x,{"CF2401/CF2401IV","CF2401/CF2401IV (BL)","CF3601/CF3601IV","CF3601/CF3601IV (BL)","CR3601IV","CF4801/CF4801IV","CF4801/CF4801IV (BL)","CR4801IV","CF5607/CF5607IV","CF5607/CF5607IV (BL)","CF5601/CF5601IV","CF5601/CF5601IV (BL)","CG5601/CG5601IV","CR5601IV","CR5601IV (BL)","CF5603/CF5603IV","CF5603/CF5603IV (BL)","CF5606/CF5606IV","CF5606/CF5606IV (BL)","CR5601WH","CF5601WH/CF5601WH","CF5601WH/CF5601WH (BL)","CF3601M","CF3601M (BL)","CG5606/CG5606IV","CR5606IV","CF5602/CF5602IV","CF5602/CF5602IV (BL)"})),"Ceiling Fan",
IF(ISNUMBER(_xlfn.XMATCH(_xlpm.x,{"EF10010W/EF10010W","EF10008W/EF10008W"})),"Exhaust Fan",
IF(ISNUMBER(_xlfn.XMATCH(_xlpm.x,{"MRTF1601","MRTF1201"})),"Rechargeable Fan",
IF(ISNUMBER(_xlfn.XMATCH(_xlpm.x,{"CFCP001","CFCP002"})),"Capacitor",
IF(ISNUMBER(SEARCH("BODY",_xlpm.x)),"Body",
IF(ISNUMBER(SEARCH("BLADE",_xlpm.x)),"Blade","")
)))))
)</f>
        <v/>
      </c>
      <c r="H145" s="155" t="str">
        <f t="shared" si="22"/>
        <v/>
      </c>
      <c r="I145" s="155">
        <f t="shared" si="23"/>
        <v>0</v>
      </c>
      <c r="J145" s="155">
        <v>2026</v>
      </c>
      <c r="K145" s="155" t="str">
        <f t="shared" si="24"/>
        <v>January20260</v>
      </c>
      <c r="M145" s="157"/>
      <c r="N145" s="157"/>
      <c r="O145" s="160"/>
      <c r="P145" s="1"/>
      <c r="Q145" s="157"/>
    </row>
    <row r="146" spans="1:17" x14ac:dyDescent="0.25">
      <c r="O146" s="160"/>
    </row>
    <row r="147" spans="1:17" x14ac:dyDescent="0.25">
      <c r="O147" s="160"/>
    </row>
    <row r="148" spans="1:17" x14ac:dyDescent="0.25">
      <c r="O148" s="160"/>
    </row>
    <row r="149" spans="1:17" x14ac:dyDescent="0.25">
      <c r="O149" s="160"/>
    </row>
  </sheetData>
  <conditionalFormatting sqref="C2:K145">
    <cfRule type="expression" dxfId="6" priority="1">
      <formula>TEXT($B2,"ddd")="Fri"</formula>
    </cfRule>
  </conditionalFormatting>
  <dataValidations count="1">
    <dataValidation type="list" allowBlank="1" showInputMessage="1" showErrorMessage="1" sqref="C2:C145" xr:uid="{00000000-0002-0000-0C00-000000000000}">
      <formula1>$O$2:$O$143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M1810"/>
  <sheetViews>
    <sheetView zoomScaleNormal="100" workbookViewId="0">
      <pane xSplit="4" ySplit="5" topLeftCell="E1106" activePane="bottomRight" state="frozen"/>
      <selection pane="topRight" activeCell="E1" sqref="E1"/>
      <selection pane="bottomLeft" activeCell="A6" sqref="A6"/>
      <selection pane="bottomRight" activeCell="I1120" sqref="I1120"/>
    </sheetView>
  </sheetViews>
  <sheetFormatPr defaultColWidth="9.109375" defaultRowHeight="13.8" outlineLevelRow="1" x14ac:dyDescent="0.25"/>
  <cols>
    <col min="1" max="1" width="9.109375" style="1" hidden="1" customWidth="1"/>
    <col min="2" max="2" width="8.109375" style="25" hidden="1" customWidth="1"/>
    <col min="3" max="3" width="10.88671875" style="25" bestFit="1" customWidth="1"/>
    <col min="4" max="4" width="7.109375" style="1" bestFit="1" customWidth="1"/>
    <col min="5" max="5" width="40.109375" style="1" bestFit="1" customWidth="1"/>
    <col min="6" max="6" width="9" style="268" bestFit="1" customWidth="1"/>
    <col min="7" max="7" width="11.109375" style="268" bestFit="1" customWidth="1"/>
    <col min="8" max="8" width="13.5546875" style="268" bestFit="1" customWidth="1"/>
    <col min="9" max="9" width="8.33203125" style="268" bestFit="1" customWidth="1"/>
    <col min="10" max="10" width="10.33203125" style="231" bestFit="1" customWidth="1"/>
    <col min="11" max="13" width="9.109375" style="230" customWidth="1"/>
    <col min="14" max="16384" width="9.109375" style="230"/>
  </cols>
  <sheetData>
    <row r="1" spans="1:13" ht="27.75" customHeight="1" x14ac:dyDescent="0.3">
      <c r="A1" s="230"/>
      <c r="B1" s="449" t="s">
        <v>643</v>
      </c>
      <c r="C1" s="448"/>
      <c r="D1" s="448"/>
      <c r="E1" s="448"/>
      <c r="F1" s="448"/>
      <c r="G1" s="448"/>
      <c r="H1" s="448"/>
      <c r="I1" s="448"/>
    </row>
    <row r="2" spans="1:13" ht="10.5" customHeight="1" x14ac:dyDescent="0.3">
      <c r="A2" s="230"/>
      <c r="B2" s="450">
        <f ca="1">TODAY()</f>
        <v>46264</v>
      </c>
      <c r="C2" s="448"/>
      <c r="D2" s="448"/>
      <c r="E2" s="448"/>
      <c r="F2" s="448"/>
      <c r="G2" s="448"/>
      <c r="H2" s="448"/>
      <c r="I2" s="448"/>
    </row>
    <row r="3" spans="1:13" ht="25.5" customHeight="1" thickBot="1" x14ac:dyDescent="0.35">
      <c r="A3" s="230"/>
      <c r="B3" s="447" t="s">
        <v>763</v>
      </c>
      <c r="C3" s="448"/>
      <c r="D3" s="448"/>
      <c r="E3" s="448"/>
      <c r="F3" s="448"/>
      <c r="G3" s="448"/>
      <c r="H3" s="448"/>
      <c r="I3" s="448"/>
    </row>
    <row r="4" spans="1:13" s="237" customFormat="1" ht="43.5" customHeight="1" thickBot="1" x14ac:dyDescent="0.35">
      <c r="A4" s="62"/>
      <c r="B4" s="232" t="s">
        <v>694</v>
      </c>
      <c r="C4" s="233" t="s">
        <v>694</v>
      </c>
      <c r="D4" s="234" t="s">
        <v>695</v>
      </c>
      <c r="E4" s="234" t="s">
        <v>7</v>
      </c>
      <c r="F4" s="257" t="s">
        <v>583</v>
      </c>
      <c r="G4" s="258" t="s">
        <v>696</v>
      </c>
      <c r="H4" s="258" t="s">
        <v>697</v>
      </c>
      <c r="I4" s="259" t="s">
        <v>597</v>
      </c>
      <c r="J4" s="235"/>
      <c r="K4" s="236"/>
    </row>
    <row r="5" spans="1:13" s="237" customFormat="1" ht="16.5" customHeight="1" thickBot="1" x14ac:dyDescent="0.35">
      <c r="A5" s="62"/>
      <c r="B5" s="238"/>
      <c r="C5" s="239"/>
      <c r="D5" s="240"/>
      <c r="E5" s="240"/>
      <c r="F5" s="260"/>
      <c r="G5" s="260"/>
      <c r="H5" s="260"/>
      <c r="I5" s="261"/>
      <c r="J5" s="235"/>
    </row>
    <row r="6" spans="1:13" s="237" customFormat="1" ht="15.75" hidden="1" customHeight="1" outlineLevel="1" thickBot="1" x14ac:dyDescent="0.35">
      <c r="A6" s="62"/>
      <c r="B6" s="241">
        <v>45801</v>
      </c>
      <c r="C6" s="442">
        <v>45801</v>
      </c>
      <c r="D6" s="443">
        <v>45801</v>
      </c>
      <c r="E6" s="242" t="s">
        <v>394</v>
      </c>
      <c r="F6" s="200">
        <v>1046</v>
      </c>
      <c r="G6" s="201"/>
      <c r="H6" s="201">
        <v>500</v>
      </c>
      <c r="I6" s="262">
        <v>546</v>
      </c>
      <c r="J6" s="235"/>
    </row>
    <row r="7" spans="1:13" s="237" customFormat="1" ht="15.75" hidden="1" customHeight="1" outlineLevel="1" thickBot="1" x14ac:dyDescent="0.35">
      <c r="A7" s="62"/>
      <c r="B7" s="245">
        <v>45801</v>
      </c>
      <c r="C7" s="409"/>
      <c r="D7" s="409"/>
      <c r="E7" s="246" t="s">
        <v>764</v>
      </c>
      <c r="F7" s="202">
        <v>4987</v>
      </c>
      <c r="G7" s="203">
        <v>970</v>
      </c>
      <c r="H7" s="203"/>
      <c r="I7" s="263">
        <v>5957</v>
      </c>
      <c r="J7" s="235"/>
    </row>
    <row r="8" spans="1:13" s="237" customFormat="1" ht="15.75" hidden="1" customHeight="1" outlineLevel="1" thickBot="1" x14ac:dyDescent="0.35">
      <c r="A8" s="62"/>
      <c r="B8" s="245">
        <v>45801</v>
      </c>
      <c r="C8" s="409"/>
      <c r="D8" s="409"/>
      <c r="E8" s="246" t="s">
        <v>765</v>
      </c>
      <c r="F8" s="202">
        <v>1135</v>
      </c>
      <c r="G8" s="203"/>
      <c r="H8" s="203"/>
      <c r="I8" s="263">
        <v>1136</v>
      </c>
      <c r="J8" s="235"/>
    </row>
    <row r="9" spans="1:13" ht="15.75" hidden="1" customHeight="1" outlineLevel="1" thickBot="1" x14ac:dyDescent="0.3">
      <c r="B9" s="245">
        <v>45801</v>
      </c>
      <c r="C9" s="409"/>
      <c r="D9" s="409"/>
      <c r="E9" s="246" t="s">
        <v>766</v>
      </c>
      <c r="F9" s="202">
        <v>0</v>
      </c>
      <c r="G9" s="203"/>
      <c r="H9" s="203"/>
      <c r="I9" s="263">
        <v>0</v>
      </c>
      <c r="J9" s="235"/>
    </row>
    <row r="10" spans="1:13" ht="15.75" hidden="1" customHeight="1" outlineLevel="1" thickBot="1" x14ac:dyDescent="0.3">
      <c r="B10" s="249">
        <v>45801</v>
      </c>
      <c r="C10" s="416"/>
      <c r="D10" s="416"/>
      <c r="E10" s="250" t="s">
        <v>767</v>
      </c>
      <c r="F10" s="204">
        <v>300</v>
      </c>
      <c r="G10" s="205"/>
      <c r="H10" s="205"/>
      <c r="I10" s="264">
        <v>300</v>
      </c>
      <c r="J10" s="235"/>
    </row>
    <row r="11" spans="1:13" ht="15.75" hidden="1" customHeight="1" outlineLevel="1" thickBot="1" x14ac:dyDescent="0.3">
      <c r="B11" s="241">
        <f>IF(AND(F11&lt;&gt;"", B6&lt;&gt;""), B6+1, "")</f>
        <v>45802</v>
      </c>
      <c r="C11" s="442">
        <v>45802</v>
      </c>
      <c r="D11" s="443">
        <f>D6+1</f>
        <v>45802</v>
      </c>
      <c r="E11" s="242" t="s">
        <v>394</v>
      </c>
      <c r="F11" s="200">
        <v>1560</v>
      </c>
      <c r="G11" s="201"/>
      <c r="H11" s="201">
        <v>500</v>
      </c>
      <c r="I11" s="262">
        <f>F11+G11-H11</f>
        <v>1060</v>
      </c>
      <c r="K11" s="243"/>
      <c r="L11" s="244"/>
      <c r="M11" s="244"/>
    </row>
    <row r="12" spans="1:13" ht="20.25" hidden="1" customHeight="1" outlineLevel="1" x14ac:dyDescent="0.25">
      <c r="B12" s="245">
        <f>IF(AND(F11&lt;&gt;"", B7&lt;&gt;""), B7+1, "")</f>
        <v>45802</v>
      </c>
      <c r="C12" s="409"/>
      <c r="D12" s="409"/>
      <c r="E12" s="246" t="s">
        <v>764</v>
      </c>
      <c r="F12" s="202">
        <v>5957</v>
      </c>
      <c r="G12" s="203">
        <v>975</v>
      </c>
      <c r="H12" s="203">
        <v>587</v>
      </c>
      <c r="I12" s="263">
        <f>F12+G12-H12</f>
        <v>6345</v>
      </c>
      <c r="K12" s="247"/>
      <c r="L12" s="248"/>
      <c r="M12" s="248"/>
    </row>
    <row r="13" spans="1:13" ht="15.75" hidden="1" customHeight="1" outlineLevel="1" thickBot="1" x14ac:dyDescent="0.3">
      <c r="B13" s="245">
        <f>IF(AND(F11&lt;&gt;"", B8&lt;&gt;""), B8+1, "")</f>
        <v>45802</v>
      </c>
      <c r="C13" s="409"/>
      <c r="D13" s="409"/>
      <c r="E13" s="246" t="s">
        <v>765</v>
      </c>
      <c r="F13" s="202">
        <v>1136</v>
      </c>
      <c r="G13" s="203"/>
      <c r="H13" s="203"/>
      <c r="I13" s="263">
        <f>F13+G13-H13</f>
        <v>1136</v>
      </c>
      <c r="K13" s="247"/>
      <c r="L13" s="248"/>
      <c r="M13" s="248"/>
    </row>
    <row r="14" spans="1:13" ht="15.75" hidden="1" customHeight="1" outlineLevel="1" thickBot="1" x14ac:dyDescent="0.3">
      <c r="B14" s="245">
        <f>IF(AND(F11&lt;&gt;"", B9&lt;&gt;""), B9+1, "")</f>
        <v>45802</v>
      </c>
      <c r="C14" s="409"/>
      <c r="D14" s="409"/>
      <c r="E14" s="246" t="s">
        <v>766</v>
      </c>
      <c r="F14" s="202"/>
      <c r="G14" s="203"/>
      <c r="H14" s="203"/>
      <c r="I14" s="263">
        <f>F14+G14-H14</f>
        <v>0</v>
      </c>
      <c r="K14" s="247"/>
      <c r="L14" s="248"/>
      <c r="M14" s="248"/>
    </row>
    <row r="15" spans="1:13" ht="15.75" hidden="1" customHeight="1" outlineLevel="1" thickBot="1" x14ac:dyDescent="0.3">
      <c r="B15" s="249">
        <f>IF(AND(F11&lt;&gt;"", B10&lt;&gt;""), B10+1, "")</f>
        <v>45802</v>
      </c>
      <c r="C15" s="416"/>
      <c r="D15" s="416"/>
      <c r="E15" s="250" t="s">
        <v>767</v>
      </c>
      <c r="F15" s="204">
        <v>300</v>
      </c>
      <c r="G15" s="205"/>
      <c r="H15" s="205"/>
      <c r="I15" s="264">
        <f>F15+G15-H15</f>
        <v>300</v>
      </c>
      <c r="K15" s="251"/>
      <c r="L15" s="252"/>
      <c r="M15" s="252"/>
    </row>
    <row r="16" spans="1:13" ht="15.75" hidden="1" customHeight="1" outlineLevel="1" thickBot="1" x14ac:dyDescent="0.3">
      <c r="B16" s="253">
        <f>IF(AND(F16&lt;&gt;"", B11&lt;&gt;""), B11+1, "")</f>
        <v>45803</v>
      </c>
      <c r="C16" s="442">
        <v>45803</v>
      </c>
      <c r="D16" s="443">
        <f>D11+1</f>
        <v>45803</v>
      </c>
      <c r="E16" s="242" t="s">
        <v>394</v>
      </c>
      <c r="F16" s="200">
        <v>1060</v>
      </c>
      <c r="G16" s="201"/>
      <c r="H16" s="201"/>
      <c r="I16" s="262">
        <f>IFERROR(F16+G16-H16,"")</f>
        <v>1060</v>
      </c>
    </row>
    <row r="17" spans="2:9" ht="15.75" hidden="1" customHeight="1" outlineLevel="1" thickBot="1" x14ac:dyDescent="0.3">
      <c r="B17" s="254">
        <f>IF(AND(F16&lt;&gt;"", B12&lt;&gt;""), B12+1, "")</f>
        <v>45803</v>
      </c>
      <c r="C17" s="409"/>
      <c r="D17" s="409"/>
      <c r="E17" s="246" t="s">
        <v>764</v>
      </c>
      <c r="F17" s="202">
        <v>6345</v>
      </c>
      <c r="G17" s="203">
        <v>110</v>
      </c>
      <c r="H17" s="203">
        <v>700</v>
      </c>
      <c r="I17" s="263">
        <f t="shared" ref="I17:I80" si="0">F17+G17-H17</f>
        <v>5755</v>
      </c>
    </row>
    <row r="18" spans="2:9" ht="15.75" hidden="1" customHeight="1" outlineLevel="1" thickBot="1" x14ac:dyDescent="0.3">
      <c r="B18" s="254">
        <f>IF(AND(F16&lt;&gt;"", B13&lt;&gt;""), B13+1, "")</f>
        <v>45803</v>
      </c>
      <c r="C18" s="409"/>
      <c r="D18" s="409"/>
      <c r="E18" s="246" t="s">
        <v>765</v>
      </c>
      <c r="F18" s="202">
        <v>1136</v>
      </c>
      <c r="G18" s="203"/>
      <c r="H18" s="203"/>
      <c r="I18" s="263">
        <f t="shared" si="0"/>
        <v>1136</v>
      </c>
    </row>
    <row r="19" spans="2:9" ht="15.75" hidden="1" customHeight="1" outlineLevel="1" thickBot="1" x14ac:dyDescent="0.3">
      <c r="B19" s="254">
        <f>IF(AND(F16&lt;&gt;"", B14&lt;&gt;""), B14+1, "")</f>
        <v>45803</v>
      </c>
      <c r="C19" s="409"/>
      <c r="D19" s="409"/>
      <c r="E19" s="246" t="s">
        <v>766</v>
      </c>
      <c r="F19" s="202">
        <v>0</v>
      </c>
      <c r="G19" s="203"/>
      <c r="H19" s="203"/>
      <c r="I19" s="263">
        <f t="shared" si="0"/>
        <v>0</v>
      </c>
    </row>
    <row r="20" spans="2:9" ht="15.75" hidden="1" customHeight="1" outlineLevel="1" thickBot="1" x14ac:dyDescent="0.3">
      <c r="B20" s="255">
        <f>IF(AND(F16&lt;&gt;"", B15&lt;&gt;""), B15+1, "")</f>
        <v>45803</v>
      </c>
      <c r="C20" s="416"/>
      <c r="D20" s="416"/>
      <c r="E20" s="250" t="s">
        <v>767</v>
      </c>
      <c r="F20" s="204">
        <v>300</v>
      </c>
      <c r="G20" s="205"/>
      <c r="H20" s="205"/>
      <c r="I20" s="264">
        <f t="shared" si="0"/>
        <v>300</v>
      </c>
    </row>
    <row r="21" spans="2:9" ht="15.75" hidden="1" customHeight="1" outlineLevel="1" thickBot="1" x14ac:dyDescent="0.3">
      <c r="B21" s="241">
        <f>IF(AND(F21&lt;&gt;"", B16&lt;&gt;""), B16+1, "")</f>
        <v>45804</v>
      </c>
      <c r="C21" s="442">
        <v>45804</v>
      </c>
      <c r="D21" s="443">
        <f>D16+1</f>
        <v>45804</v>
      </c>
      <c r="E21" s="246" t="s">
        <v>394</v>
      </c>
      <c r="F21" s="202">
        <v>1060</v>
      </c>
      <c r="G21" s="203">
        <v>750</v>
      </c>
      <c r="H21" s="203"/>
      <c r="I21" s="263">
        <f t="shared" si="0"/>
        <v>1810</v>
      </c>
    </row>
    <row r="22" spans="2:9" ht="15.75" hidden="1" customHeight="1" outlineLevel="1" thickBot="1" x14ac:dyDescent="0.3">
      <c r="B22" s="245">
        <f>IF(AND(F21&lt;&gt;"", B17&lt;&gt;""), B17+1, "")</f>
        <v>45804</v>
      </c>
      <c r="C22" s="409"/>
      <c r="D22" s="409"/>
      <c r="E22" s="246" t="s">
        <v>764</v>
      </c>
      <c r="F22" s="202">
        <v>5755</v>
      </c>
      <c r="G22" s="203"/>
      <c r="H22" s="203">
        <v>700</v>
      </c>
      <c r="I22" s="263">
        <f t="shared" si="0"/>
        <v>5055</v>
      </c>
    </row>
    <row r="23" spans="2:9" ht="15.75" hidden="1" customHeight="1" outlineLevel="1" thickBot="1" x14ac:dyDescent="0.3">
      <c r="B23" s="245">
        <f>IF(AND(F21&lt;&gt;"", B18&lt;&gt;""), B18+1, "")</f>
        <v>45804</v>
      </c>
      <c r="C23" s="409"/>
      <c r="D23" s="409"/>
      <c r="E23" s="246" t="s">
        <v>765</v>
      </c>
      <c r="F23" s="202">
        <v>1136</v>
      </c>
      <c r="G23" s="203"/>
      <c r="H23" s="203"/>
      <c r="I23" s="263">
        <f t="shared" si="0"/>
        <v>1136</v>
      </c>
    </row>
    <row r="24" spans="2:9" ht="15.75" hidden="1" customHeight="1" outlineLevel="1" thickBot="1" x14ac:dyDescent="0.3">
      <c r="B24" s="245">
        <f>IF(AND(F21&lt;&gt;"", B19&lt;&gt;""), B19+1, "")</f>
        <v>45804</v>
      </c>
      <c r="C24" s="409"/>
      <c r="D24" s="409"/>
      <c r="E24" s="246" t="s">
        <v>766</v>
      </c>
      <c r="F24" s="202">
        <v>0</v>
      </c>
      <c r="G24" s="203"/>
      <c r="H24" s="203"/>
      <c r="I24" s="263">
        <f t="shared" si="0"/>
        <v>0</v>
      </c>
    </row>
    <row r="25" spans="2:9" ht="15.75" hidden="1" customHeight="1" outlineLevel="1" thickBot="1" x14ac:dyDescent="0.3">
      <c r="B25" s="249">
        <f>IF(AND(F21&lt;&gt;"", B20&lt;&gt;""), B20+1, "")</f>
        <v>45804</v>
      </c>
      <c r="C25" s="416"/>
      <c r="D25" s="416"/>
      <c r="E25" s="250" t="s">
        <v>767</v>
      </c>
      <c r="F25" s="204">
        <v>300</v>
      </c>
      <c r="G25" s="205"/>
      <c r="H25" s="205"/>
      <c r="I25" s="264">
        <f t="shared" si="0"/>
        <v>300</v>
      </c>
    </row>
    <row r="26" spans="2:9" ht="15.75" hidden="1" customHeight="1" outlineLevel="1" thickBot="1" x14ac:dyDescent="0.3">
      <c r="B26" s="241">
        <f>IF(AND(F26&lt;&gt;"", B21&lt;&gt;""), B21+1, "")</f>
        <v>45805</v>
      </c>
      <c r="C26" s="442">
        <v>45805</v>
      </c>
      <c r="D26" s="443">
        <f>D21+1</f>
        <v>45805</v>
      </c>
      <c r="E26" s="246" t="s">
        <v>394</v>
      </c>
      <c r="F26" s="202">
        <v>1810</v>
      </c>
      <c r="G26" s="203">
        <v>1000</v>
      </c>
      <c r="H26" s="203"/>
      <c r="I26" s="263">
        <f t="shared" si="0"/>
        <v>2810</v>
      </c>
    </row>
    <row r="27" spans="2:9" ht="15.75" hidden="1" customHeight="1" outlineLevel="1" thickBot="1" x14ac:dyDescent="0.3">
      <c r="B27" s="245">
        <f>IF(AND(F26&lt;&gt;"", B22&lt;&gt;""), B22+1, "")</f>
        <v>45805</v>
      </c>
      <c r="C27" s="409"/>
      <c r="D27" s="409"/>
      <c r="E27" s="246" t="s">
        <v>764</v>
      </c>
      <c r="F27" s="202">
        <v>5055</v>
      </c>
      <c r="G27" s="203"/>
      <c r="H27" s="203">
        <v>358</v>
      </c>
      <c r="I27" s="263">
        <f t="shared" si="0"/>
        <v>4697</v>
      </c>
    </row>
    <row r="28" spans="2:9" ht="15.75" hidden="1" customHeight="1" outlineLevel="1" thickBot="1" x14ac:dyDescent="0.3">
      <c r="B28" s="245">
        <f>IF(AND(F26&lt;&gt;"", B23&lt;&gt;""), B23+1, "")</f>
        <v>45805</v>
      </c>
      <c r="C28" s="409"/>
      <c r="D28" s="409"/>
      <c r="E28" s="246" t="s">
        <v>765</v>
      </c>
      <c r="F28" s="202">
        <v>1136</v>
      </c>
      <c r="G28" s="203"/>
      <c r="H28" s="203"/>
      <c r="I28" s="263">
        <f t="shared" si="0"/>
        <v>1136</v>
      </c>
    </row>
    <row r="29" spans="2:9" ht="15.75" hidden="1" customHeight="1" outlineLevel="1" thickBot="1" x14ac:dyDescent="0.3">
      <c r="B29" s="245">
        <f>IF(AND(F26&lt;&gt;"", B24&lt;&gt;""), B24+1, "")</f>
        <v>45805</v>
      </c>
      <c r="C29" s="409"/>
      <c r="D29" s="409"/>
      <c r="E29" s="246" t="s">
        <v>766</v>
      </c>
      <c r="F29" s="202">
        <v>0</v>
      </c>
      <c r="G29" s="203"/>
      <c r="H29" s="203"/>
      <c r="I29" s="263">
        <f t="shared" si="0"/>
        <v>0</v>
      </c>
    </row>
    <row r="30" spans="2:9" ht="15.75" hidden="1" customHeight="1" outlineLevel="1" thickBot="1" x14ac:dyDescent="0.3">
      <c r="B30" s="249">
        <f>IF(AND(F26&lt;&gt;"", B25&lt;&gt;""), B25+1, "")</f>
        <v>45805</v>
      </c>
      <c r="C30" s="416"/>
      <c r="D30" s="416"/>
      <c r="E30" s="250" t="s">
        <v>767</v>
      </c>
      <c r="F30" s="204">
        <v>300</v>
      </c>
      <c r="G30" s="205"/>
      <c r="H30" s="205"/>
      <c r="I30" s="264">
        <f t="shared" si="0"/>
        <v>300</v>
      </c>
    </row>
    <row r="31" spans="2:9" ht="15.75" hidden="1" customHeight="1" outlineLevel="1" thickBot="1" x14ac:dyDescent="0.3">
      <c r="B31" s="241">
        <f>IF(AND(F31&lt;&gt;"", B26&lt;&gt;""), B26+1, "")</f>
        <v>45806</v>
      </c>
      <c r="C31" s="442">
        <v>45806</v>
      </c>
      <c r="D31" s="443">
        <f>D26+1</f>
        <v>45806</v>
      </c>
      <c r="E31" s="246" t="s">
        <v>394</v>
      </c>
      <c r="F31" s="202">
        <v>2810</v>
      </c>
      <c r="G31" s="203">
        <v>990</v>
      </c>
      <c r="H31" s="203">
        <v>100</v>
      </c>
      <c r="I31" s="263">
        <f t="shared" si="0"/>
        <v>3700</v>
      </c>
    </row>
    <row r="32" spans="2:9" ht="15.75" hidden="1" customHeight="1" outlineLevel="1" thickBot="1" x14ac:dyDescent="0.3">
      <c r="B32" s="245">
        <f>IF(AND(F31&lt;&gt;"", B27&lt;&gt;""), B27+1, "")</f>
        <v>45806</v>
      </c>
      <c r="C32" s="409"/>
      <c r="D32" s="409"/>
      <c r="E32" s="246" t="s">
        <v>764</v>
      </c>
      <c r="F32" s="202">
        <v>4697</v>
      </c>
      <c r="G32" s="203"/>
      <c r="H32" s="203"/>
      <c r="I32" s="263">
        <f t="shared" si="0"/>
        <v>4697</v>
      </c>
    </row>
    <row r="33" spans="2:9" ht="15.75" hidden="1" customHeight="1" outlineLevel="1" thickBot="1" x14ac:dyDescent="0.3">
      <c r="B33" s="245">
        <f>IF(AND(F31&lt;&gt;"", B28&lt;&gt;""), B28+1, "")</f>
        <v>45806</v>
      </c>
      <c r="C33" s="409"/>
      <c r="D33" s="409"/>
      <c r="E33" s="246" t="s">
        <v>765</v>
      </c>
      <c r="F33" s="202">
        <v>1136</v>
      </c>
      <c r="G33" s="203"/>
      <c r="H33" s="203"/>
      <c r="I33" s="263">
        <f t="shared" si="0"/>
        <v>1136</v>
      </c>
    </row>
    <row r="34" spans="2:9" ht="15.75" hidden="1" customHeight="1" outlineLevel="1" thickBot="1" x14ac:dyDescent="0.3">
      <c r="B34" s="245">
        <f>IF(AND(F31&lt;&gt;"", B29&lt;&gt;""), B29+1, "")</f>
        <v>45806</v>
      </c>
      <c r="C34" s="409"/>
      <c r="D34" s="409"/>
      <c r="E34" s="246" t="s">
        <v>766</v>
      </c>
      <c r="F34" s="202">
        <v>0</v>
      </c>
      <c r="G34" s="203"/>
      <c r="H34" s="203"/>
      <c r="I34" s="263">
        <f t="shared" si="0"/>
        <v>0</v>
      </c>
    </row>
    <row r="35" spans="2:9" ht="15.75" hidden="1" customHeight="1" outlineLevel="1" thickBot="1" x14ac:dyDescent="0.3">
      <c r="B35" s="249">
        <f>IF(AND(F31&lt;&gt;"", B30&lt;&gt;""), B30+1, "")</f>
        <v>45806</v>
      </c>
      <c r="C35" s="416"/>
      <c r="D35" s="416"/>
      <c r="E35" s="250" t="s">
        <v>767</v>
      </c>
      <c r="F35" s="204">
        <v>300</v>
      </c>
      <c r="G35" s="205"/>
      <c r="H35" s="205"/>
      <c r="I35" s="264">
        <f t="shared" si="0"/>
        <v>300</v>
      </c>
    </row>
    <row r="36" spans="2:9" ht="15.75" hidden="1" customHeight="1" outlineLevel="1" thickBot="1" x14ac:dyDescent="0.3">
      <c r="B36" s="241">
        <f>IF(AND(F36&lt;&gt;"", B31&lt;&gt;""), B31+1, "")</f>
        <v>45807</v>
      </c>
      <c r="C36" s="442">
        <v>45807</v>
      </c>
      <c r="D36" s="443">
        <f>D31+1</f>
        <v>45807</v>
      </c>
      <c r="E36" s="246" t="s">
        <v>394</v>
      </c>
      <c r="F36" s="202">
        <v>3700</v>
      </c>
      <c r="G36" s="203"/>
      <c r="H36" s="203"/>
      <c r="I36" s="263">
        <f t="shared" si="0"/>
        <v>3700</v>
      </c>
    </row>
    <row r="37" spans="2:9" ht="15.75" hidden="1" customHeight="1" outlineLevel="1" thickBot="1" x14ac:dyDescent="0.3">
      <c r="B37" s="245">
        <f>IF(AND(F36&lt;&gt;"", B32&lt;&gt;""), B32+1, "")</f>
        <v>45807</v>
      </c>
      <c r="C37" s="409"/>
      <c r="D37" s="409"/>
      <c r="E37" s="246" t="s">
        <v>764</v>
      </c>
      <c r="F37" s="202">
        <v>4697</v>
      </c>
      <c r="G37" s="203"/>
      <c r="H37" s="203"/>
      <c r="I37" s="263">
        <f t="shared" si="0"/>
        <v>4697</v>
      </c>
    </row>
    <row r="38" spans="2:9" ht="15.75" hidden="1" customHeight="1" outlineLevel="1" thickBot="1" x14ac:dyDescent="0.3">
      <c r="B38" s="245">
        <f>IF(AND(F36&lt;&gt;"", B33&lt;&gt;""), B33+1, "")</f>
        <v>45807</v>
      </c>
      <c r="C38" s="409"/>
      <c r="D38" s="409"/>
      <c r="E38" s="246" t="s">
        <v>765</v>
      </c>
      <c r="F38" s="202">
        <v>1136</v>
      </c>
      <c r="G38" s="203"/>
      <c r="H38" s="203"/>
      <c r="I38" s="263">
        <f t="shared" si="0"/>
        <v>1136</v>
      </c>
    </row>
    <row r="39" spans="2:9" ht="15.75" hidden="1" customHeight="1" outlineLevel="1" thickBot="1" x14ac:dyDescent="0.3">
      <c r="B39" s="245">
        <f>IF(AND(F36&lt;&gt;"", B34&lt;&gt;""), B34+1, "")</f>
        <v>45807</v>
      </c>
      <c r="C39" s="409"/>
      <c r="D39" s="409"/>
      <c r="E39" s="246" t="s">
        <v>766</v>
      </c>
      <c r="F39" s="202">
        <v>0</v>
      </c>
      <c r="G39" s="203"/>
      <c r="H39" s="203"/>
      <c r="I39" s="263">
        <f t="shared" si="0"/>
        <v>0</v>
      </c>
    </row>
    <row r="40" spans="2:9" ht="15.75" hidden="1" customHeight="1" outlineLevel="1" thickBot="1" x14ac:dyDescent="0.3">
      <c r="B40" s="249">
        <f>IF(AND(F36&lt;&gt;"", B35&lt;&gt;""), B35+1, "")</f>
        <v>45807</v>
      </c>
      <c r="C40" s="416"/>
      <c r="D40" s="416"/>
      <c r="E40" s="250" t="s">
        <v>767</v>
      </c>
      <c r="F40" s="204">
        <v>300</v>
      </c>
      <c r="G40" s="205"/>
      <c r="H40" s="205"/>
      <c r="I40" s="264">
        <f t="shared" si="0"/>
        <v>300</v>
      </c>
    </row>
    <row r="41" spans="2:9" ht="15.75" hidden="1" customHeight="1" outlineLevel="1" thickBot="1" x14ac:dyDescent="0.3">
      <c r="B41" s="241">
        <f>IF(AND(F41&lt;&gt;"", B36&lt;&gt;""), B36+1, "")</f>
        <v>45808</v>
      </c>
      <c r="C41" s="442">
        <v>45808</v>
      </c>
      <c r="D41" s="443">
        <f>D36+1</f>
        <v>45808</v>
      </c>
      <c r="E41" s="246" t="s">
        <v>394</v>
      </c>
      <c r="F41" s="202">
        <v>3700</v>
      </c>
      <c r="G41" s="203">
        <v>1000</v>
      </c>
      <c r="H41" s="203">
        <v>517</v>
      </c>
      <c r="I41" s="263">
        <f t="shared" si="0"/>
        <v>4183</v>
      </c>
    </row>
    <row r="42" spans="2:9" ht="15.75" hidden="1" customHeight="1" outlineLevel="1" thickBot="1" x14ac:dyDescent="0.3">
      <c r="B42" s="245">
        <f>IF(AND(F41&lt;&gt;"", B37&lt;&gt;""), B37+1, "")</f>
        <v>45808</v>
      </c>
      <c r="C42" s="409"/>
      <c r="D42" s="409"/>
      <c r="E42" s="246" t="s">
        <v>764</v>
      </c>
      <c r="F42" s="202">
        <v>4697</v>
      </c>
      <c r="G42" s="203"/>
      <c r="H42" s="203"/>
      <c r="I42" s="263">
        <f t="shared" si="0"/>
        <v>4697</v>
      </c>
    </row>
    <row r="43" spans="2:9" ht="15.75" hidden="1" customHeight="1" outlineLevel="1" thickBot="1" x14ac:dyDescent="0.3">
      <c r="B43" s="245">
        <f>IF(AND(F41&lt;&gt;"", B38&lt;&gt;""), B38+1, "")</f>
        <v>45808</v>
      </c>
      <c r="C43" s="409"/>
      <c r="D43" s="409"/>
      <c r="E43" s="246" t="s">
        <v>765</v>
      </c>
      <c r="F43" s="202">
        <v>1136</v>
      </c>
      <c r="G43" s="203"/>
      <c r="H43" s="203"/>
      <c r="I43" s="263">
        <f t="shared" si="0"/>
        <v>1136</v>
      </c>
    </row>
    <row r="44" spans="2:9" ht="15.75" hidden="1" customHeight="1" outlineLevel="1" thickBot="1" x14ac:dyDescent="0.3">
      <c r="B44" s="245">
        <f>IF(AND(F41&lt;&gt;"", B39&lt;&gt;""), B39+1, "")</f>
        <v>45808</v>
      </c>
      <c r="C44" s="409"/>
      <c r="D44" s="409"/>
      <c r="E44" s="246" t="s">
        <v>766</v>
      </c>
      <c r="F44" s="202">
        <v>0</v>
      </c>
      <c r="G44" s="203"/>
      <c r="H44" s="203"/>
      <c r="I44" s="263">
        <f t="shared" si="0"/>
        <v>0</v>
      </c>
    </row>
    <row r="45" spans="2:9" ht="15.75" hidden="1" customHeight="1" outlineLevel="1" thickBot="1" x14ac:dyDescent="0.3">
      <c r="B45" s="245">
        <f>IF(AND(F41&lt;&gt;"", B40&lt;&gt;""), B40+1, "")</f>
        <v>45808</v>
      </c>
      <c r="C45" s="416"/>
      <c r="D45" s="416"/>
      <c r="E45" s="256" t="s">
        <v>767</v>
      </c>
      <c r="F45" s="265">
        <v>300</v>
      </c>
      <c r="G45" s="266"/>
      <c r="H45" s="266"/>
      <c r="I45" s="267">
        <f t="shared" si="0"/>
        <v>300</v>
      </c>
    </row>
    <row r="46" spans="2:9" ht="15.75" hidden="1" customHeight="1" outlineLevel="1" thickBot="1" x14ac:dyDescent="0.3">
      <c r="B46" s="241">
        <f>IF(AND(F46&lt;&gt;"", B41&lt;&gt;""), B41+1, "")</f>
        <v>45809</v>
      </c>
      <c r="C46" s="442">
        <v>45809</v>
      </c>
      <c r="D46" s="443">
        <f>D41+1</f>
        <v>45809</v>
      </c>
      <c r="E46" s="242" t="s">
        <v>394</v>
      </c>
      <c r="F46" s="200">
        <v>4183</v>
      </c>
      <c r="G46" s="200">
        <v>950</v>
      </c>
      <c r="H46" s="200">
        <v>341</v>
      </c>
      <c r="I46" s="262">
        <f t="shared" si="0"/>
        <v>4792</v>
      </c>
    </row>
    <row r="47" spans="2:9" ht="15.75" hidden="1" customHeight="1" outlineLevel="1" thickBot="1" x14ac:dyDescent="0.3">
      <c r="B47" s="245">
        <f>IF(AND(F46&lt;&gt;"", B42&lt;&gt;""), B42+1, "")</f>
        <v>45809</v>
      </c>
      <c r="C47" s="409"/>
      <c r="D47" s="409"/>
      <c r="E47" s="246" t="s">
        <v>764</v>
      </c>
      <c r="F47" s="202">
        <v>4697</v>
      </c>
      <c r="G47" s="202">
        <v>0</v>
      </c>
      <c r="H47" s="202">
        <v>0</v>
      </c>
      <c r="I47" s="263">
        <f t="shared" si="0"/>
        <v>4697</v>
      </c>
    </row>
    <row r="48" spans="2:9" ht="15.75" hidden="1" customHeight="1" outlineLevel="1" thickBot="1" x14ac:dyDescent="0.3">
      <c r="B48" s="245">
        <f>IF(AND(F46&lt;&gt;"", B43&lt;&gt;""), B43+1, "")</f>
        <v>45809</v>
      </c>
      <c r="C48" s="409"/>
      <c r="D48" s="409"/>
      <c r="E48" s="246" t="s">
        <v>765</v>
      </c>
      <c r="F48" s="202">
        <v>1136</v>
      </c>
      <c r="G48" s="202">
        <v>0</v>
      </c>
      <c r="H48" s="202">
        <v>0</v>
      </c>
      <c r="I48" s="263">
        <f t="shared" si="0"/>
        <v>1136</v>
      </c>
    </row>
    <row r="49" spans="2:9" ht="15.75" hidden="1" customHeight="1" outlineLevel="1" thickBot="1" x14ac:dyDescent="0.3">
      <c r="B49" s="245">
        <f>IF(AND(F46&lt;&gt;"", B44&lt;&gt;""), B44+1, "")</f>
        <v>45809</v>
      </c>
      <c r="C49" s="409"/>
      <c r="D49" s="409"/>
      <c r="E49" s="246" t="s">
        <v>766</v>
      </c>
      <c r="F49" s="202">
        <v>0</v>
      </c>
      <c r="G49" s="202">
        <v>0</v>
      </c>
      <c r="H49" s="202">
        <v>0</v>
      </c>
      <c r="I49" s="263">
        <f t="shared" si="0"/>
        <v>0</v>
      </c>
    </row>
    <row r="50" spans="2:9" ht="15.75" hidden="1" customHeight="1" outlineLevel="1" thickBot="1" x14ac:dyDescent="0.3">
      <c r="B50" s="245">
        <f>IF(AND(F46&lt;&gt;"", B45&lt;&gt;""), B45+1, "")</f>
        <v>45809</v>
      </c>
      <c r="C50" s="416"/>
      <c r="D50" s="416"/>
      <c r="E50" s="256" t="s">
        <v>767</v>
      </c>
      <c r="F50" s="265">
        <v>300</v>
      </c>
      <c r="G50" s="265">
        <v>0</v>
      </c>
      <c r="H50" s="265">
        <v>0</v>
      </c>
      <c r="I50" s="267">
        <f t="shared" si="0"/>
        <v>300</v>
      </c>
    </row>
    <row r="51" spans="2:9" ht="15.75" hidden="1" customHeight="1" outlineLevel="1" thickBot="1" x14ac:dyDescent="0.3">
      <c r="B51" s="241">
        <f>IF(AND(F51&lt;&gt;"", B46&lt;&gt;""), B46+1, "")</f>
        <v>45810</v>
      </c>
      <c r="C51" s="442">
        <v>45810</v>
      </c>
      <c r="D51" s="443">
        <f>D46+1</f>
        <v>45810</v>
      </c>
      <c r="E51" s="242" t="s">
        <v>394</v>
      </c>
      <c r="F51" s="200">
        <v>4792</v>
      </c>
      <c r="G51" s="200">
        <v>1020</v>
      </c>
      <c r="H51" s="200">
        <v>500</v>
      </c>
      <c r="I51" s="262">
        <f t="shared" si="0"/>
        <v>5312</v>
      </c>
    </row>
    <row r="52" spans="2:9" ht="15.75" hidden="1" customHeight="1" outlineLevel="1" thickBot="1" x14ac:dyDescent="0.3">
      <c r="B52" s="245">
        <f>IF(AND(F51&lt;&gt;"", B47&lt;&gt;""), B47+1, "")</f>
        <v>45810</v>
      </c>
      <c r="C52" s="409"/>
      <c r="D52" s="409"/>
      <c r="E52" s="246" t="s">
        <v>764</v>
      </c>
      <c r="F52" s="202">
        <v>4697</v>
      </c>
      <c r="G52" s="202">
        <v>0</v>
      </c>
      <c r="H52" s="202">
        <v>0</v>
      </c>
      <c r="I52" s="263">
        <f t="shared" si="0"/>
        <v>4697</v>
      </c>
    </row>
    <row r="53" spans="2:9" ht="15.75" hidden="1" customHeight="1" outlineLevel="1" thickBot="1" x14ac:dyDescent="0.3">
      <c r="B53" s="245">
        <f>IF(AND(F51&lt;&gt;"", B48&lt;&gt;""), B48+1, "")</f>
        <v>45810</v>
      </c>
      <c r="C53" s="409"/>
      <c r="D53" s="409"/>
      <c r="E53" s="246" t="s">
        <v>765</v>
      </c>
      <c r="F53" s="202">
        <v>1136</v>
      </c>
      <c r="G53" s="202">
        <v>0</v>
      </c>
      <c r="H53" s="202">
        <v>0</v>
      </c>
      <c r="I53" s="263">
        <f t="shared" si="0"/>
        <v>1136</v>
      </c>
    </row>
    <row r="54" spans="2:9" ht="15.75" hidden="1" customHeight="1" outlineLevel="1" thickBot="1" x14ac:dyDescent="0.3">
      <c r="B54" s="245">
        <f>IF(AND(F51&lt;&gt;"", B49&lt;&gt;""), B49+1, "")</f>
        <v>45810</v>
      </c>
      <c r="C54" s="409"/>
      <c r="D54" s="409"/>
      <c r="E54" s="246" t="s">
        <v>766</v>
      </c>
      <c r="F54" s="202">
        <v>0</v>
      </c>
      <c r="G54" s="202">
        <v>0</v>
      </c>
      <c r="H54" s="202">
        <v>0</v>
      </c>
      <c r="I54" s="263">
        <f t="shared" si="0"/>
        <v>0</v>
      </c>
    </row>
    <row r="55" spans="2:9" ht="15.75" hidden="1" customHeight="1" outlineLevel="1" thickBot="1" x14ac:dyDescent="0.3">
      <c r="B55" s="249">
        <f>IF(AND(F51&lt;&gt;"", B50&lt;&gt;""), B50+1, "")</f>
        <v>45810</v>
      </c>
      <c r="C55" s="416"/>
      <c r="D55" s="416"/>
      <c r="E55" s="250" t="s">
        <v>767</v>
      </c>
      <c r="F55" s="204">
        <v>300</v>
      </c>
      <c r="G55" s="204">
        <v>0</v>
      </c>
      <c r="H55" s="204">
        <v>0</v>
      </c>
      <c r="I55" s="264">
        <f t="shared" si="0"/>
        <v>300</v>
      </c>
    </row>
    <row r="56" spans="2:9" ht="15.75" hidden="1" customHeight="1" outlineLevel="1" thickBot="1" x14ac:dyDescent="0.3">
      <c r="B56" s="241">
        <f>IF(AND(F56&lt;&gt;"", B51&lt;&gt;""), B51+1, "")</f>
        <v>45811</v>
      </c>
      <c r="C56" s="442">
        <v>45811</v>
      </c>
      <c r="D56" s="443">
        <f>D51+1</f>
        <v>45811</v>
      </c>
      <c r="E56" s="242" t="s">
        <v>394</v>
      </c>
      <c r="F56" s="200">
        <v>5312</v>
      </c>
      <c r="G56" s="200">
        <v>790</v>
      </c>
      <c r="H56" s="200">
        <v>420</v>
      </c>
      <c r="I56" s="262">
        <f t="shared" si="0"/>
        <v>5682</v>
      </c>
    </row>
    <row r="57" spans="2:9" ht="15.75" hidden="1" customHeight="1" outlineLevel="1" thickBot="1" x14ac:dyDescent="0.3">
      <c r="B57" s="245">
        <f>IF(AND(F56&lt;&gt;"", B52&lt;&gt;""), B52+1, "")</f>
        <v>45811</v>
      </c>
      <c r="C57" s="409"/>
      <c r="D57" s="409"/>
      <c r="E57" s="246" t="s">
        <v>764</v>
      </c>
      <c r="F57" s="202">
        <v>4697</v>
      </c>
      <c r="G57" s="202">
        <v>0</v>
      </c>
      <c r="H57" s="202">
        <v>0</v>
      </c>
      <c r="I57" s="263">
        <f t="shared" si="0"/>
        <v>4697</v>
      </c>
    </row>
    <row r="58" spans="2:9" ht="15.75" hidden="1" customHeight="1" outlineLevel="1" thickBot="1" x14ac:dyDescent="0.3">
      <c r="B58" s="245">
        <f>IF(AND(F56&lt;&gt;"", B53&lt;&gt;""), B53+1, "")</f>
        <v>45811</v>
      </c>
      <c r="C58" s="409"/>
      <c r="D58" s="409"/>
      <c r="E58" s="246" t="s">
        <v>765</v>
      </c>
      <c r="F58" s="202">
        <v>1136</v>
      </c>
      <c r="G58" s="202">
        <v>0</v>
      </c>
      <c r="H58" s="202">
        <v>0</v>
      </c>
      <c r="I58" s="263">
        <f t="shared" si="0"/>
        <v>1136</v>
      </c>
    </row>
    <row r="59" spans="2:9" ht="15.75" hidden="1" customHeight="1" outlineLevel="1" thickBot="1" x14ac:dyDescent="0.3">
      <c r="B59" s="245">
        <f>IF(AND(F56&lt;&gt;"", B54&lt;&gt;""), B54+1, "")</f>
        <v>45811</v>
      </c>
      <c r="C59" s="409"/>
      <c r="D59" s="409"/>
      <c r="E59" s="246" t="s">
        <v>766</v>
      </c>
      <c r="F59" s="202">
        <v>0</v>
      </c>
      <c r="G59" s="202">
        <v>0</v>
      </c>
      <c r="H59" s="202">
        <v>0</v>
      </c>
      <c r="I59" s="263">
        <f t="shared" si="0"/>
        <v>0</v>
      </c>
    </row>
    <row r="60" spans="2:9" ht="15.75" hidden="1" customHeight="1" outlineLevel="1" thickBot="1" x14ac:dyDescent="0.3">
      <c r="B60" s="249">
        <f>IF(AND(F56&lt;&gt;"", B55&lt;&gt;""), B55+1, "")</f>
        <v>45811</v>
      </c>
      <c r="C60" s="416"/>
      <c r="D60" s="416"/>
      <c r="E60" s="250" t="s">
        <v>767</v>
      </c>
      <c r="F60" s="204">
        <v>300</v>
      </c>
      <c r="G60" s="204">
        <v>0</v>
      </c>
      <c r="H60" s="204">
        <v>0</v>
      </c>
      <c r="I60" s="264">
        <f t="shared" si="0"/>
        <v>300</v>
      </c>
    </row>
    <row r="61" spans="2:9" ht="15.75" hidden="1" customHeight="1" outlineLevel="1" thickBot="1" x14ac:dyDescent="0.3">
      <c r="B61" s="241">
        <f>IF(AND(F61&lt;&gt;"", B56&lt;&gt;""), B56+1, "")</f>
        <v>45812</v>
      </c>
      <c r="C61" s="442">
        <v>45812</v>
      </c>
      <c r="D61" s="443">
        <f>D56+1</f>
        <v>45812</v>
      </c>
      <c r="E61" s="242" t="s">
        <v>394</v>
      </c>
      <c r="F61" s="200">
        <v>5682</v>
      </c>
      <c r="G61" s="200">
        <v>0</v>
      </c>
      <c r="H61" s="200">
        <v>500</v>
      </c>
      <c r="I61" s="262">
        <f t="shared" si="0"/>
        <v>5182</v>
      </c>
    </row>
    <row r="62" spans="2:9" ht="15.75" hidden="1" customHeight="1" outlineLevel="1" thickBot="1" x14ac:dyDescent="0.3">
      <c r="B62" s="245">
        <f>IF(AND(F61&lt;&gt;"", B57&lt;&gt;""), B57+1, "")</f>
        <v>45812</v>
      </c>
      <c r="C62" s="409"/>
      <c r="D62" s="409"/>
      <c r="E62" s="246" t="s">
        <v>764</v>
      </c>
      <c r="F62" s="202">
        <v>4697</v>
      </c>
      <c r="G62" s="202">
        <v>0</v>
      </c>
      <c r="H62" s="202">
        <v>0</v>
      </c>
      <c r="I62" s="263">
        <f t="shared" si="0"/>
        <v>4697</v>
      </c>
    </row>
    <row r="63" spans="2:9" ht="15.75" hidden="1" customHeight="1" outlineLevel="1" thickBot="1" x14ac:dyDescent="0.3">
      <c r="B63" s="245">
        <f>IF(AND(F61&lt;&gt;"", B58&lt;&gt;""), B58+1, "")</f>
        <v>45812</v>
      </c>
      <c r="C63" s="409"/>
      <c r="D63" s="409"/>
      <c r="E63" s="246" t="s">
        <v>765</v>
      </c>
      <c r="F63" s="202">
        <v>1136</v>
      </c>
      <c r="G63" s="202">
        <v>0</v>
      </c>
      <c r="H63" s="202">
        <v>0</v>
      </c>
      <c r="I63" s="263">
        <f t="shared" si="0"/>
        <v>1136</v>
      </c>
    </row>
    <row r="64" spans="2:9" ht="15.75" hidden="1" customHeight="1" outlineLevel="1" thickBot="1" x14ac:dyDescent="0.3">
      <c r="B64" s="245">
        <f>IF(AND(F61&lt;&gt;"", B59&lt;&gt;""), B59+1, "")</f>
        <v>45812</v>
      </c>
      <c r="C64" s="409"/>
      <c r="D64" s="409"/>
      <c r="E64" s="246" t="s">
        <v>766</v>
      </c>
      <c r="F64" s="202">
        <v>0</v>
      </c>
      <c r="G64" s="202">
        <v>0</v>
      </c>
      <c r="H64" s="202">
        <v>0</v>
      </c>
      <c r="I64" s="263">
        <f t="shared" si="0"/>
        <v>0</v>
      </c>
    </row>
    <row r="65" spans="2:9" ht="15.75" hidden="1" customHeight="1" outlineLevel="1" thickBot="1" x14ac:dyDescent="0.3">
      <c r="B65" s="249">
        <f>IF(AND(F61&lt;&gt;"", B60&lt;&gt;""), B60+1, "")</f>
        <v>45812</v>
      </c>
      <c r="C65" s="416"/>
      <c r="D65" s="416"/>
      <c r="E65" s="250" t="s">
        <v>767</v>
      </c>
      <c r="F65" s="204">
        <v>300</v>
      </c>
      <c r="G65" s="204">
        <v>0</v>
      </c>
      <c r="H65" s="204">
        <v>0</v>
      </c>
      <c r="I65" s="264">
        <f t="shared" si="0"/>
        <v>300</v>
      </c>
    </row>
    <row r="66" spans="2:9" ht="15.75" hidden="1" customHeight="1" outlineLevel="1" thickBot="1" x14ac:dyDescent="0.3">
      <c r="B66" s="241">
        <f>IF(AND(F66&lt;&gt;"", B61&lt;&gt;""), B61+1, "")</f>
        <v>45813</v>
      </c>
      <c r="C66" s="442">
        <v>45813</v>
      </c>
      <c r="D66" s="443">
        <f>D61+1</f>
        <v>45813</v>
      </c>
      <c r="E66" s="242" t="s">
        <v>394</v>
      </c>
      <c r="F66" s="200">
        <v>5182</v>
      </c>
      <c r="G66" s="200">
        <v>0</v>
      </c>
      <c r="H66" s="200">
        <v>100</v>
      </c>
      <c r="I66" s="262">
        <f t="shared" si="0"/>
        <v>5082</v>
      </c>
    </row>
    <row r="67" spans="2:9" ht="15.75" hidden="1" customHeight="1" outlineLevel="1" thickBot="1" x14ac:dyDescent="0.3">
      <c r="B67" s="245">
        <f>IF(AND(F66&lt;&gt;"", B62&lt;&gt;""), B62+1, "")</f>
        <v>45813</v>
      </c>
      <c r="C67" s="409"/>
      <c r="D67" s="409"/>
      <c r="E67" s="246" t="s">
        <v>764</v>
      </c>
      <c r="F67" s="202">
        <v>4697</v>
      </c>
      <c r="G67" s="202">
        <v>0</v>
      </c>
      <c r="H67" s="202">
        <v>0</v>
      </c>
      <c r="I67" s="263">
        <f t="shared" si="0"/>
        <v>4697</v>
      </c>
    </row>
    <row r="68" spans="2:9" ht="15.75" hidden="1" customHeight="1" outlineLevel="1" thickBot="1" x14ac:dyDescent="0.3">
      <c r="B68" s="245">
        <f>IF(AND(F66&lt;&gt;"", B63&lt;&gt;""), B63+1, "")</f>
        <v>45813</v>
      </c>
      <c r="C68" s="409"/>
      <c r="D68" s="409"/>
      <c r="E68" s="246" t="s">
        <v>765</v>
      </c>
      <c r="F68" s="202">
        <v>1136</v>
      </c>
      <c r="G68" s="202">
        <v>0</v>
      </c>
      <c r="H68" s="202">
        <v>0</v>
      </c>
      <c r="I68" s="263">
        <f t="shared" si="0"/>
        <v>1136</v>
      </c>
    </row>
    <row r="69" spans="2:9" ht="15.75" hidden="1" customHeight="1" outlineLevel="1" thickBot="1" x14ac:dyDescent="0.3">
      <c r="B69" s="245">
        <f>IF(AND(F66&lt;&gt;"", B64&lt;&gt;""), B64+1, "")</f>
        <v>45813</v>
      </c>
      <c r="C69" s="409"/>
      <c r="D69" s="409"/>
      <c r="E69" s="246" t="s">
        <v>766</v>
      </c>
      <c r="F69" s="202">
        <v>0</v>
      </c>
      <c r="G69" s="202">
        <v>0</v>
      </c>
      <c r="H69" s="202">
        <v>0</v>
      </c>
      <c r="I69" s="263">
        <f t="shared" si="0"/>
        <v>0</v>
      </c>
    </row>
    <row r="70" spans="2:9" ht="15.75" hidden="1" customHeight="1" outlineLevel="1" thickBot="1" x14ac:dyDescent="0.3">
      <c r="B70" s="249">
        <f>IF(AND(F66&lt;&gt;"", B65&lt;&gt;""), B65+1, "")</f>
        <v>45813</v>
      </c>
      <c r="C70" s="416"/>
      <c r="D70" s="416"/>
      <c r="E70" s="250" t="s">
        <v>767</v>
      </c>
      <c r="F70" s="204">
        <v>300</v>
      </c>
      <c r="G70" s="204">
        <v>0</v>
      </c>
      <c r="H70" s="204">
        <v>0</v>
      </c>
      <c r="I70" s="264">
        <f t="shared" si="0"/>
        <v>300</v>
      </c>
    </row>
    <row r="71" spans="2:9" ht="15.75" hidden="1" customHeight="1" outlineLevel="1" thickBot="1" x14ac:dyDescent="0.3">
      <c r="B71" s="241">
        <f>IF(AND(F71&lt;&gt;"", B66&lt;&gt;""), B66+1, "")</f>
        <v>45814</v>
      </c>
      <c r="C71" s="442">
        <v>45814</v>
      </c>
      <c r="D71" s="443">
        <f>D66+1</f>
        <v>45814</v>
      </c>
      <c r="E71" s="242" t="s">
        <v>394</v>
      </c>
      <c r="F71" s="200">
        <v>0</v>
      </c>
      <c r="G71" s="200">
        <v>0</v>
      </c>
      <c r="H71" s="200">
        <v>0</v>
      </c>
      <c r="I71" s="262">
        <f t="shared" si="0"/>
        <v>0</v>
      </c>
    </row>
    <row r="72" spans="2:9" ht="15.75" hidden="1" customHeight="1" outlineLevel="1" thickBot="1" x14ac:dyDescent="0.3">
      <c r="B72" s="245">
        <f>IF(AND(F71&lt;&gt;"", B67&lt;&gt;""), B67+1, "")</f>
        <v>45814</v>
      </c>
      <c r="C72" s="409"/>
      <c r="D72" s="409"/>
      <c r="E72" s="246" t="s">
        <v>764</v>
      </c>
      <c r="F72" s="202">
        <v>0</v>
      </c>
      <c r="G72" s="202">
        <v>0</v>
      </c>
      <c r="H72" s="202">
        <v>0</v>
      </c>
      <c r="I72" s="263">
        <f t="shared" si="0"/>
        <v>0</v>
      </c>
    </row>
    <row r="73" spans="2:9" ht="15.75" hidden="1" customHeight="1" outlineLevel="1" thickBot="1" x14ac:dyDescent="0.3">
      <c r="B73" s="245">
        <f>IF(AND(F71&lt;&gt;"", B68&lt;&gt;""), B68+1, "")</f>
        <v>45814</v>
      </c>
      <c r="C73" s="409"/>
      <c r="D73" s="409"/>
      <c r="E73" s="246" t="s">
        <v>765</v>
      </c>
      <c r="F73" s="202">
        <v>0</v>
      </c>
      <c r="G73" s="202">
        <v>0</v>
      </c>
      <c r="H73" s="202">
        <v>0</v>
      </c>
      <c r="I73" s="263">
        <f t="shared" si="0"/>
        <v>0</v>
      </c>
    </row>
    <row r="74" spans="2:9" ht="15.75" hidden="1" customHeight="1" outlineLevel="1" thickBot="1" x14ac:dyDescent="0.3">
      <c r="B74" s="245">
        <f>IF(AND(F71&lt;&gt;"", B69&lt;&gt;""), B69+1, "")</f>
        <v>45814</v>
      </c>
      <c r="C74" s="409"/>
      <c r="D74" s="409"/>
      <c r="E74" s="246" t="s">
        <v>766</v>
      </c>
      <c r="F74" s="202">
        <v>0</v>
      </c>
      <c r="G74" s="202">
        <v>0</v>
      </c>
      <c r="H74" s="202">
        <v>0</v>
      </c>
      <c r="I74" s="263">
        <f t="shared" si="0"/>
        <v>0</v>
      </c>
    </row>
    <row r="75" spans="2:9" ht="15.75" hidden="1" customHeight="1" outlineLevel="1" thickBot="1" x14ac:dyDescent="0.3">
      <c r="B75" s="249">
        <f>IF(AND(F71&lt;&gt;"", B70&lt;&gt;""), B70+1, "")</f>
        <v>45814</v>
      </c>
      <c r="C75" s="416"/>
      <c r="D75" s="416"/>
      <c r="E75" s="250" t="s">
        <v>767</v>
      </c>
      <c r="F75" s="204">
        <v>0</v>
      </c>
      <c r="G75" s="204">
        <v>0</v>
      </c>
      <c r="H75" s="204">
        <v>0</v>
      </c>
      <c r="I75" s="264">
        <f t="shared" si="0"/>
        <v>0</v>
      </c>
    </row>
    <row r="76" spans="2:9" ht="15.75" hidden="1" customHeight="1" outlineLevel="1" thickBot="1" x14ac:dyDescent="0.3">
      <c r="B76" s="241">
        <f>IF(AND(F76&lt;&gt;"", B71&lt;&gt;""), B71+1, "")</f>
        <v>45815</v>
      </c>
      <c r="C76" s="442">
        <v>45815</v>
      </c>
      <c r="D76" s="443">
        <f>D71+1</f>
        <v>45815</v>
      </c>
      <c r="E76" s="242" t="s">
        <v>394</v>
      </c>
      <c r="F76" s="200">
        <v>0</v>
      </c>
      <c r="G76" s="200">
        <v>0</v>
      </c>
      <c r="H76" s="200">
        <v>0</v>
      </c>
      <c r="I76" s="262">
        <f t="shared" si="0"/>
        <v>0</v>
      </c>
    </row>
    <row r="77" spans="2:9" ht="15.75" hidden="1" customHeight="1" outlineLevel="1" thickBot="1" x14ac:dyDescent="0.3">
      <c r="B77" s="245">
        <f>IF(AND(F76&lt;&gt;"", B72&lt;&gt;""), B72+1, "")</f>
        <v>45815</v>
      </c>
      <c r="C77" s="409"/>
      <c r="D77" s="409"/>
      <c r="E77" s="246" t="s">
        <v>764</v>
      </c>
      <c r="F77" s="202">
        <v>0</v>
      </c>
      <c r="G77" s="202">
        <v>0</v>
      </c>
      <c r="H77" s="202">
        <v>0</v>
      </c>
      <c r="I77" s="263">
        <f t="shared" si="0"/>
        <v>0</v>
      </c>
    </row>
    <row r="78" spans="2:9" ht="15.75" hidden="1" customHeight="1" outlineLevel="1" thickBot="1" x14ac:dyDescent="0.3">
      <c r="B78" s="245">
        <f>IF(AND(F76&lt;&gt;"", B73&lt;&gt;""), B73+1, "")</f>
        <v>45815</v>
      </c>
      <c r="C78" s="409"/>
      <c r="D78" s="409"/>
      <c r="E78" s="246" t="s">
        <v>765</v>
      </c>
      <c r="F78" s="202">
        <v>0</v>
      </c>
      <c r="G78" s="202">
        <v>0</v>
      </c>
      <c r="H78" s="202">
        <v>0</v>
      </c>
      <c r="I78" s="263">
        <f t="shared" si="0"/>
        <v>0</v>
      </c>
    </row>
    <row r="79" spans="2:9" ht="15.75" hidden="1" customHeight="1" outlineLevel="1" thickBot="1" x14ac:dyDescent="0.3">
      <c r="B79" s="245">
        <f>IF(AND(F76&lt;&gt;"", B74&lt;&gt;""), B74+1, "")</f>
        <v>45815</v>
      </c>
      <c r="C79" s="409"/>
      <c r="D79" s="409"/>
      <c r="E79" s="246" t="s">
        <v>766</v>
      </c>
      <c r="F79" s="202">
        <v>0</v>
      </c>
      <c r="G79" s="202">
        <v>0</v>
      </c>
      <c r="H79" s="202">
        <v>0</v>
      </c>
      <c r="I79" s="263">
        <f t="shared" si="0"/>
        <v>0</v>
      </c>
    </row>
    <row r="80" spans="2:9" ht="15.75" hidden="1" customHeight="1" outlineLevel="1" thickBot="1" x14ac:dyDescent="0.3">
      <c r="B80" s="249">
        <f>IF(AND(F76&lt;&gt;"", B75&lt;&gt;""), B75+1, "")</f>
        <v>45815</v>
      </c>
      <c r="C80" s="416"/>
      <c r="D80" s="416"/>
      <c r="E80" s="250" t="s">
        <v>767</v>
      </c>
      <c r="F80" s="204">
        <v>0</v>
      </c>
      <c r="G80" s="204">
        <v>0</v>
      </c>
      <c r="H80" s="204">
        <v>0</v>
      </c>
      <c r="I80" s="264">
        <f t="shared" si="0"/>
        <v>0</v>
      </c>
    </row>
    <row r="81" spans="2:9" ht="15.75" hidden="1" customHeight="1" outlineLevel="1" thickBot="1" x14ac:dyDescent="0.3">
      <c r="B81" s="241">
        <f>IF(AND(F81&lt;&gt;"", B76&lt;&gt;""), B76+1, "")</f>
        <v>45816</v>
      </c>
      <c r="C81" s="442">
        <v>45816</v>
      </c>
      <c r="D81" s="443">
        <f>D76+1</f>
        <v>45816</v>
      </c>
      <c r="E81" s="242" t="s">
        <v>394</v>
      </c>
      <c r="F81" s="200">
        <v>0</v>
      </c>
      <c r="G81" s="200">
        <v>0</v>
      </c>
      <c r="H81" s="200">
        <v>0</v>
      </c>
      <c r="I81" s="262">
        <f t="shared" ref="I81:I144" si="1">F81+G81-H81</f>
        <v>0</v>
      </c>
    </row>
    <row r="82" spans="2:9" ht="15.75" hidden="1" customHeight="1" outlineLevel="1" thickBot="1" x14ac:dyDescent="0.3">
      <c r="B82" s="245">
        <f>IF(AND(F81&lt;&gt;"", B77&lt;&gt;""), B77+1, "")</f>
        <v>45816</v>
      </c>
      <c r="C82" s="409"/>
      <c r="D82" s="409"/>
      <c r="E82" s="246" t="s">
        <v>764</v>
      </c>
      <c r="F82" s="202">
        <v>0</v>
      </c>
      <c r="G82" s="202">
        <v>0</v>
      </c>
      <c r="H82" s="202">
        <v>0</v>
      </c>
      <c r="I82" s="263">
        <f t="shared" si="1"/>
        <v>0</v>
      </c>
    </row>
    <row r="83" spans="2:9" ht="15.75" hidden="1" customHeight="1" outlineLevel="1" thickBot="1" x14ac:dyDescent="0.3">
      <c r="B83" s="245">
        <f>IF(AND(F81&lt;&gt;"", B78&lt;&gt;""), B78+1, "")</f>
        <v>45816</v>
      </c>
      <c r="C83" s="409"/>
      <c r="D83" s="409"/>
      <c r="E83" s="246" t="s">
        <v>765</v>
      </c>
      <c r="F83" s="202">
        <v>0</v>
      </c>
      <c r="G83" s="202">
        <v>0</v>
      </c>
      <c r="H83" s="202">
        <v>0</v>
      </c>
      <c r="I83" s="263">
        <f t="shared" si="1"/>
        <v>0</v>
      </c>
    </row>
    <row r="84" spans="2:9" ht="15.75" hidden="1" customHeight="1" outlineLevel="1" thickBot="1" x14ac:dyDescent="0.3">
      <c r="B84" s="245">
        <f>IF(AND(F81&lt;&gt;"", B79&lt;&gt;""), B79+1, "")</f>
        <v>45816</v>
      </c>
      <c r="C84" s="409"/>
      <c r="D84" s="409"/>
      <c r="E84" s="246" t="s">
        <v>766</v>
      </c>
      <c r="F84" s="202">
        <v>0</v>
      </c>
      <c r="G84" s="202">
        <v>0</v>
      </c>
      <c r="H84" s="202">
        <v>0</v>
      </c>
      <c r="I84" s="263">
        <f t="shared" si="1"/>
        <v>0</v>
      </c>
    </row>
    <row r="85" spans="2:9" ht="15.75" hidden="1" customHeight="1" outlineLevel="1" thickBot="1" x14ac:dyDescent="0.3">
      <c r="B85" s="249">
        <f>IF(AND(F81&lt;&gt;"", B80&lt;&gt;""), B80+1, "")</f>
        <v>45816</v>
      </c>
      <c r="C85" s="416"/>
      <c r="D85" s="416"/>
      <c r="E85" s="250" t="s">
        <v>767</v>
      </c>
      <c r="F85" s="204">
        <v>0</v>
      </c>
      <c r="G85" s="204">
        <v>0</v>
      </c>
      <c r="H85" s="204">
        <v>0</v>
      </c>
      <c r="I85" s="264">
        <f t="shared" si="1"/>
        <v>0</v>
      </c>
    </row>
    <row r="86" spans="2:9" ht="15.75" hidden="1" customHeight="1" outlineLevel="1" thickBot="1" x14ac:dyDescent="0.3">
      <c r="B86" s="241">
        <f>IF(AND(F86&lt;&gt;"", B81&lt;&gt;""), B81+1, "")</f>
        <v>45817</v>
      </c>
      <c r="C86" s="442">
        <v>45817</v>
      </c>
      <c r="D86" s="443">
        <f>D81+1</f>
        <v>45817</v>
      </c>
      <c r="E86" s="242" t="s">
        <v>394</v>
      </c>
      <c r="F86" s="200">
        <v>0</v>
      </c>
      <c r="G86" s="200">
        <v>0</v>
      </c>
      <c r="H86" s="200">
        <v>0</v>
      </c>
      <c r="I86" s="262">
        <f t="shared" si="1"/>
        <v>0</v>
      </c>
    </row>
    <row r="87" spans="2:9" ht="15.75" hidden="1" customHeight="1" outlineLevel="1" thickBot="1" x14ac:dyDescent="0.3">
      <c r="B87" s="245">
        <f>IF(AND(F86&lt;&gt;"", B82&lt;&gt;""), B82+1, "")</f>
        <v>45817</v>
      </c>
      <c r="C87" s="409"/>
      <c r="D87" s="409"/>
      <c r="E87" s="246" t="s">
        <v>764</v>
      </c>
      <c r="F87" s="202">
        <v>0</v>
      </c>
      <c r="G87" s="202">
        <v>0</v>
      </c>
      <c r="H87" s="202">
        <v>0</v>
      </c>
      <c r="I87" s="263">
        <f t="shared" si="1"/>
        <v>0</v>
      </c>
    </row>
    <row r="88" spans="2:9" ht="15.75" hidden="1" customHeight="1" outlineLevel="1" thickBot="1" x14ac:dyDescent="0.3">
      <c r="B88" s="245">
        <f>IF(AND(F86&lt;&gt;"", B83&lt;&gt;""), B83+1, "")</f>
        <v>45817</v>
      </c>
      <c r="C88" s="409"/>
      <c r="D88" s="409"/>
      <c r="E88" s="246" t="s">
        <v>765</v>
      </c>
      <c r="F88" s="202">
        <v>0</v>
      </c>
      <c r="G88" s="202">
        <v>0</v>
      </c>
      <c r="H88" s="202">
        <v>0</v>
      </c>
      <c r="I88" s="263">
        <f t="shared" si="1"/>
        <v>0</v>
      </c>
    </row>
    <row r="89" spans="2:9" ht="15.75" hidden="1" customHeight="1" outlineLevel="1" thickBot="1" x14ac:dyDescent="0.3">
      <c r="B89" s="245">
        <f>IF(AND(F86&lt;&gt;"", B84&lt;&gt;""), B84+1, "")</f>
        <v>45817</v>
      </c>
      <c r="C89" s="409"/>
      <c r="D89" s="409"/>
      <c r="E89" s="246" t="s">
        <v>766</v>
      </c>
      <c r="F89" s="202">
        <v>0</v>
      </c>
      <c r="G89" s="202">
        <v>0</v>
      </c>
      <c r="H89" s="202">
        <v>0</v>
      </c>
      <c r="I89" s="263">
        <f t="shared" si="1"/>
        <v>0</v>
      </c>
    </row>
    <row r="90" spans="2:9" ht="15.75" hidden="1" customHeight="1" outlineLevel="1" thickBot="1" x14ac:dyDescent="0.3">
      <c r="B90" s="249">
        <f>IF(AND(F86&lt;&gt;"", B85&lt;&gt;""), B85+1, "")</f>
        <v>45817</v>
      </c>
      <c r="C90" s="416"/>
      <c r="D90" s="416"/>
      <c r="E90" s="250" t="s">
        <v>767</v>
      </c>
      <c r="F90" s="204">
        <v>0</v>
      </c>
      <c r="G90" s="204">
        <v>0</v>
      </c>
      <c r="H90" s="204">
        <v>0</v>
      </c>
      <c r="I90" s="264">
        <f t="shared" si="1"/>
        <v>0</v>
      </c>
    </row>
    <row r="91" spans="2:9" ht="15.75" hidden="1" customHeight="1" outlineLevel="1" thickBot="1" x14ac:dyDescent="0.3">
      <c r="B91" s="241">
        <f>IF(AND(F91&lt;&gt;"", B86&lt;&gt;""), B86+1, "")</f>
        <v>45818</v>
      </c>
      <c r="C91" s="442">
        <v>45818</v>
      </c>
      <c r="D91" s="443">
        <f>D86+1</f>
        <v>45818</v>
      </c>
      <c r="E91" s="242" t="s">
        <v>394</v>
      </c>
      <c r="F91" s="200">
        <v>0</v>
      </c>
      <c r="G91" s="200">
        <v>0</v>
      </c>
      <c r="H91" s="200">
        <v>0</v>
      </c>
      <c r="I91" s="262">
        <f t="shared" si="1"/>
        <v>0</v>
      </c>
    </row>
    <row r="92" spans="2:9" ht="15.75" hidden="1" customHeight="1" outlineLevel="1" thickBot="1" x14ac:dyDescent="0.3">
      <c r="B92" s="245">
        <f>IF(AND(F91&lt;&gt;"", B87&lt;&gt;""), B87+1, "")</f>
        <v>45818</v>
      </c>
      <c r="C92" s="409"/>
      <c r="D92" s="409"/>
      <c r="E92" s="246" t="s">
        <v>764</v>
      </c>
      <c r="F92" s="202">
        <v>0</v>
      </c>
      <c r="G92" s="202">
        <v>0</v>
      </c>
      <c r="H92" s="202">
        <v>0</v>
      </c>
      <c r="I92" s="263">
        <f t="shared" si="1"/>
        <v>0</v>
      </c>
    </row>
    <row r="93" spans="2:9" ht="15.75" hidden="1" customHeight="1" outlineLevel="1" thickBot="1" x14ac:dyDescent="0.3">
      <c r="B93" s="245">
        <f>IF(AND(F91&lt;&gt;"", B88&lt;&gt;""), B88+1, "")</f>
        <v>45818</v>
      </c>
      <c r="C93" s="409"/>
      <c r="D93" s="409"/>
      <c r="E93" s="246" t="s">
        <v>765</v>
      </c>
      <c r="F93" s="202">
        <v>0</v>
      </c>
      <c r="G93" s="202">
        <v>0</v>
      </c>
      <c r="H93" s="202">
        <v>0</v>
      </c>
      <c r="I93" s="263">
        <f t="shared" si="1"/>
        <v>0</v>
      </c>
    </row>
    <row r="94" spans="2:9" ht="15.75" hidden="1" customHeight="1" outlineLevel="1" thickBot="1" x14ac:dyDescent="0.3">
      <c r="B94" s="245">
        <f>IF(AND(F91&lt;&gt;"", B89&lt;&gt;""), B89+1, "")</f>
        <v>45818</v>
      </c>
      <c r="C94" s="409"/>
      <c r="D94" s="409"/>
      <c r="E94" s="246" t="s">
        <v>766</v>
      </c>
      <c r="F94" s="202">
        <v>0</v>
      </c>
      <c r="G94" s="202">
        <v>0</v>
      </c>
      <c r="H94" s="202">
        <v>0</v>
      </c>
      <c r="I94" s="263">
        <f t="shared" si="1"/>
        <v>0</v>
      </c>
    </row>
    <row r="95" spans="2:9" ht="15.75" hidden="1" customHeight="1" outlineLevel="1" thickBot="1" x14ac:dyDescent="0.3">
      <c r="B95" s="249">
        <f>IF(AND(F91&lt;&gt;"", B90&lt;&gt;""), B90+1, "")</f>
        <v>45818</v>
      </c>
      <c r="C95" s="416"/>
      <c r="D95" s="416"/>
      <c r="E95" s="250" t="s">
        <v>767</v>
      </c>
      <c r="F95" s="204">
        <v>0</v>
      </c>
      <c r="G95" s="204">
        <v>0</v>
      </c>
      <c r="H95" s="204">
        <v>0</v>
      </c>
      <c r="I95" s="264">
        <f t="shared" si="1"/>
        <v>0</v>
      </c>
    </row>
    <row r="96" spans="2:9" ht="15.75" hidden="1" customHeight="1" outlineLevel="1" thickBot="1" x14ac:dyDescent="0.3">
      <c r="B96" s="241">
        <f>IF(AND(F96&lt;&gt;"", B91&lt;&gt;""), B91+1, "")</f>
        <v>45819</v>
      </c>
      <c r="C96" s="442">
        <v>45819</v>
      </c>
      <c r="D96" s="443">
        <f>D91+1</f>
        <v>45819</v>
      </c>
      <c r="E96" s="242" t="s">
        <v>394</v>
      </c>
      <c r="F96" s="200">
        <v>0</v>
      </c>
      <c r="G96" s="200">
        <v>0</v>
      </c>
      <c r="H96" s="200">
        <v>0</v>
      </c>
      <c r="I96" s="262">
        <f t="shared" si="1"/>
        <v>0</v>
      </c>
    </row>
    <row r="97" spans="2:9" ht="15.75" hidden="1" customHeight="1" outlineLevel="1" thickBot="1" x14ac:dyDescent="0.3">
      <c r="B97" s="245">
        <f>IF(AND(F96&lt;&gt;"", B92&lt;&gt;""), B92+1, "")</f>
        <v>45819</v>
      </c>
      <c r="C97" s="409"/>
      <c r="D97" s="409"/>
      <c r="E97" s="246" t="s">
        <v>764</v>
      </c>
      <c r="F97" s="202">
        <v>0</v>
      </c>
      <c r="G97" s="202">
        <v>0</v>
      </c>
      <c r="H97" s="202">
        <v>0</v>
      </c>
      <c r="I97" s="263">
        <f t="shared" si="1"/>
        <v>0</v>
      </c>
    </row>
    <row r="98" spans="2:9" ht="15.75" hidden="1" customHeight="1" outlineLevel="1" thickBot="1" x14ac:dyDescent="0.3">
      <c r="B98" s="245">
        <f>IF(AND(F96&lt;&gt;"", B93&lt;&gt;""), B93+1, "")</f>
        <v>45819</v>
      </c>
      <c r="C98" s="409"/>
      <c r="D98" s="409"/>
      <c r="E98" s="246" t="s">
        <v>765</v>
      </c>
      <c r="F98" s="202">
        <v>0</v>
      </c>
      <c r="G98" s="202">
        <v>0</v>
      </c>
      <c r="H98" s="202">
        <v>0</v>
      </c>
      <c r="I98" s="263">
        <f t="shared" si="1"/>
        <v>0</v>
      </c>
    </row>
    <row r="99" spans="2:9" ht="15.75" hidden="1" customHeight="1" outlineLevel="1" thickBot="1" x14ac:dyDescent="0.3">
      <c r="B99" s="245">
        <f>IF(AND(F96&lt;&gt;"", B94&lt;&gt;""), B94+1, "")</f>
        <v>45819</v>
      </c>
      <c r="C99" s="409"/>
      <c r="D99" s="409"/>
      <c r="E99" s="246" t="s">
        <v>766</v>
      </c>
      <c r="F99" s="202">
        <v>0</v>
      </c>
      <c r="G99" s="202">
        <v>0</v>
      </c>
      <c r="H99" s="202">
        <v>0</v>
      </c>
      <c r="I99" s="263">
        <f t="shared" si="1"/>
        <v>0</v>
      </c>
    </row>
    <row r="100" spans="2:9" ht="15.75" hidden="1" customHeight="1" outlineLevel="1" thickBot="1" x14ac:dyDescent="0.3">
      <c r="B100" s="249">
        <f>IF(AND(F96&lt;&gt;"", B95&lt;&gt;""), B95+1, "")</f>
        <v>45819</v>
      </c>
      <c r="C100" s="416"/>
      <c r="D100" s="416"/>
      <c r="E100" s="250" t="s">
        <v>767</v>
      </c>
      <c r="F100" s="204">
        <v>0</v>
      </c>
      <c r="G100" s="204">
        <v>0</v>
      </c>
      <c r="H100" s="204">
        <v>0</v>
      </c>
      <c r="I100" s="264">
        <f t="shared" si="1"/>
        <v>0</v>
      </c>
    </row>
    <row r="101" spans="2:9" ht="15.75" hidden="1" customHeight="1" outlineLevel="1" thickBot="1" x14ac:dyDescent="0.3">
      <c r="B101" s="241">
        <f>IF(AND(F101&lt;&gt;"", B96&lt;&gt;""), B96+1, "")</f>
        <v>45820</v>
      </c>
      <c r="C101" s="442">
        <v>45820</v>
      </c>
      <c r="D101" s="443">
        <f>D96+1</f>
        <v>45820</v>
      </c>
      <c r="E101" s="242" t="s">
        <v>394</v>
      </c>
      <c r="F101" s="200">
        <v>0</v>
      </c>
      <c r="G101" s="200">
        <v>0</v>
      </c>
      <c r="H101" s="200">
        <v>0</v>
      </c>
      <c r="I101" s="262">
        <f t="shared" si="1"/>
        <v>0</v>
      </c>
    </row>
    <row r="102" spans="2:9" ht="15.75" hidden="1" customHeight="1" outlineLevel="1" thickBot="1" x14ac:dyDescent="0.3">
      <c r="B102" s="245">
        <f>IF(AND(F101&lt;&gt;"", B97&lt;&gt;""), B97+1, "")</f>
        <v>45820</v>
      </c>
      <c r="C102" s="409"/>
      <c r="D102" s="409"/>
      <c r="E102" s="246" t="s">
        <v>764</v>
      </c>
      <c r="F102" s="202">
        <v>0</v>
      </c>
      <c r="G102" s="202">
        <v>0</v>
      </c>
      <c r="H102" s="202">
        <v>0</v>
      </c>
      <c r="I102" s="263">
        <f t="shared" si="1"/>
        <v>0</v>
      </c>
    </row>
    <row r="103" spans="2:9" ht="15.75" hidden="1" customHeight="1" outlineLevel="1" thickBot="1" x14ac:dyDescent="0.3">
      <c r="B103" s="245">
        <f>IF(AND(F101&lt;&gt;"", B98&lt;&gt;""), B98+1, "")</f>
        <v>45820</v>
      </c>
      <c r="C103" s="409"/>
      <c r="D103" s="409"/>
      <c r="E103" s="246" t="s">
        <v>765</v>
      </c>
      <c r="F103" s="202">
        <v>0</v>
      </c>
      <c r="G103" s="202">
        <v>0</v>
      </c>
      <c r="H103" s="202">
        <v>0</v>
      </c>
      <c r="I103" s="263">
        <f t="shared" si="1"/>
        <v>0</v>
      </c>
    </row>
    <row r="104" spans="2:9" ht="15.75" hidden="1" customHeight="1" outlineLevel="1" thickBot="1" x14ac:dyDescent="0.3">
      <c r="B104" s="245">
        <f>IF(AND(F101&lt;&gt;"", B99&lt;&gt;""), B99+1, "")</f>
        <v>45820</v>
      </c>
      <c r="C104" s="409"/>
      <c r="D104" s="409"/>
      <c r="E104" s="246" t="s">
        <v>766</v>
      </c>
      <c r="F104" s="202">
        <v>0</v>
      </c>
      <c r="G104" s="202">
        <v>0</v>
      </c>
      <c r="H104" s="202">
        <v>0</v>
      </c>
      <c r="I104" s="263">
        <f t="shared" si="1"/>
        <v>0</v>
      </c>
    </row>
    <row r="105" spans="2:9" ht="15.75" hidden="1" customHeight="1" outlineLevel="1" thickBot="1" x14ac:dyDescent="0.3">
      <c r="B105" s="249">
        <f>IF(AND(F101&lt;&gt;"", B100&lt;&gt;""), B100+1, "")</f>
        <v>45820</v>
      </c>
      <c r="C105" s="416"/>
      <c r="D105" s="416"/>
      <c r="E105" s="250" t="s">
        <v>767</v>
      </c>
      <c r="F105" s="204">
        <v>0</v>
      </c>
      <c r="G105" s="204">
        <v>0</v>
      </c>
      <c r="H105" s="204">
        <v>0</v>
      </c>
      <c r="I105" s="264">
        <f t="shared" si="1"/>
        <v>0</v>
      </c>
    </row>
    <row r="106" spans="2:9" ht="15.75" hidden="1" customHeight="1" outlineLevel="1" thickBot="1" x14ac:dyDescent="0.3">
      <c r="B106" s="241">
        <f>IF(AND(F106&lt;&gt;"", B101&lt;&gt;""), B101+1, "")</f>
        <v>45821</v>
      </c>
      <c r="C106" s="442">
        <v>45821</v>
      </c>
      <c r="D106" s="443">
        <f>D101+1</f>
        <v>45821</v>
      </c>
      <c r="E106" s="242" t="s">
        <v>394</v>
      </c>
      <c r="F106" s="200">
        <v>0</v>
      </c>
      <c r="G106" s="200">
        <v>0</v>
      </c>
      <c r="H106" s="200">
        <v>0</v>
      </c>
      <c r="I106" s="262">
        <f t="shared" si="1"/>
        <v>0</v>
      </c>
    </row>
    <row r="107" spans="2:9" ht="15.75" hidden="1" customHeight="1" outlineLevel="1" thickBot="1" x14ac:dyDescent="0.3">
      <c r="B107" s="245">
        <f>IF(AND(F106&lt;&gt;"", B102&lt;&gt;""), B102+1, "")</f>
        <v>45821</v>
      </c>
      <c r="C107" s="409"/>
      <c r="D107" s="409"/>
      <c r="E107" s="246" t="s">
        <v>764</v>
      </c>
      <c r="F107" s="202">
        <v>0</v>
      </c>
      <c r="G107" s="202">
        <v>0</v>
      </c>
      <c r="H107" s="202">
        <v>0</v>
      </c>
      <c r="I107" s="263">
        <f t="shared" si="1"/>
        <v>0</v>
      </c>
    </row>
    <row r="108" spans="2:9" ht="15.75" hidden="1" customHeight="1" outlineLevel="1" thickBot="1" x14ac:dyDescent="0.3">
      <c r="B108" s="245">
        <f>IF(AND(F106&lt;&gt;"", B103&lt;&gt;""), B103+1, "")</f>
        <v>45821</v>
      </c>
      <c r="C108" s="409"/>
      <c r="D108" s="409"/>
      <c r="E108" s="246" t="s">
        <v>765</v>
      </c>
      <c r="F108" s="202">
        <v>0</v>
      </c>
      <c r="G108" s="202">
        <v>0</v>
      </c>
      <c r="H108" s="202">
        <v>0</v>
      </c>
      <c r="I108" s="263">
        <f t="shared" si="1"/>
        <v>0</v>
      </c>
    </row>
    <row r="109" spans="2:9" ht="15.75" hidden="1" customHeight="1" outlineLevel="1" thickBot="1" x14ac:dyDescent="0.3">
      <c r="B109" s="245">
        <f>IF(AND(F106&lt;&gt;"", B104&lt;&gt;""), B104+1, "")</f>
        <v>45821</v>
      </c>
      <c r="C109" s="409"/>
      <c r="D109" s="409"/>
      <c r="E109" s="246" t="s">
        <v>766</v>
      </c>
      <c r="F109" s="202">
        <v>0</v>
      </c>
      <c r="G109" s="202">
        <v>0</v>
      </c>
      <c r="H109" s="202">
        <v>0</v>
      </c>
      <c r="I109" s="263">
        <f t="shared" si="1"/>
        <v>0</v>
      </c>
    </row>
    <row r="110" spans="2:9" ht="15.75" hidden="1" customHeight="1" outlineLevel="1" thickBot="1" x14ac:dyDescent="0.3">
      <c r="B110" s="249">
        <f>IF(AND(F106&lt;&gt;"", B105&lt;&gt;""), B105+1, "")</f>
        <v>45821</v>
      </c>
      <c r="C110" s="416"/>
      <c r="D110" s="416"/>
      <c r="E110" s="250" t="s">
        <v>767</v>
      </c>
      <c r="F110" s="204">
        <v>0</v>
      </c>
      <c r="G110" s="204">
        <v>0</v>
      </c>
      <c r="H110" s="204">
        <v>0</v>
      </c>
      <c r="I110" s="264">
        <f t="shared" si="1"/>
        <v>0</v>
      </c>
    </row>
    <row r="111" spans="2:9" ht="15.75" hidden="1" customHeight="1" outlineLevel="1" thickBot="1" x14ac:dyDescent="0.3">
      <c r="B111" s="241">
        <f>IF(AND(F111&lt;&gt;"", B106&lt;&gt;""), B106+1, "")</f>
        <v>45822</v>
      </c>
      <c r="C111" s="442">
        <v>45822</v>
      </c>
      <c r="D111" s="443">
        <f>D106+1</f>
        <v>45822</v>
      </c>
      <c r="E111" s="242" t="s">
        <v>394</v>
      </c>
      <c r="F111" s="200">
        <v>5082</v>
      </c>
      <c r="G111" s="200"/>
      <c r="H111" s="200">
        <v>640</v>
      </c>
      <c r="I111" s="262">
        <f t="shared" si="1"/>
        <v>4442</v>
      </c>
    </row>
    <row r="112" spans="2:9" ht="15.75" hidden="1" customHeight="1" outlineLevel="1" thickBot="1" x14ac:dyDescent="0.3">
      <c r="B112" s="245">
        <f>IF(AND(F111&lt;&gt;"", B107&lt;&gt;""), B107+1, "")</f>
        <v>45822</v>
      </c>
      <c r="C112" s="409"/>
      <c r="D112" s="409"/>
      <c r="E112" s="246" t="s">
        <v>764</v>
      </c>
      <c r="F112" s="202">
        <v>4697</v>
      </c>
      <c r="G112" s="202"/>
      <c r="H112" s="202"/>
      <c r="I112" s="263">
        <f t="shared" si="1"/>
        <v>4697</v>
      </c>
    </row>
    <row r="113" spans="2:9" ht="15.75" hidden="1" customHeight="1" outlineLevel="1" thickBot="1" x14ac:dyDescent="0.3">
      <c r="B113" s="245">
        <f>IF(AND(F111&lt;&gt;"", B108&lt;&gt;""), B108+1, "")</f>
        <v>45822</v>
      </c>
      <c r="C113" s="409"/>
      <c r="D113" s="409"/>
      <c r="E113" s="246" t="s">
        <v>765</v>
      </c>
      <c r="F113" s="202">
        <v>1136</v>
      </c>
      <c r="G113" s="202"/>
      <c r="H113" s="202"/>
      <c r="I113" s="263">
        <f t="shared" si="1"/>
        <v>1136</v>
      </c>
    </row>
    <row r="114" spans="2:9" ht="15.75" hidden="1" customHeight="1" outlineLevel="1" thickBot="1" x14ac:dyDescent="0.3">
      <c r="B114" s="245">
        <f>IF(AND(F111&lt;&gt;"", B109&lt;&gt;""), B109+1, "")</f>
        <v>45822</v>
      </c>
      <c r="C114" s="409"/>
      <c r="D114" s="409"/>
      <c r="E114" s="246" t="s">
        <v>766</v>
      </c>
      <c r="F114" s="202">
        <v>0</v>
      </c>
      <c r="G114" s="202"/>
      <c r="H114" s="202"/>
      <c r="I114" s="263">
        <f t="shared" si="1"/>
        <v>0</v>
      </c>
    </row>
    <row r="115" spans="2:9" ht="15.75" hidden="1" customHeight="1" outlineLevel="1" thickBot="1" x14ac:dyDescent="0.3">
      <c r="B115" s="249">
        <f>IF(AND(F111&lt;&gt;"", B110&lt;&gt;""), B110+1, "")</f>
        <v>45822</v>
      </c>
      <c r="C115" s="416"/>
      <c r="D115" s="416"/>
      <c r="E115" s="250" t="s">
        <v>767</v>
      </c>
      <c r="F115" s="204">
        <v>300</v>
      </c>
      <c r="G115" s="204"/>
      <c r="H115" s="204"/>
      <c r="I115" s="264">
        <f t="shared" si="1"/>
        <v>300</v>
      </c>
    </row>
    <row r="116" spans="2:9" ht="15.75" hidden="1" customHeight="1" outlineLevel="1" thickBot="1" x14ac:dyDescent="0.3">
      <c r="B116" s="245">
        <f>IF(AND(F116&lt;&gt;"", B111&lt;&gt;""), B111+1, "")</f>
        <v>45823</v>
      </c>
      <c r="C116" s="442">
        <v>45823</v>
      </c>
      <c r="D116" s="443">
        <f>D111+1</f>
        <v>45823</v>
      </c>
      <c r="E116" s="242" t="s">
        <v>394</v>
      </c>
      <c r="F116" s="200">
        <v>4442</v>
      </c>
      <c r="G116" s="200"/>
      <c r="H116" s="200">
        <v>410</v>
      </c>
      <c r="I116" s="262">
        <f t="shared" si="1"/>
        <v>4032</v>
      </c>
    </row>
    <row r="117" spans="2:9" ht="15.75" hidden="1" customHeight="1" outlineLevel="1" thickBot="1" x14ac:dyDescent="0.3">
      <c r="B117" s="245">
        <f>IF(AND(F116&lt;&gt;"", B112&lt;&gt;""), B112+1, "")</f>
        <v>45823</v>
      </c>
      <c r="C117" s="409"/>
      <c r="D117" s="409"/>
      <c r="E117" s="246" t="s">
        <v>764</v>
      </c>
      <c r="F117" s="202">
        <v>4697</v>
      </c>
      <c r="G117" s="202"/>
      <c r="H117" s="202"/>
      <c r="I117" s="263">
        <f t="shared" si="1"/>
        <v>4697</v>
      </c>
    </row>
    <row r="118" spans="2:9" ht="15.75" hidden="1" customHeight="1" outlineLevel="1" thickBot="1" x14ac:dyDescent="0.3">
      <c r="B118" s="245">
        <f>IF(AND(F116&lt;&gt;"", B113&lt;&gt;""), B113+1, "")</f>
        <v>45823</v>
      </c>
      <c r="C118" s="409"/>
      <c r="D118" s="409"/>
      <c r="E118" s="246" t="s">
        <v>765</v>
      </c>
      <c r="F118" s="202">
        <v>1136</v>
      </c>
      <c r="G118" s="202"/>
      <c r="H118" s="202"/>
      <c r="I118" s="263">
        <f t="shared" si="1"/>
        <v>1136</v>
      </c>
    </row>
    <row r="119" spans="2:9" ht="15.75" hidden="1" customHeight="1" outlineLevel="1" thickBot="1" x14ac:dyDescent="0.3">
      <c r="B119" s="245">
        <f>IF(AND(F116&lt;&gt;"", B114&lt;&gt;""), B114+1, "")</f>
        <v>45823</v>
      </c>
      <c r="C119" s="409"/>
      <c r="D119" s="409"/>
      <c r="E119" s="246" t="s">
        <v>766</v>
      </c>
      <c r="F119" s="202">
        <v>0</v>
      </c>
      <c r="G119" s="202"/>
      <c r="H119" s="202"/>
      <c r="I119" s="263">
        <f t="shared" si="1"/>
        <v>0</v>
      </c>
    </row>
    <row r="120" spans="2:9" ht="15.75" hidden="1" customHeight="1" outlineLevel="1" thickBot="1" x14ac:dyDescent="0.3">
      <c r="B120" s="249">
        <f>IF(AND(F116&lt;&gt;"", B115&lt;&gt;""), B115+1, "")</f>
        <v>45823</v>
      </c>
      <c r="C120" s="416"/>
      <c r="D120" s="416"/>
      <c r="E120" s="250" t="s">
        <v>767</v>
      </c>
      <c r="F120" s="204">
        <v>300</v>
      </c>
      <c r="G120" s="204"/>
      <c r="H120" s="204"/>
      <c r="I120" s="264">
        <f t="shared" si="1"/>
        <v>300</v>
      </c>
    </row>
    <row r="121" spans="2:9" ht="15.75" hidden="1" customHeight="1" outlineLevel="1" thickBot="1" x14ac:dyDescent="0.3">
      <c r="B121" s="241">
        <f>IF(AND(F121&lt;&gt;"", B116&lt;&gt;""), B116+1, "")</f>
        <v>45824</v>
      </c>
      <c r="C121" s="442">
        <v>45824</v>
      </c>
      <c r="D121" s="443">
        <f>D116+1</f>
        <v>45824</v>
      </c>
      <c r="E121" s="242" t="s">
        <v>394</v>
      </c>
      <c r="F121" s="200">
        <v>4032</v>
      </c>
      <c r="G121" s="200"/>
      <c r="H121" s="200">
        <v>100</v>
      </c>
      <c r="I121" s="262">
        <f t="shared" si="1"/>
        <v>3932</v>
      </c>
    </row>
    <row r="122" spans="2:9" ht="15.75" hidden="1" customHeight="1" outlineLevel="1" thickBot="1" x14ac:dyDescent="0.3">
      <c r="B122" s="245">
        <f>IF(AND(F121&lt;&gt;"", B117&lt;&gt;""), B117+1, "")</f>
        <v>45824</v>
      </c>
      <c r="C122" s="409"/>
      <c r="D122" s="409"/>
      <c r="E122" s="246" t="s">
        <v>764</v>
      </c>
      <c r="F122" s="202">
        <v>4697</v>
      </c>
      <c r="G122" s="202"/>
      <c r="H122" s="202"/>
      <c r="I122" s="263">
        <f t="shared" si="1"/>
        <v>4697</v>
      </c>
    </row>
    <row r="123" spans="2:9" ht="15.75" hidden="1" customHeight="1" outlineLevel="1" thickBot="1" x14ac:dyDescent="0.3">
      <c r="B123" s="245">
        <f>IF(AND(F121&lt;&gt;"", B118&lt;&gt;""), B118+1, "")</f>
        <v>45824</v>
      </c>
      <c r="C123" s="409"/>
      <c r="D123" s="409"/>
      <c r="E123" s="246" t="s">
        <v>765</v>
      </c>
      <c r="F123" s="202">
        <v>1136</v>
      </c>
      <c r="G123" s="202">
        <v>160</v>
      </c>
      <c r="H123" s="202">
        <v>440</v>
      </c>
      <c r="I123" s="263">
        <f t="shared" si="1"/>
        <v>856</v>
      </c>
    </row>
    <row r="124" spans="2:9" ht="15.75" hidden="1" customHeight="1" outlineLevel="1" thickBot="1" x14ac:dyDescent="0.3">
      <c r="B124" s="245">
        <f>IF(AND(F121&lt;&gt;"", B119&lt;&gt;""), B119+1, "")</f>
        <v>45824</v>
      </c>
      <c r="C124" s="409"/>
      <c r="D124" s="409"/>
      <c r="E124" s="246" t="s">
        <v>766</v>
      </c>
      <c r="F124" s="202">
        <v>0</v>
      </c>
      <c r="G124" s="202"/>
      <c r="H124" s="202"/>
      <c r="I124" s="263">
        <f t="shared" si="1"/>
        <v>0</v>
      </c>
    </row>
    <row r="125" spans="2:9" ht="15.75" hidden="1" customHeight="1" outlineLevel="1" thickBot="1" x14ac:dyDescent="0.3">
      <c r="B125" s="249">
        <f>IF(AND(F121&lt;&gt;"", B120&lt;&gt;""), B120+1, "")</f>
        <v>45824</v>
      </c>
      <c r="C125" s="416"/>
      <c r="D125" s="416"/>
      <c r="E125" s="250" t="s">
        <v>767</v>
      </c>
      <c r="F125" s="204">
        <v>300</v>
      </c>
      <c r="G125" s="204"/>
      <c r="H125" s="204"/>
      <c r="I125" s="264">
        <f t="shared" si="1"/>
        <v>300</v>
      </c>
    </row>
    <row r="126" spans="2:9" ht="15.75" hidden="1" customHeight="1" outlineLevel="1" thickBot="1" x14ac:dyDescent="0.3">
      <c r="B126" s="241">
        <f>IF(AND(F126&lt;&gt;"", B121&lt;&gt;""), B121+1, "")</f>
        <v>45825</v>
      </c>
      <c r="C126" s="442">
        <v>45825</v>
      </c>
      <c r="D126" s="443">
        <f>D121+1</f>
        <v>45825</v>
      </c>
      <c r="E126" s="242" t="s">
        <v>394</v>
      </c>
      <c r="F126" s="200">
        <v>3932</v>
      </c>
      <c r="G126" s="200"/>
      <c r="H126" s="200"/>
      <c r="I126" s="262">
        <f t="shared" si="1"/>
        <v>3932</v>
      </c>
    </row>
    <row r="127" spans="2:9" ht="15.75" hidden="1" customHeight="1" outlineLevel="1" thickBot="1" x14ac:dyDescent="0.3">
      <c r="B127" s="245">
        <f>IF(AND(F126&lt;&gt;"", B122&lt;&gt;""), B122+1, "")</f>
        <v>45825</v>
      </c>
      <c r="C127" s="409"/>
      <c r="D127" s="409"/>
      <c r="E127" s="246" t="s">
        <v>764</v>
      </c>
      <c r="F127" s="202">
        <v>4697</v>
      </c>
      <c r="G127" s="202"/>
      <c r="H127" s="202"/>
      <c r="I127" s="263">
        <f t="shared" si="1"/>
        <v>4697</v>
      </c>
    </row>
    <row r="128" spans="2:9" ht="15.75" hidden="1" customHeight="1" outlineLevel="1" thickBot="1" x14ac:dyDescent="0.3">
      <c r="B128" s="245">
        <f>IF(AND(F126&lt;&gt;"", B123&lt;&gt;""), B123+1, "")</f>
        <v>45825</v>
      </c>
      <c r="C128" s="409"/>
      <c r="D128" s="409"/>
      <c r="E128" s="246" t="s">
        <v>765</v>
      </c>
      <c r="F128" s="202">
        <v>856</v>
      </c>
      <c r="G128" s="202">
        <v>385</v>
      </c>
      <c r="H128" s="202">
        <v>500</v>
      </c>
      <c r="I128" s="263">
        <f t="shared" si="1"/>
        <v>741</v>
      </c>
    </row>
    <row r="129" spans="2:9" ht="15.75" hidden="1" customHeight="1" outlineLevel="1" thickBot="1" x14ac:dyDescent="0.3">
      <c r="B129" s="245">
        <f>IF(AND(F126&lt;&gt;"", B124&lt;&gt;""), B124+1, "")</f>
        <v>45825</v>
      </c>
      <c r="C129" s="409"/>
      <c r="D129" s="409"/>
      <c r="E129" s="246" t="s">
        <v>766</v>
      </c>
      <c r="F129" s="202">
        <v>0</v>
      </c>
      <c r="G129" s="202"/>
      <c r="H129" s="202"/>
      <c r="I129" s="263">
        <f t="shared" si="1"/>
        <v>0</v>
      </c>
    </row>
    <row r="130" spans="2:9" ht="15.75" hidden="1" customHeight="1" outlineLevel="1" thickBot="1" x14ac:dyDescent="0.3">
      <c r="B130" s="249">
        <f>IF(AND(F126&lt;&gt;"", B125&lt;&gt;""), B125+1, "")</f>
        <v>45825</v>
      </c>
      <c r="C130" s="416"/>
      <c r="D130" s="416"/>
      <c r="E130" s="250" t="s">
        <v>767</v>
      </c>
      <c r="F130" s="204">
        <v>300</v>
      </c>
      <c r="G130" s="204"/>
      <c r="H130" s="204"/>
      <c r="I130" s="264">
        <f t="shared" si="1"/>
        <v>300</v>
      </c>
    </row>
    <row r="131" spans="2:9" ht="15.75" hidden="1" customHeight="1" outlineLevel="1" thickBot="1" x14ac:dyDescent="0.3">
      <c r="B131" s="241">
        <f>IF(AND(F131&lt;&gt;"", B126&lt;&gt;""), B126+1, "")</f>
        <v>45826</v>
      </c>
      <c r="C131" s="442">
        <v>45826</v>
      </c>
      <c r="D131" s="443">
        <f>D126+1</f>
        <v>45826</v>
      </c>
      <c r="E131" s="246" t="s">
        <v>394</v>
      </c>
      <c r="F131" s="202">
        <v>3932</v>
      </c>
      <c r="G131" s="203"/>
      <c r="H131" s="203">
        <v>250</v>
      </c>
      <c r="I131" s="263">
        <f t="shared" si="1"/>
        <v>3682</v>
      </c>
    </row>
    <row r="132" spans="2:9" ht="15.75" hidden="1" customHeight="1" outlineLevel="1" thickBot="1" x14ac:dyDescent="0.3">
      <c r="B132" s="245">
        <f>IF(AND(F131&lt;&gt;"", B127&lt;&gt;""), B127+1, "")</f>
        <v>45826</v>
      </c>
      <c r="C132" s="409"/>
      <c r="D132" s="409"/>
      <c r="E132" s="246" t="s">
        <v>764</v>
      </c>
      <c r="F132" s="202">
        <v>4697</v>
      </c>
      <c r="G132" s="203"/>
      <c r="H132" s="203"/>
      <c r="I132" s="263">
        <f t="shared" si="1"/>
        <v>4697</v>
      </c>
    </row>
    <row r="133" spans="2:9" ht="15.75" hidden="1" customHeight="1" outlineLevel="1" thickBot="1" x14ac:dyDescent="0.3">
      <c r="B133" s="245">
        <f>IF(AND(F131&lt;&gt;"", B128&lt;&gt;""), B128+1, "")</f>
        <v>45826</v>
      </c>
      <c r="C133" s="409"/>
      <c r="D133" s="409"/>
      <c r="E133" s="246" t="s">
        <v>765</v>
      </c>
      <c r="F133" s="202">
        <v>741</v>
      </c>
      <c r="G133" s="203"/>
      <c r="H133" s="203">
        <v>137</v>
      </c>
      <c r="I133" s="263">
        <f t="shared" si="1"/>
        <v>604</v>
      </c>
    </row>
    <row r="134" spans="2:9" ht="15.75" hidden="1" customHeight="1" outlineLevel="1" thickBot="1" x14ac:dyDescent="0.3">
      <c r="B134" s="245">
        <f>IF(AND(F131&lt;&gt;"", B129&lt;&gt;""), B129+1, "")</f>
        <v>45826</v>
      </c>
      <c r="C134" s="409"/>
      <c r="D134" s="409"/>
      <c r="E134" s="246" t="s">
        <v>766</v>
      </c>
      <c r="F134" s="202">
        <v>0</v>
      </c>
      <c r="G134" s="203"/>
      <c r="H134" s="203"/>
      <c r="I134" s="263">
        <f t="shared" si="1"/>
        <v>0</v>
      </c>
    </row>
    <row r="135" spans="2:9" ht="15.75" hidden="1" customHeight="1" outlineLevel="1" thickBot="1" x14ac:dyDescent="0.3">
      <c r="B135" s="249">
        <f>IF(AND(F131&lt;&gt;"", B130&lt;&gt;""), B130+1, "")</f>
        <v>45826</v>
      </c>
      <c r="C135" s="416"/>
      <c r="D135" s="416"/>
      <c r="E135" s="250" t="s">
        <v>767</v>
      </c>
      <c r="F135" s="204">
        <v>300</v>
      </c>
      <c r="G135" s="205"/>
      <c r="H135" s="205"/>
      <c r="I135" s="264">
        <f t="shared" si="1"/>
        <v>300</v>
      </c>
    </row>
    <row r="136" spans="2:9" ht="15.75" hidden="1" customHeight="1" outlineLevel="1" thickBot="1" x14ac:dyDescent="0.3">
      <c r="B136" s="241">
        <f>IF(AND(F136&lt;&gt;"", B131&lt;&gt;""), B131+1, "")</f>
        <v>45827</v>
      </c>
      <c r="C136" s="442">
        <v>45827</v>
      </c>
      <c r="D136" s="443">
        <f>D131+1</f>
        <v>45827</v>
      </c>
      <c r="E136" s="246" t="s">
        <v>394</v>
      </c>
      <c r="F136" s="202">
        <v>3682</v>
      </c>
      <c r="G136" s="203"/>
      <c r="H136" s="203"/>
      <c r="I136" s="263">
        <f t="shared" si="1"/>
        <v>3682</v>
      </c>
    </row>
    <row r="137" spans="2:9" ht="15.75" hidden="1" customHeight="1" outlineLevel="1" thickBot="1" x14ac:dyDescent="0.3">
      <c r="B137" s="245">
        <f>IF(AND(F136&lt;&gt;"", B132&lt;&gt;""), B132+1, "")</f>
        <v>45827</v>
      </c>
      <c r="C137" s="409"/>
      <c r="D137" s="409"/>
      <c r="E137" s="246" t="s">
        <v>764</v>
      </c>
      <c r="F137" s="202">
        <v>4697</v>
      </c>
      <c r="G137" s="203"/>
      <c r="H137" s="203"/>
      <c r="I137" s="263">
        <f t="shared" si="1"/>
        <v>4697</v>
      </c>
    </row>
    <row r="138" spans="2:9" ht="15.75" hidden="1" customHeight="1" outlineLevel="1" thickBot="1" x14ac:dyDescent="0.3">
      <c r="B138" s="245">
        <f>IF(AND(F136&lt;&gt;"", B133&lt;&gt;""), B133+1, "")</f>
        <v>45827</v>
      </c>
      <c r="C138" s="409"/>
      <c r="D138" s="409"/>
      <c r="E138" s="246" t="s">
        <v>765</v>
      </c>
      <c r="F138" s="202">
        <v>604</v>
      </c>
      <c r="G138" s="203"/>
      <c r="H138" s="205"/>
      <c r="I138" s="263">
        <f t="shared" si="1"/>
        <v>604</v>
      </c>
    </row>
    <row r="139" spans="2:9" ht="15.75" hidden="1" customHeight="1" outlineLevel="1" thickBot="1" x14ac:dyDescent="0.3">
      <c r="B139" s="245">
        <f>IF(AND(F136&lt;&gt;"", B134&lt;&gt;""), B134+1, "")</f>
        <v>45827</v>
      </c>
      <c r="C139" s="409"/>
      <c r="D139" s="409"/>
      <c r="E139" s="246" t="s">
        <v>766</v>
      </c>
      <c r="F139" s="202">
        <v>0</v>
      </c>
      <c r="G139" s="203"/>
      <c r="H139" s="205"/>
      <c r="I139" s="263">
        <f t="shared" si="1"/>
        <v>0</v>
      </c>
    </row>
    <row r="140" spans="2:9" ht="15.75" hidden="1" customHeight="1" outlineLevel="1" thickBot="1" x14ac:dyDescent="0.3">
      <c r="B140" s="249">
        <f>IF(AND(F136&lt;&gt;"", B135&lt;&gt;""), B135+1, "")</f>
        <v>45827</v>
      </c>
      <c r="C140" s="416"/>
      <c r="D140" s="416"/>
      <c r="E140" s="250" t="s">
        <v>767</v>
      </c>
      <c r="F140" s="204">
        <v>300</v>
      </c>
      <c r="G140" s="205"/>
      <c r="H140" s="205"/>
      <c r="I140" s="264">
        <f t="shared" si="1"/>
        <v>300</v>
      </c>
    </row>
    <row r="141" spans="2:9" ht="15.75" hidden="1" customHeight="1" outlineLevel="1" thickBot="1" x14ac:dyDescent="0.3">
      <c r="B141" s="241">
        <f>IF(AND(F141&lt;&gt;"", B136&lt;&gt;""), B136+1, "")</f>
        <v>45828</v>
      </c>
      <c r="C141" s="442">
        <v>45828</v>
      </c>
      <c r="D141" s="443">
        <f>D136+1</f>
        <v>45828</v>
      </c>
      <c r="E141" s="246" t="s">
        <v>394</v>
      </c>
      <c r="F141" s="202">
        <v>3682</v>
      </c>
      <c r="G141" s="203"/>
      <c r="H141" s="205"/>
      <c r="I141" s="263">
        <f t="shared" si="1"/>
        <v>3682</v>
      </c>
    </row>
    <row r="142" spans="2:9" ht="15.75" hidden="1" customHeight="1" outlineLevel="1" thickBot="1" x14ac:dyDescent="0.3">
      <c r="B142" s="245">
        <f>IF(AND(F141&lt;&gt;"", B137&lt;&gt;""), B137+1, "")</f>
        <v>45828</v>
      </c>
      <c r="C142" s="409"/>
      <c r="D142" s="409"/>
      <c r="E142" s="246" t="s">
        <v>764</v>
      </c>
      <c r="F142" s="202">
        <v>4697</v>
      </c>
      <c r="G142" s="203"/>
      <c r="H142" s="205"/>
      <c r="I142" s="263">
        <f t="shared" si="1"/>
        <v>4697</v>
      </c>
    </row>
    <row r="143" spans="2:9" ht="15.75" hidden="1" customHeight="1" outlineLevel="1" thickBot="1" x14ac:dyDescent="0.3">
      <c r="B143" s="245">
        <f>IF(AND(F141&lt;&gt;"", B138&lt;&gt;""), B138+1, "")</f>
        <v>45828</v>
      </c>
      <c r="C143" s="409"/>
      <c r="D143" s="409"/>
      <c r="E143" s="246" t="s">
        <v>765</v>
      </c>
      <c r="F143" s="202">
        <v>187</v>
      </c>
      <c r="G143" s="203"/>
      <c r="H143" s="205"/>
      <c r="I143" s="263">
        <f t="shared" si="1"/>
        <v>187</v>
      </c>
    </row>
    <row r="144" spans="2:9" ht="15.75" hidden="1" customHeight="1" outlineLevel="1" thickBot="1" x14ac:dyDescent="0.3">
      <c r="B144" s="245">
        <f>IF(AND(F141&lt;&gt;"", B139&lt;&gt;""), B139+1, "")</f>
        <v>45828</v>
      </c>
      <c r="C144" s="409"/>
      <c r="D144" s="409"/>
      <c r="E144" s="246" t="s">
        <v>766</v>
      </c>
      <c r="F144" s="202">
        <v>0</v>
      </c>
      <c r="G144" s="203"/>
      <c r="H144" s="205"/>
      <c r="I144" s="263">
        <f t="shared" si="1"/>
        <v>0</v>
      </c>
    </row>
    <row r="145" spans="2:9" ht="15.75" hidden="1" customHeight="1" outlineLevel="1" thickBot="1" x14ac:dyDescent="0.3">
      <c r="B145" s="249">
        <f>IF(AND(F141&lt;&gt;"", B140&lt;&gt;""), B140+1, "")</f>
        <v>45828</v>
      </c>
      <c r="C145" s="416"/>
      <c r="D145" s="416"/>
      <c r="E145" s="250" t="s">
        <v>767</v>
      </c>
      <c r="F145" s="204">
        <v>300</v>
      </c>
      <c r="G145" s="205"/>
      <c r="H145" s="205"/>
      <c r="I145" s="264">
        <f t="shared" ref="I145:I208" si="2">F145+G145-H145</f>
        <v>300</v>
      </c>
    </row>
    <row r="146" spans="2:9" ht="15.75" hidden="1" customHeight="1" outlineLevel="1" thickBot="1" x14ac:dyDescent="0.3">
      <c r="B146" s="241">
        <f>IF(AND(F146&lt;&gt;"", B141&lt;&gt;""), B141+1, "")</f>
        <v>45829</v>
      </c>
      <c r="C146" s="442">
        <v>45829</v>
      </c>
      <c r="D146" s="443">
        <f>D141+1</f>
        <v>45829</v>
      </c>
      <c r="E146" s="246" t="s">
        <v>394</v>
      </c>
      <c r="F146" s="202">
        <v>3682</v>
      </c>
      <c r="G146" s="203"/>
      <c r="H146" s="203">
        <v>400</v>
      </c>
      <c r="I146" s="263">
        <f t="shared" si="2"/>
        <v>3282</v>
      </c>
    </row>
    <row r="147" spans="2:9" ht="15.75" hidden="1" customHeight="1" outlineLevel="1" thickBot="1" x14ac:dyDescent="0.3">
      <c r="B147" s="245">
        <f>IF(AND(F146&lt;&gt;"", B142&lt;&gt;""), B142+1, "")</f>
        <v>45829</v>
      </c>
      <c r="C147" s="409"/>
      <c r="D147" s="409"/>
      <c r="E147" s="246" t="s">
        <v>764</v>
      </c>
      <c r="F147" s="202">
        <v>4697</v>
      </c>
      <c r="G147" s="203"/>
      <c r="H147" s="203"/>
      <c r="I147" s="263">
        <f t="shared" si="2"/>
        <v>4697</v>
      </c>
    </row>
    <row r="148" spans="2:9" ht="15.75" hidden="1" customHeight="1" outlineLevel="1" thickBot="1" x14ac:dyDescent="0.3">
      <c r="B148" s="245">
        <f>IF(AND(F146&lt;&gt;"", B143&lt;&gt;""), B143+1, "")</f>
        <v>45829</v>
      </c>
      <c r="C148" s="409"/>
      <c r="D148" s="409"/>
      <c r="E148" s="246" t="s">
        <v>765</v>
      </c>
      <c r="F148" s="202">
        <v>187</v>
      </c>
      <c r="G148" s="203"/>
      <c r="H148" s="203"/>
      <c r="I148" s="263">
        <f t="shared" si="2"/>
        <v>187</v>
      </c>
    </row>
    <row r="149" spans="2:9" ht="15.75" hidden="1" customHeight="1" outlineLevel="1" thickBot="1" x14ac:dyDescent="0.3">
      <c r="B149" s="245">
        <f>IF(AND(F146&lt;&gt;"", B144&lt;&gt;""), B144+1, "")</f>
        <v>45829</v>
      </c>
      <c r="C149" s="409"/>
      <c r="D149" s="409"/>
      <c r="E149" s="246" t="s">
        <v>766</v>
      </c>
      <c r="F149" s="202">
        <v>0</v>
      </c>
      <c r="G149" s="203"/>
      <c r="H149" s="203"/>
      <c r="I149" s="263">
        <f t="shared" si="2"/>
        <v>0</v>
      </c>
    </row>
    <row r="150" spans="2:9" ht="15.75" hidden="1" customHeight="1" outlineLevel="1" thickBot="1" x14ac:dyDescent="0.3">
      <c r="B150" s="249">
        <f>IF(AND(F146&lt;&gt;"", B145&lt;&gt;""), B145+1, "")</f>
        <v>45829</v>
      </c>
      <c r="C150" s="416"/>
      <c r="D150" s="416"/>
      <c r="E150" s="250" t="s">
        <v>767</v>
      </c>
      <c r="F150" s="204">
        <v>300</v>
      </c>
      <c r="G150" s="205"/>
      <c r="H150" s="205"/>
      <c r="I150" s="264">
        <f t="shared" si="2"/>
        <v>300</v>
      </c>
    </row>
    <row r="151" spans="2:9" ht="15.75" hidden="1" customHeight="1" outlineLevel="1" thickBot="1" x14ac:dyDescent="0.3">
      <c r="B151" s="241">
        <f>IF(AND(F151&lt;&gt;"", B146&lt;&gt;""), B146+1, "")</f>
        <v>45830</v>
      </c>
      <c r="C151" s="442">
        <v>45830</v>
      </c>
      <c r="D151" s="443">
        <f>D146+1</f>
        <v>45830</v>
      </c>
      <c r="E151" s="246" t="s">
        <v>394</v>
      </c>
      <c r="F151" s="202">
        <v>3282</v>
      </c>
      <c r="G151" s="203"/>
      <c r="H151" s="203">
        <v>200</v>
      </c>
      <c r="I151" s="263">
        <f t="shared" si="2"/>
        <v>3082</v>
      </c>
    </row>
    <row r="152" spans="2:9" ht="15.75" hidden="1" customHeight="1" outlineLevel="1" thickBot="1" x14ac:dyDescent="0.3">
      <c r="B152" s="245">
        <f>IF(AND(F151&lt;&gt;"", B147&lt;&gt;""), B147+1, "")</f>
        <v>45830</v>
      </c>
      <c r="C152" s="409"/>
      <c r="D152" s="409"/>
      <c r="E152" s="246" t="s">
        <v>764</v>
      </c>
      <c r="F152" s="202">
        <v>4697</v>
      </c>
      <c r="G152" s="203"/>
      <c r="H152" s="203">
        <v>300</v>
      </c>
      <c r="I152" s="263">
        <f t="shared" si="2"/>
        <v>4397</v>
      </c>
    </row>
    <row r="153" spans="2:9" ht="15.75" hidden="1" customHeight="1" outlineLevel="1" thickBot="1" x14ac:dyDescent="0.3">
      <c r="B153" s="245">
        <f>IF(AND(F151&lt;&gt;"", B148&lt;&gt;""), B148+1, "")</f>
        <v>45830</v>
      </c>
      <c r="C153" s="409"/>
      <c r="D153" s="409"/>
      <c r="E153" s="246" t="s">
        <v>765</v>
      </c>
      <c r="F153" s="202">
        <v>187</v>
      </c>
      <c r="G153" s="203"/>
      <c r="H153" s="203">
        <v>145</v>
      </c>
      <c r="I153" s="263">
        <f t="shared" si="2"/>
        <v>42</v>
      </c>
    </row>
    <row r="154" spans="2:9" ht="15.75" hidden="1" customHeight="1" outlineLevel="1" thickBot="1" x14ac:dyDescent="0.3">
      <c r="B154" s="245">
        <f>IF(AND(F151&lt;&gt;"", B149&lt;&gt;""), B149+1, "")</f>
        <v>45830</v>
      </c>
      <c r="C154" s="409"/>
      <c r="D154" s="409"/>
      <c r="E154" s="246" t="s">
        <v>766</v>
      </c>
      <c r="F154" s="202">
        <v>0</v>
      </c>
      <c r="G154" s="203"/>
      <c r="H154" s="203"/>
      <c r="I154" s="263">
        <f t="shared" si="2"/>
        <v>0</v>
      </c>
    </row>
    <row r="155" spans="2:9" ht="15.75" hidden="1" customHeight="1" outlineLevel="1" thickBot="1" x14ac:dyDescent="0.3">
      <c r="B155" s="249">
        <f>IF(AND(F151&lt;&gt;"", B150&lt;&gt;""), B150+1, "")</f>
        <v>45830</v>
      </c>
      <c r="C155" s="416"/>
      <c r="D155" s="416"/>
      <c r="E155" s="250" t="s">
        <v>767</v>
      </c>
      <c r="F155" s="204">
        <v>300</v>
      </c>
      <c r="G155" s="205"/>
      <c r="H155" s="205"/>
      <c r="I155" s="264">
        <f t="shared" si="2"/>
        <v>300</v>
      </c>
    </row>
    <row r="156" spans="2:9" ht="15.75" hidden="1" customHeight="1" outlineLevel="1" thickBot="1" x14ac:dyDescent="0.3">
      <c r="B156" s="241">
        <f>IF(AND(F156&lt;&gt;"", B151&lt;&gt;""), B151+1, "")</f>
        <v>45831</v>
      </c>
      <c r="C156" s="442">
        <v>45831</v>
      </c>
      <c r="D156" s="443">
        <f>D151+1</f>
        <v>45831</v>
      </c>
      <c r="E156" s="246" t="s">
        <v>394</v>
      </c>
      <c r="F156" s="202">
        <v>3082</v>
      </c>
      <c r="G156" s="203"/>
      <c r="H156" s="203"/>
      <c r="I156" s="263">
        <f t="shared" si="2"/>
        <v>3082</v>
      </c>
    </row>
    <row r="157" spans="2:9" ht="15.75" hidden="1" customHeight="1" outlineLevel="1" thickBot="1" x14ac:dyDescent="0.3">
      <c r="B157" s="245">
        <f>IF(AND(F156&lt;&gt;"", B152&lt;&gt;""), B152+1, "")</f>
        <v>45831</v>
      </c>
      <c r="C157" s="409"/>
      <c r="D157" s="409"/>
      <c r="E157" s="246" t="s">
        <v>764</v>
      </c>
      <c r="F157" s="202">
        <v>4397</v>
      </c>
      <c r="G157" s="203"/>
      <c r="H157" s="203">
        <v>400</v>
      </c>
      <c r="I157" s="263">
        <f t="shared" si="2"/>
        <v>3997</v>
      </c>
    </row>
    <row r="158" spans="2:9" ht="15.75" hidden="1" customHeight="1" outlineLevel="1" thickBot="1" x14ac:dyDescent="0.3">
      <c r="B158" s="245">
        <f>IF(AND(F156&lt;&gt;"", B153&lt;&gt;""), B153+1, "")</f>
        <v>45831</v>
      </c>
      <c r="C158" s="409"/>
      <c r="D158" s="409"/>
      <c r="E158" s="246" t="s">
        <v>765</v>
      </c>
      <c r="F158" s="202">
        <v>0</v>
      </c>
      <c r="G158" s="203"/>
      <c r="H158" s="203"/>
      <c r="I158" s="263">
        <f t="shared" si="2"/>
        <v>0</v>
      </c>
    </row>
    <row r="159" spans="2:9" ht="15.75" hidden="1" customHeight="1" outlineLevel="1" thickBot="1" x14ac:dyDescent="0.3">
      <c r="B159" s="245">
        <f>IF(AND(F156&lt;&gt;"", B154&lt;&gt;""), B154+1, "")</f>
        <v>45831</v>
      </c>
      <c r="C159" s="409"/>
      <c r="D159" s="409"/>
      <c r="E159" s="246" t="s">
        <v>766</v>
      </c>
      <c r="F159" s="202">
        <v>0</v>
      </c>
      <c r="G159" s="203"/>
      <c r="H159" s="203"/>
      <c r="I159" s="263">
        <f t="shared" si="2"/>
        <v>0</v>
      </c>
    </row>
    <row r="160" spans="2:9" ht="15.75" hidden="1" customHeight="1" outlineLevel="1" thickBot="1" x14ac:dyDescent="0.3">
      <c r="B160" s="249">
        <f>IF(AND(F156&lt;&gt;"", B155&lt;&gt;""), B155+1, "")</f>
        <v>45831</v>
      </c>
      <c r="C160" s="416"/>
      <c r="D160" s="416"/>
      <c r="E160" s="250" t="s">
        <v>767</v>
      </c>
      <c r="F160" s="204">
        <v>300</v>
      </c>
      <c r="G160" s="205"/>
      <c r="H160" s="205"/>
      <c r="I160" s="264">
        <f t="shared" si="2"/>
        <v>300</v>
      </c>
    </row>
    <row r="161" spans="2:9" ht="15.75" hidden="1" customHeight="1" outlineLevel="1" thickBot="1" x14ac:dyDescent="0.3">
      <c r="B161" s="241">
        <f>IF(AND(F161&lt;&gt;"", B156&lt;&gt;""), B156+1, "")</f>
        <v>45832</v>
      </c>
      <c r="C161" s="442">
        <v>45832</v>
      </c>
      <c r="D161" s="443">
        <f>D156+1</f>
        <v>45832</v>
      </c>
      <c r="E161" s="246" t="s">
        <v>394</v>
      </c>
      <c r="F161" s="202">
        <v>3082</v>
      </c>
      <c r="G161" s="203"/>
      <c r="H161" s="203"/>
      <c r="I161" s="263">
        <f t="shared" si="2"/>
        <v>3082</v>
      </c>
    </row>
    <row r="162" spans="2:9" ht="15.75" hidden="1" customHeight="1" outlineLevel="1" thickBot="1" x14ac:dyDescent="0.3">
      <c r="B162" s="245">
        <f>IF(AND(F161&lt;&gt;"", B157&lt;&gt;""), B157+1, "")</f>
        <v>45832</v>
      </c>
      <c r="C162" s="409"/>
      <c r="D162" s="409"/>
      <c r="E162" s="246" t="s">
        <v>764</v>
      </c>
      <c r="F162" s="202">
        <v>3997</v>
      </c>
      <c r="G162" s="203"/>
      <c r="H162" s="203">
        <v>350</v>
      </c>
      <c r="I162" s="263">
        <f t="shared" si="2"/>
        <v>3647</v>
      </c>
    </row>
    <row r="163" spans="2:9" ht="15.75" hidden="1" customHeight="1" outlineLevel="1" thickBot="1" x14ac:dyDescent="0.3">
      <c r="B163" s="245">
        <f>IF(AND(F161&lt;&gt;"", B158&lt;&gt;""), B158+1, "")</f>
        <v>45832</v>
      </c>
      <c r="C163" s="409"/>
      <c r="D163" s="409"/>
      <c r="E163" s="246" t="s">
        <v>765</v>
      </c>
      <c r="F163" s="202">
        <v>0</v>
      </c>
      <c r="G163" s="203"/>
      <c r="H163" s="203"/>
      <c r="I163" s="263">
        <f t="shared" si="2"/>
        <v>0</v>
      </c>
    </row>
    <row r="164" spans="2:9" ht="15.75" hidden="1" customHeight="1" outlineLevel="1" thickBot="1" x14ac:dyDescent="0.3">
      <c r="B164" s="245">
        <f>IF(AND(F161&lt;&gt;"", B159&lt;&gt;""), B159+1, "")</f>
        <v>45832</v>
      </c>
      <c r="C164" s="409"/>
      <c r="D164" s="409"/>
      <c r="E164" s="246" t="s">
        <v>766</v>
      </c>
      <c r="F164" s="202">
        <v>0</v>
      </c>
      <c r="G164" s="203"/>
      <c r="H164" s="203"/>
      <c r="I164" s="263">
        <f t="shared" si="2"/>
        <v>0</v>
      </c>
    </row>
    <row r="165" spans="2:9" ht="15.75" hidden="1" customHeight="1" outlineLevel="1" thickBot="1" x14ac:dyDescent="0.3">
      <c r="B165" s="249">
        <f>IF(AND(F161&lt;&gt;"", B160&lt;&gt;""), B160+1, "")</f>
        <v>45832</v>
      </c>
      <c r="C165" s="416"/>
      <c r="D165" s="416"/>
      <c r="E165" s="250" t="s">
        <v>767</v>
      </c>
      <c r="F165" s="204">
        <v>300</v>
      </c>
      <c r="G165" s="205"/>
      <c r="H165" s="205"/>
      <c r="I165" s="264">
        <f t="shared" si="2"/>
        <v>300</v>
      </c>
    </row>
    <row r="166" spans="2:9" ht="15.75" hidden="1" customHeight="1" outlineLevel="1" thickBot="1" x14ac:dyDescent="0.3">
      <c r="B166" s="241">
        <f>IF(AND(F166&lt;&gt;"", B161&lt;&gt;""), B161+1, "")</f>
        <v>45833</v>
      </c>
      <c r="C166" s="442">
        <v>45833</v>
      </c>
      <c r="D166" s="443">
        <f>D161+1</f>
        <v>45833</v>
      </c>
      <c r="E166" s="246" t="s">
        <v>394</v>
      </c>
      <c r="F166" s="202">
        <v>3082</v>
      </c>
      <c r="G166" s="203"/>
      <c r="H166" s="203">
        <v>600</v>
      </c>
      <c r="I166" s="263">
        <f t="shared" si="2"/>
        <v>2482</v>
      </c>
    </row>
    <row r="167" spans="2:9" ht="15.75" hidden="1" customHeight="1" outlineLevel="1" thickBot="1" x14ac:dyDescent="0.3">
      <c r="B167" s="245">
        <f>IF(AND(F166&lt;&gt;"", B162&lt;&gt;""), B162+1, "")</f>
        <v>45833</v>
      </c>
      <c r="C167" s="409"/>
      <c r="D167" s="409"/>
      <c r="E167" s="246" t="s">
        <v>764</v>
      </c>
      <c r="F167" s="202">
        <v>3647</v>
      </c>
      <c r="G167" s="203"/>
      <c r="H167" s="203"/>
      <c r="I167" s="263">
        <f t="shared" si="2"/>
        <v>3647</v>
      </c>
    </row>
    <row r="168" spans="2:9" ht="15.75" hidden="1" customHeight="1" outlineLevel="1" thickBot="1" x14ac:dyDescent="0.3">
      <c r="B168" s="245">
        <f>IF(AND(F166&lt;&gt;"", B163&lt;&gt;""), B163+1, "")</f>
        <v>45833</v>
      </c>
      <c r="C168" s="409"/>
      <c r="D168" s="409"/>
      <c r="E168" s="246" t="s">
        <v>765</v>
      </c>
      <c r="F168" s="202">
        <v>0</v>
      </c>
      <c r="G168" s="203"/>
      <c r="H168" s="203"/>
      <c r="I168" s="263">
        <f t="shared" si="2"/>
        <v>0</v>
      </c>
    </row>
    <row r="169" spans="2:9" ht="15.75" hidden="1" customHeight="1" outlineLevel="1" thickBot="1" x14ac:dyDescent="0.3">
      <c r="B169" s="245">
        <f>IF(AND(F166&lt;&gt;"", B164&lt;&gt;""), B164+1, "")</f>
        <v>45833</v>
      </c>
      <c r="C169" s="409"/>
      <c r="D169" s="409"/>
      <c r="E169" s="246" t="s">
        <v>766</v>
      </c>
      <c r="F169" s="202">
        <v>0</v>
      </c>
      <c r="G169" s="203"/>
      <c r="H169" s="203"/>
      <c r="I169" s="263">
        <f t="shared" si="2"/>
        <v>0</v>
      </c>
    </row>
    <row r="170" spans="2:9" ht="15.75" hidden="1" customHeight="1" outlineLevel="1" thickBot="1" x14ac:dyDescent="0.3">
      <c r="B170" s="249">
        <f>IF(AND(F166&lt;&gt;"", B165&lt;&gt;""), B165+1, "")</f>
        <v>45833</v>
      </c>
      <c r="C170" s="416"/>
      <c r="D170" s="416"/>
      <c r="E170" s="250" t="s">
        <v>767</v>
      </c>
      <c r="F170" s="204">
        <v>300</v>
      </c>
      <c r="G170" s="205"/>
      <c r="H170" s="205"/>
      <c r="I170" s="264">
        <f t="shared" si="2"/>
        <v>300</v>
      </c>
    </row>
    <row r="171" spans="2:9" ht="15.75" hidden="1" customHeight="1" outlineLevel="1" thickBot="1" x14ac:dyDescent="0.3">
      <c r="B171" s="241">
        <f>IF(AND(F171&lt;&gt;"", B166&lt;&gt;""), B166+1, "")</f>
        <v>45834</v>
      </c>
      <c r="C171" s="442">
        <v>45834</v>
      </c>
      <c r="D171" s="443">
        <f>D166+1</f>
        <v>45834</v>
      </c>
      <c r="E171" s="246" t="s">
        <v>394</v>
      </c>
      <c r="F171" s="202">
        <v>2482</v>
      </c>
      <c r="G171" s="203"/>
      <c r="H171" s="203"/>
      <c r="I171" s="263">
        <f t="shared" si="2"/>
        <v>2482</v>
      </c>
    </row>
    <row r="172" spans="2:9" ht="15.75" hidden="1" customHeight="1" outlineLevel="1" thickBot="1" x14ac:dyDescent="0.3">
      <c r="B172" s="245">
        <f>IF(AND(F171&lt;&gt;"", B167&lt;&gt;""), B167+1, "")</f>
        <v>45834</v>
      </c>
      <c r="C172" s="409"/>
      <c r="D172" s="409"/>
      <c r="E172" s="246" t="s">
        <v>764</v>
      </c>
      <c r="F172" s="202">
        <v>3647</v>
      </c>
      <c r="G172" s="203"/>
      <c r="H172" s="203">
        <v>600</v>
      </c>
      <c r="I172" s="263">
        <f t="shared" si="2"/>
        <v>3047</v>
      </c>
    </row>
    <row r="173" spans="2:9" ht="15.75" hidden="1" customHeight="1" outlineLevel="1" thickBot="1" x14ac:dyDescent="0.3">
      <c r="B173" s="245">
        <f>IF(AND(F171&lt;&gt;"", B168&lt;&gt;""), B168+1, "")</f>
        <v>45834</v>
      </c>
      <c r="C173" s="409"/>
      <c r="D173" s="409"/>
      <c r="E173" s="246" t="s">
        <v>765</v>
      </c>
      <c r="F173" s="202">
        <v>0</v>
      </c>
      <c r="G173" s="203"/>
      <c r="H173" s="203"/>
      <c r="I173" s="263">
        <f t="shared" si="2"/>
        <v>0</v>
      </c>
    </row>
    <row r="174" spans="2:9" ht="15.75" hidden="1" customHeight="1" outlineLevel="1" thickBot="1" x14ac:dyDescent="0.3">
      <c r="B174" s="245">
        <f>IF(AND(F171&lt;&gt;"", B169&lt;&gt;""), B169+1, "")</f>
        <v>45834</v>
      </c>
      <c r="C174" s="409"/>
      <c r="D174" s="409"/>
      <c r="E174" s="246" t="s">
        <v>766</v>
      </c>
      <c r="F174" s="202">
        <v>0</v>
      </c>
      <c r="G174" s="203"/>
      <c r="H174" s="203"/>
      <c r="I174" s="263">
        <f t="shared" si="2"/>
        <v>0</v>
      </c>
    </row>
    <row r="175" spans="2:9" ht="15.75" hidden="1" customHeight="1" outlineLevel="1" thickBot="1" x14ac:dyDescent="0.3">
      <c r="B175" s="249">
        <f>IF(AND(F171&lt;&gt;"", B170&lt;&gt;""), B170+1, "")</f>
        <v>45834</v>
      </c>
      <c r="C175" s="416"/>
      <c r="D175" s="416"/>
      <c r="E175" s="250" t="s">
        <v>767</v>
      </c>
      <c r="F175" s="202">
        <v>300</v>
      </c>
      <c r="G175" s="205"/>
      <c r="H175" s="205"/>
      <c r="I175" s="264">
        <f t="shared" si="2"/>
        <v>300</v>
      </c>
    </row>
    <row r="176" spans="2:9" ht="15.75" hidden="1" customHeight="1" outlineLevel="1" thickBot="1" x14ac:dyDescent="0.3">
      <c r="B176" s="241">
        <f>IF(AND(F176&lt;&gt;"", B171&lt;&gt;""), B171+1, "")</f>
        <v>45835</v>
      </c>
      <c r="C176" s="442">
        <v>45835</v>
      </c>
      <c r="D176" s="443">
        <f>D171+1</f>
        <v>45835</v>
      </c>
      <c r="E176" s="246" t="s">
        <v>394</v>
      </c>
      <c r="F176" s="202">
        <v>2482</v>
      </c>
      <c r="G176" s="203"/>
      <c r="H176" s="203">
        <v>250</v>
      </c>
      <c r="I176" s="263">
        <f t="shared" si="2"/>
        <v>2232</v>
      </c>
    </row>
    <row r="177" spans="2:9" ht="15.75" hidden="1" customHeight="1" outlineLevel="1" thickBot="1" x14ac:dyDescent="0.3">
      <c r="B177" s="245">
        <f>IF(AND(F176&lt;&gt;"", B172&lt;&gt;""), B172+1, "")</f>
        <v>45835</v>
      </c>
      <c r="C177" s="409"/>
      <c r="D177" s="409"/>
      <c r="E177" s="246" t="s">
        <v>764</v>
      </c>
      <c r="F177" s="202">
        <v>3047</v>
      </c>
      <c r="G177" s="203"/>
      <c r="H177" s="203">
        <v>300</v>
      </c>
      <c r="I177" s="263">
        <f t="shared" si="2"/>
        <v>2747</v>
      </c>
    </row>
    <row r="178" spans="2:9" ht="15.75" hidden="1" customHeight="1" outlineLevel="1" thickBot="1" x14ac:dyDescent="0.3">
      <c r="B178" s="245">
        <f>IF(AND(F176&lt;&gt;"", B173&lt;&gt;""), B173+1, "")</f>
        <v>45835</v>
      </c>
      <c r="C178" s="409"/>
      <c r="D178" s="409"/>
      <c r="E178" s="246" t="s">
        <v>765</v>
      </c>
      <c r="F178" s="202">
        <v>0</v>
      </c>
      <c r="G178" s="203"/>
      <c r="H178" s="203"/>
      <c r="I178" s="263">
        <f t="shared" si="2"/>
        <v>0</v>
      </c>
    </row>
    <row r="179" spans="2:9" ht="15.75" hidden="1" customHeight="1" outlineLevel="1" thickBot="1" x14ac:dyDescent="0.3">
      <c r="B179" s="245">
        <f>IF(AND(F176&lt;&gt;"", B174&lt;&gt;""), B174+1, "")</f>
        <v>45835</v>
      </c>
      <c r="C179" s="409"/>
      <c r="D179" s="409"/>
      <c r="E179" s="246" t="s">
        <v>766</v>
      </c>
      <c r="F179" s="202">
        <v>0</v>
      </c>
      <c r="G179" s="203"/>
      <c r="H179" s="203"/>
      <c r="I179" s="263">
        <f t="shared" si="2"/>
        <v>0</v>
      </c>
    </row>
    <row r="180" spans="2:9" ht="15.75" hidden="1" customHeight="1" outlineLevel="1" thickBot="1" x14ac:dyDescent="0.3">
      <c r="B180" s="249">
        <f>IF(AND(F176&lt;&gt;"", B175&lt;&gt;""), B175+1, "")</f>
        <v>45835</v>
      </c>
      <c r="C180" s="416"/>
      <c r="D180" s="416"/>
      <c r="E180" s="250" t="s">
        <v>767</v>
      </c>
      <c r="F180" s="204">
        <v>300</v>
      </c>
      <c r="G180" s="205"/>
      <c r="H180" s="205"/>
      <c r="I180" s="264">
        <f t="shared" si="2"/>
        <v>300</v>
      </c>
    </row>
    <row r="181" spans="2:9" ht="15.75" hidden="1" customHeight="1" outlineLevel="1" thickBot="1" x14ac:dyDescent="0.3">
      <c r="B181" s="241">
        <f>IF(AND(F181&lt;&gt;"", B176&lt;&gt;""), B176+1, "")</f>
        <v>45836</v>
      </c>
      <c r="C181" s="442">
        <v>45836</v>
      </c>
      <c r="D181" s="443">
        <f>D176+1</f>
        <v>45836</v>
      </c>
      <c r="E181" s="246" t="s">
        <v>394</v>
      </c>
      <c r="F181" s="202">
        <v>2232</v>
      </c>
      <c r="G181" s="205"/>
      <c r="H181" s="203"/>
      <c r="I181" s="263">
        <f t="shared" si="2"/>
        <v>2232</v>
      </c>
    </row>
    <row r="182" spans="2:9" ht="15.75" hidden="1" customHeight="1" outlineLevel="1" thickBot="1" x14ac:dyDescent="0.3">
      <c r="B182" s="245">
        <f>IF(AND(F181&lt;&gt;"", B177&lt;&gt;""), B177+1, "")</f>
        <v>45836</v>
      </c>
      <c r="C182" s="409"/>
      <c r="D182" s="409"/>
      <c r="E182" s="246" t="s">
        <v>764</v>
      </c>
      <c r="F182" s="202">
        <v>2747</v>
      </c>
      <c r="G182" s="203"/>
      <c r="H182" s="203"/>
      <c r="I182" s="263">
        <f t="shared" si="2"/>
        <v>2747</v>
      </c>
    </row>
    <row r="183" spans="2:9" ht="15.75" hidden="1" customHeight="1" outlineLevel="1" thickBot="1" x14ac:dyDescent="0.3">
      <c r="B183" s="245">
        <f>IF(AND(F181&lt;&gt;"", B178&lt;&gt;""), B178+1, "")</f>
        <v>45836</v>
      </c>
      <c r="C183" s="409"/>
      <c r="D183" s="409"/>
      <c r="E183" s="246" t="s">
        <v>765</v>
      </c>
      <c r="F183" s="202">
        <v>0</v>
      </c>
      <c r="G183" s="203"/>
      <c r="H183" s="203"/>
      <c r="I183" s="263">
        <f t="shared" si="2"/>
        <v>0</v>
      </c>
    </row>
    <row r="184" spans="2:9" ht="15.75" hidden="1" customHeight="1" outlineLevel="1" thickBot="1" x14ac:dyDescent="0.3">
      <c r="B184" s="245">
        <f>IF(AND(F181&lt;&gt;"", B179&lt;&gt;""), B179+1, "")</f>
        <v>45836</v>
      </c>
      <c r="C184" s="409"/>
      <c r="D184" s="409"/>
      <c r="E184" s="246" t="s">
        <v>766</v>
      </c>
      <c r="F184" s="202">
        <v>0</v>
      </c>
      <c r="G184" s="203"/>
      <c r="H184" s="203"/>
      <c r="I184" s="263">
        <f t="shared" si="2"/>
        <v>0</v>
      </c>
    </row>
    <row r="185" spans="2:9" ht="15.75" hidden="1" customHeight="1" outlineLevel="1" thickBot="1" x14ac:dyDescent="0.3">
      <c r="B185" s="249">
        <f>IF(AND(F181&lt;&gt;"", B180&lt;&gt;""), B180+1, "")</f>
        <v>45836</v>
      </c>
      <c r="C185" s="416"/>
      <c r="D185" s="416"/>
      <c r="E185" s="250" t="s">
        <v>767</v>
      </c>
      <c r="F185" s="204">
        <v>300</v>
      </c>
      <c r="G185" s="205"/>
      <c r="H185" s="205"/>
      <c r="I185" s="264">
        <f t="shared" si="2"/>
        <v>300</v>
      </c>
    </row>
    <row r="186" spans="2:9" ht="15.75" hidden="1" customHeight="1" outlineLevel="1" thickBot="1" x14ac:dyDescent="0.3">
      <c r="B186" s="241">
        <f>IF(AND(F186&lt;&gt;"", B181&lt;&gt;""), B181+1, "")</f>
        <v>45837</v>
      </c>
      <c r="C186" s="442">
        <v>45837</v>
      </c>
      <c r="D186" s="443">
        <f>D181+1</f>
        <v>45837</v>
      </c>
      <c r="E186" s="246" t="s">
        <v>394</v>
      </c>
      <c r="F186" s="202">
        <v>2232</v>
      </c>
      <c r="G186" s="203"/>
      <c r="H186" s="203"/>
      <c r="I186" s="263">
        <f t="shared" si="2"/>
        <v>2232</v>
      </c>
    </row>
    <row r="187" spans="2:9" ht="15.75" hidden="1" customHeight="1" outlineLevel="1" thickBot="1" x14ac:dyDescent="0.3">
      <c r="B187" s="245">
        <f>IF(AND(F186&lt;&gt;"", B182&lt;&gt;""), B182+1, "")</f>
        <v>45837</v>
      </c>
      <c r="C187" s="409"/>
      <c r="D187" s="409"/>
      <c r="E187" s="246" t="s">
        <v>764</v>
      </c>
      <c r="F187" s="202">
        <v>2747</v>
      </c>
      <c r="G187" s="203"/>
      <c r="H187" s="203">
        <v>450</v>
      </c>
      <c r="I187" s="263">
        <f t="shared" si="2"/>
        <v>2297</v>
      </c>
    </row>
    <row r="188" spans="2:9" ht="15.75" hidden="1" customHeight="1" outlineLevel="1" thickBot="1" x14ac:dyDescent="0.3">
      <c r="B188" s="245">
        <f>IF(AND(F186&lt;&gt;"", B183&lt;&gt;""), B183+1, "")</f>
        <v>45837</v>
      </c>
      <c r="C188" s="409"/>
      <c r="D188" s="409"/>
      <c r="E188" s="246" t="s">
        <v>765</v>
      </c>
      <c r="F188" s="202">
        <v>0</v>
      </c>
      <c r="G188" s="203"/>
      <c r="H188" s="203"/>
      <c r="I188" s="263">
        <f t="shared" si="2"/>
        <v>0</v>
      </c>
    </row>
    <row r="189" spans="2:9" ht="15.75" hidden="1" customHeight="1" outlineLevel="1" thickBot="1" x14ac:dyDescent="0.3">
      <c r="B189" s="245">
        <f>IF(AND(F186&lt;&gt;"", B184&lt;&gt;""), B184+1, "")</f>
        <v>45837</v>
      </c>
      <c r="C189" s="409"/>
      <c r="D189" s="409"/>
      <c r="E189" s="246" t="s">
        <v>766</v>
      </c>
      <c r="F189" s="202">
        <v>0</v>
      </c>
      <c r="G189" s="203"/>
      <c r="H189" s="203"/>
      <c r="I189" s="263">
        <f t="shared" si="2"/>
        <v>0</v>
      </c>
    </row>
    <row r="190" spans="2:9" ht="15.75" hidden="1" customHeight="1" outlineLevel="1" thickBot="1" x14ac:dyDescent="0.3">
      <c r="B190" s="249">
        <f>IF(AND(F186&lt;&gt;"", B185&lt;&gt;""), B185+1, "")</f>
        <v>45837</v>
      </c>
      <c r="C190" s="416"/>
      <c r="D190" s="416"/>
      <c r="E190" s="250" t="s">
        <v>767</v>
      </c>
      <c r="F190" s="204">
        <v>300</v>
      </c>
      <c r="G190" s="205"/>
      <c r="H190" s="205"/>
      <c r="I190" s="264">
        <f t="shared" si="2"/>
        <v>300</v>
      </c>
    </row>
    <row r="191" spans="2:9" ht="15.75" hidden="1" customHeight="1" outlineLevel="1" thickBot="1" x14ac:dyDescent="0.3">
      <c r="B191" s="241">
        <f>IF(AND(F191&lt;&gt;"", B186&lt;&gt;""), B186+1, "")</f>
        <v>45838</v>
      </c>
      <c r="C191" s="442">
        <v>45838</v>
      </c>
      <c r="D191" s="443">
        <f>D186+1</f>
        <v>45838</v>
      </c>
      <c r="E191" s="246" t="s">
        <v>394</v>
      </c>
      <c r="F191" s="202">
        <v>2232</v>
      </c>
      <c r="G191" s="203"/>
      <c r="H191" s="203"/>
      <c r="I191" s="263">
        <f t="shared" si="2"/>
        <v>2232</v>
      </c>
    </row>
    <row r="192" spans="2:9" ht="15.75" hidden="1" customHeight="1" outlineLevel="1" thickBot="1" x14ac:dyDescent="0.3">
      <c r="B192" s="245">
        <f>IF(AND(F191&lt;&gt;"", B187&lt;&gt;""), B187+1, "")</f>
        <v>45838</v>
      </c>
      <c r="C192" s="409"/>
      <c r="D192" s="409"/>
      <c r="E192" s="246" t="s">
        <v>764</v>
      </c>
      <c r="F192" s="202">
        <v>2297</v>
      </c>
      <c r="G192" s="203"/>
      <c r="H192" s="203">
        <v>862</v>
      </c>
      <c r="I192" s="263">
        <f t="shared" si="2"/>
        <v>1435</v>
      </c>
    </row>
    <row r="193" spans="2:9" ht="15.75" hidden="1" customHeight="1" outlineLevel="1" thickBot="1" x14ac:dyDescent="0.3">
      <c r="B193" s="245">
        <f>IF(AND(F191&lt;&gt;"", B188&lt;&gt;""), B188+1, "")</f>
        <v>45838</v>
      </c>
      <c r="C193" s="409"/>
      <c r="D193" s="409"/>
      <c r="E193" s="246" t="s">
        <v>765</v>
      </c>
      <c r="F193" s="202">
        <v>0</v>
      </c>
      <c r="G193" s="203"/>
      <c r="H193" s="203"/>
      <c r="I193" s="263">
        <f t="shared" si="2"/>
        <v>0</v>
      </c>
    </row>
    <row r="194" spans="2:9" ht="15.75" hidden="1" customHeight="1" outlineLevel="1" thickBot="1" x14ac:dyDescent="0.3">
      <c r="B194" s="245">
        <f>IF(AND(F191&lt;&gt;"", B189&lt;&gt;""), B189+1, "")</f>
        <v>45838</v>
      </c>
      <c r="C194" s="409"/>
      <c r="D194" s="409"/>
      <c r="E194" s="246" t="s">
        <v>766</v>
      </c>
      <c r="F194" s="202">
        <v>0</v>
      </c>
      <c r="G194" s="203"/>
      <c r="H194" s="203"/>
      <c r="I194" s="263">
        <f t="shared" si="2"/>
        <v>0</v>
      </c>
    </row>
    <row r="195" spans="2:9" ht="15.75" hidden="1" customHeight="1" outlineLevel="1" thickBot="1" x14ac:dyDescent="0.3">
      <c r="B195" s="249">
        <f>IF(AND(F191&lt;&gt;"", B190&lt;&gt;""), B190+1, "")</f>
        <v>45838</v>
      </c>
      <c r="C195" s="416"/>
      <c r="D195" s="416"/>
      <c r="E195" s="250" t="s">
        <v>767</v>
      </c>
      <c r="F195" s="204">
        <v>300</v>
      </c>
      <c r="G195" s="205"/>
      <c r="H195" s="205"/>
      <c r="I195" s="264">
        <f t="shared" si="2"/>
        <v>300</v>
      </c>
    </row>
    <row r="196" spans="2:9" ht="15.75" hidden="1" customHeight="1" outlineLevel="1" thickBot="1" x14ac:dyDescent="0.3">
      <c r="B196" s="241">
        <f>IF(AND(F196&lt;&gt;"", B191&lt;&gt;""), B191+1, "")</f>
        <v>45839</v>
      </c>
      <c r="C196" s="442">
        <v>45839</v>
      </c>
      <c r="D196" s="443">
        <f>D191+1</f>
        <v>45839</v>
      </c>
      <c r="E196" s="246" t="s">
        <v>394</v>
      </c>
      <c r="F196" s="202">
        <v>2232</v>
      </c>
      <c r="G196" s="203"/>
      <c r="H196" s="203"/>
      <c r="I196" s="263">
        <f t="shared" si="2"/>
        <v>2232</v>
      </c>
    </row>
    <row r="197" spans="2:9" ht="15.75" hidden="1" customHeight="1" outlineLevel="1" thickBot="1" x14ac:dyDescent="0.3">
      <c r="B197" s="245">
        <f>IF(AND(F196&lt;&gt;"", B192&lt;&gt;""), B192+1, "")</f>
        <v>45839</v>
      </c>
      <c r="C197" s="409"/>
      <c r="D197" s="409"/>
      <c r="E197" s="246" t="s">
        <v>764</v>
      </c>
      <c r="F197" s="202">
        <v>1435</v>
      </c>
      <c r="G197" s="203"/>
      <c r="H197" s="203">
        <v>630</v>
      </c>
      <c r="I197" s="263">
        <f t="shared" si="2"/>
        <v>805</v>
      </c>
    </row>
    <row r="198" spans="2:9" ht="15.75" hidden="1" customHeight="1" outlineLevel="1" thickBot="1" x14ac:dyDescent="0.3">
      <c r="B198" s="245">
        <f>IF(AND(F196&lt;&gt;"", B193&lt;&gt;""), B193+1, "")</f>
        <v>45839</v>
      </c>
      <c r="C198" s="409"/>
      <c r="D198" s="409"/>
      <c r="E198" s="246" t="s">
        <v>765</v>
      </c>
      <c r="F198" s="202">
        <v>0</v>
      </c>
      <c r="G198" s="203"/>
      <c r="H198" s="203"/>
      <c r="I198" s="263">
        <f t="shared" si="2"/>
        <v>0</v>
      </c>
    </row>
    <row r="199" spans="2:9" ht="15.75" hidden="1" customHeight="1" outlineLevel="1" thickBot="1" x14ac:dyDescent="0.3">
      <c r="B199" s="245">
        <f>IF(AND(F196&lt;&gt;"", B194&lt;&gt;""), B194+1, "")</f>
        <v>45839</v>
      </c>
      <c r="C199" s="409"/>
      <c r="D199" s="409"/>
      <c r="E199" s="246" t="s">
        <v>766</v>
      </c>
      <c r="F199" s="202">
        <v>0</v>
      </c>
      <c r="G199" s="203"/>
      <c r="H199" s="203"/>
      <c r="I199" s="263">
        <f t="shared" si="2"/>
        <v>0</v>
      </c>
    </row>
    <row r="200" spans="2:9" ht="15.75" hidden="1" customHeight="1" outlineLevel="1" thickBot="1" x14ac:dyDescent="0.3">
      <c r="B200" s="249">
        <f>IF(AND(F196&lt;&gt;"", B195&lt;&gt;""), B195+1, "")</f>
        <v>45839</v>
      </c>
      <c r="C200" s="416"/>
      <c r="D200" s="416"/>
      <c r="E200" s="250" t="s">
        <v>767</v>
      </c>
      <c r="F200" s="204">
        <v>300</v>
      </c>
      <c r="G200" s="205"/>
      <c r="H200" s="205"/>
      <c r="I200" s="264">
        <f t="shared" si="2"/>
        <v>300</v>
      </c>
    </row>
    <row r="201" spans="2:9" ht="15.75" hidden="1" customHeight="1" outlineLevel="1" thickBot="1" x14ac:dyDescent="0.3">
      <c r="B201" s="241">
        <f>IF(AND(F201&lt;&gt;"", B196&lt;&gt;""), B196+1, "")</f>
        <v>45840</v>
      </c>
      <c r="C201" s="442">
        <v>45840</v>
      </c>
      <c r="D201" s="443">
        <f>D196+1</f>
        <v>45840</v>
      </c>
      <c r="E201" s="246" t="s">
        <v>394</v>
      </c>
      <c r="F201" s="202">
        <v>2232</v>
      </c>
      <c r="G201" s="203"/>
      <c r="H201" s="203">
        <v>360</v>
      </c>
      <c r="I201" s="263">
        <f t="shared" si="2"/>
        <v>1872</v>
      </c>
    </row>
    <row r="202" spans="2:9" ht="15.75" hidden="1" customHeight="1" outlineLevel="1" thickBot="1" x14ac:dyDescent="0.3">
      <c r="B202" s="245">
        <f>IF(AND(F201&lt;&gt;"", B197&lt;&gt;""), B197+1, "")</f>
        <v>45840</v>
      </c>
      <c r="C202" s="409"/>
      <c r="D202" s="409"/>
      <c r="E202" s="246" t="s">
        <v>764</v>
      </c>
      <c r="F202" s="202">
        <v>805</v>
      </c>
      <c r="G202" s="203"/>
      <c r="H202" s="203">
        <v>200</v>
      </c>
      <c r="I202" s="263">
        <f t="shared" si="2"/>
        <v>605</v>
      </c>
    </row>
    <row r="203" spans="2:9" ht="15.75" hidden="1" customHeight="1" outlineLevel="1" thickBot="1" x14ac:dyDescent="0.3">
      <c r="B203" s="245">
        <f>IF(AND(F201&lt;&gt;"", B198&lt;&gt;""), B198+1, "")</f>
        <v>45840</v>
      </c>
      <c r="C203" s="409"/>
      <c r="D203" s="409"/>
      <c r="E203" s="246" t="s">
        <v>765</v>
      </c>
      <c r="F203" s="202">
        <v>0</v>
      </c>
      <c r="G203" s="203"/>
      <c r="H203" s="203"/>
      <c r="I203" s="263">
        <f t="shared" si="2"/>
        <v>0</v>
      </c>
    </row>
    <row r="204" spans="2:9" ht="15.75" hidden="1" customHeight="1" outlineLevel="1" thickBot="1" x14ac:dyDescent="0.3">
      <c r="B204" s="245">
        <f>IF(AND(F201&lt;&gt;"", B199&lt;&gt;""), B199+1, "")</f>
        <v>45840</v>
      </c>
      <c r="C204" s="409"/>
      <c r="D204" s="409"/>
      <c r="E204" s="246" t="s">
        <v>766</v>
      </c>
      <c r="F204" s="202">
        <v>0</v>
      </c>
      <c r="G204" s="203"/>
      <c r="H204" s="203"/>
      <c r="I204" s="263">
        <f t="shared" si="2"/>
        <v>0</v>
      </c>
    </row>
    <row r="205" spans="2:9" ht="15.75" hidden="1" customHeight="1" outlineLevel="1" thickBot="1" x14ac:dyDescent="0.3">
      <c r="B205" s="249">
        <f>IF(AND(F201&lt;&gt;"", B200&lt;&gt;""), B200+1, "")</f>
        <v>45840</v>
      </c>
      <c r="C205" s="416"/>
      <c r="D205" s="416"/>
      <c r="E205" s="250" t="s">
        <v>767</v>
      </c>
      <c r="F205" s="204">
        <v>300</v>
      </c>
      <c r="G205" s="205"/>
      <c r="H205" s="205"/>
      <c r="I205" s="264">
        <f t="shared" si="2"/>
        <v>300</v>
      </c>
    </row>
    <row r="206" spans="2:9" ht="15.75" hidden="1" customHeight="1" outlineLevel="1" thickBot="1" x14ac:dyDescent="0.3">
      <c r="B206" s="241">
        <f>IF(AND(F206&lt;&gt;"", B201&lt;&gt;""), B201+1, "")</f>
        <v>45841</v>
      </c>
      <c r="C206" s="442">
        <v>45841</v>
      </c>
      <c r="D206" s="443">
        <f>D201+1</f>
        <v>45841</v>
      </c>
      <c r="E206" s="246" t="s">
        <v>394</v>
      </c>
      <c r="F206" s="202">
        <v>1872</v>
      </c>
      <c r="G206" s="203"/>
      <c r="H206" s="203">
        <v>750</v>
      </c>
      <c r="I206" s="263">
        <f t="shared" si="2"/>
        <v>1122</v>
      </c>
    </row>
    <row r="207" spans="2:9" ht="15.75" hidden="1" customHeight="1" outlineLevel="1" thickBot="1" x14ac:dyDescent="0.3">
      <c r="B207" s="245">
        <f>IF(AND(F206&lt;&gt;"", B202&lt;&gt;""), B202+1, "")</f>
        <v>45841</v>
      </c>
      <c r="C207" s="409"/>
      <c r="D207" s="409"/>
      <c r="E207" s="246" t="s">
        <v>764</v>
      </c>
      <c r="F207" s="202">
        <v>605</v>
      </c>
      <c r="G207" s="203"/>
      <c r="H207" s="203">
        <v>344</v>
      </c>
      <c r="I207" s="263">
        <f t="shared" si="2"/>
        <v>261</v>
      </c>
    </row>
    <row r="208" spans="2:9" ht="15.75" hidden="1" customHeight="1" outlineLevel="1" thickBot="1" x14ac:dyDescent="0.3">
      <c r="B208" s="245">
        <f>IF(AND(F206&lt;&gt;"", B203&lt;&gt;""), B203+1, "")</f>
        <v>45841</v>
      </c>
      <c r="C208" s="409"/>
      <c r="D208" s="409"/>
      <c r="E208" s="246" t="s">
        <v>765</v>
      </c>
      <c r="F208" s="202">
        <v>0</v>
      </c>
      <c r="G208" s="203"/>
      <c r="H208" s="203"/>
      <c r="I208" s="263">
        <f t="shared" si="2"/>
        <v>0</v>
      </c>
    </row>
    <row r="209" spans="2:9" ht="15.75" hidden="1" customHeight="1" outlineLevel="1" thickBot="1" x14ac:dyDescent="0.3">
      <c r="B209" s="245">
        <f>IF(AND(F206&lt;&gt;"", B204&lt;&gt;""), B204+1, "")</f>
        <v>45841</v>
      </c>
      <c r="C209" s="409"/>
      <c r="D209" s="409"/>
      <c r="E209" s="246" t="s">
        <v>766</v>
      </c>
      <c r="F209" s="202">
        <v>0</v>
      </c>
      <c r="G209" s="203"/>
      <c r="H209" s="203"/>
      <c r="I209" s="263">
        <f t="shared" ref="I209:I272" si="3">F209+G209-H209</f>
        <v>0</v>
      </c>
    </row>
    <row r="210" spans="2:9" ht="15.75" hidden="1" customHeight="1" outlineLevel="1" thickBot="1" x14ac:dyDescent="0.3">
      <c r="B210" s="249">
        <f>IF(AND(F206&lt;&gt;"", B205&lt;&gt;""), B205+1, "")</f>
        <v>45841</v>
      </c>
      <c r="C210" s="416"/>
      <c r="D210" s="416"/>
      <c r="E210" s="250" t="s">
        <v>767</v>
      </c>
      <c r="F210" s="204">
        <v>300</v>
      </c>
      <c r="G210" s="205"/>
      <c r="H210" s="205"/>
      <c r="I210" s="264">
        <f t="shared" si="3"/>
        <v>300</v>
      </c>
    </row>
    <row r="211" spans="2:9" ht="15.75" hidden="1" customHeight="1" outlineLevel="1" thickBot="1" x14ac:dyDescent="0.3">
      <c r="B211" s="241">
        <f>IF(AND(F211&lt;&gt;"", B206&lt;&gt;""), B206+1, "")</f>
        <v>45842</v>
      </c>
      <c r="C211" s="442">
        <v>45842</v>
      </c>
      <c r="D211" s="443">
        <f>D206+1</f>
        <v>45842</v>
      </c>
      <c r="E211" s="246" t="s">
        <v>394</v>
      </c>
      <c r="F211" s="202">
        <v>0</v>
      </c>
      <c r="G211" s="203"/>
      <c r="H211" s="203"/>
      <c r="I211" s="263">
        <f t="shared" si="3"/>
        <v>0</v>
      </c>
    </row>
    <row r="212" spans="2:9" ht="15.75" hidden="1" customHeight="1" outlineLevel="1" thickBot="1" x14ac:dyDescent="0.3">
      <c r="B212" s="245">
        <f>IF(AND(F211&lt;&gt;"", B207&lt;&gt;""), B207+1, "")</f>
        <v>45842</v>
      </c>
      <c r="C212" s="409"/>
      <c r="D212" s="409"/>
      <c r="E212" s="246" t="s">
        <v>764</v>
      </c>
      <c r="F212" s="202">
        <v>0</v>
      </c>
      <c r="G212" s="203"/>
      <c r="H212" s="203"/>
      <c r="I212" s="263">
        <f t="shared" si="3"/>
        <v>0</v>
      </c>
    </row>
    <row r="213" spans="2:9" ht="15.75" hidden="1" customHeight="1" outlineLevel="1" thickBot="1" x14ac:dyDescent="0.3">
      <c r="B213" s="245">
        <f>IF(AND(F211&lt;&gt;"", B208&lt;&gt;""), B208+1, "")</f>
        <v>45842</v>
      </c>
      <c r="C213" s="409"/>
      <c r="D213" s="409"/>
      <c r="E213" s="246" t="s">
        <v>765</v>
      </c>
      <c r="F213" s="202">
        <v>0</v>
      </c>
      <c r="G213" s="203"/>
      <c r="H213" s="203"/>
      <c r="I213" s="263">
        <f t="shared" si="3"/>
        <v>0</v>
      </c>
    </row>
    <row r="214" spans="2:9" ht="15.75" hidden="1" customHeight="1" outlineLevel="1" thickBot="1" x14ac:dyDescent="0.3">
      <c r="B214" s="245">
        <f>IF(AND(F211&lt;&gt;"", B209&lt;&gt;""), B209+1, "")</f>
        <v>45842</v>
      </c>
      <c r="C214" s="409"/>
      <c r="D214" s="409"/>
      <c r="E214" s="246" t="s">
        <v>766</v>
      </c>
      <c r="F214" s="202">
        <v>0</v>
      </c>
      <c r="G214" s="203"/>
      <c r="H214" s="203"/>
      <c r="I214" s="263">
        <f t="shared" si="3"/>
        <v>0</v>
      </c>
    </row>
    <row r="215" spans="2:9" ht="15.75" hidden="1" customHeight="1" outlineLevel="1" thickBot="1" x14ac:dyDescent="0.3">
      <c r="B215" s="249">
        <f>IF(AND(F211&lt;&gt;"", B210&lt;&gt;""), B210+1, "")</f>
        <v>45842</v>
      </c>
      <c r="C215" s="416"/>
      <c r="D215" s="416"/>
      <c r="E215" s="250" t="s">
        <v>767</v>
      </c>
      <c r="F215" s="204">
        <v>0</v>
      </c>
      <c r="G215" s="205"/>
      <c r="H215" s="205"/>
      <c r="I215" s="264">
        <f t="shared" si="3"/>
        <v>0</v>
      </c>
    </row>
    <row r="216" spans="2:9" ht="15.75" hidden="1" customHeight="1" outlineLevel="1" thickBot="1" x14ac:dyDescent="0.3">
      <c r="B216" s="241">
        <f>IF(AND(F216&lt;&gt;"", B211&lt;&gt;""), B211+1, "")</f>
        <v>45843</v>
      </c>
      <c r="C216" s="442">
        <v>45843</v>
      </c>
      <c r="D216" s="443">
        <f>D211+1</f>
        <v>45843</v>
      </c>
      <c r="E216" s="246" t="s">
        <v>394</v>
      </c>
      <c r="F216" s="202">
        <v>900</v>
      </c>
      <c r="G216" s="203"/>
      <c r="H216" s="203">
        <v>600</v>
      </c>
      <c r="I216" s="263">
        <f t="shared" si="3"/>
        <v>300</v>
      </c>
    </row>
    <row r="217" spans="2:9" ht="15.75" hidden="1" customHeight="1" outlineLevel="1" thickBot="1" x14ac:dyDescent="0.3">
      <c r="B217" s="245">
        <f>IF(AND(F216&lt;&gt;"", B212&lt;&gt;""), B212+1, "")</f>
        <v>45843</v>
      </c>
      <c r="C217" s="409"/>
      <c r="D217" s="409"/>
      <c r="E217" s="246" t="s">
        <v>764</v>
      </c>
      <c r="F217" s="202">
        <v>959</v>
      </c>
      <c r="G217" s="203"/>
      <c r="H217" s="203">
        <v>614</v>
      </c>
      <c r="I217" s="263">
        <f t="shared" si="3"/>
        <v>345</v>
      </c>
    </row>
    <row r="218" spans="2:9" ht="15.75" hidden="1" customHeight="1" outlineLevel="1" thickBot="1" x14ac:dyDescent="0.3">
      <c r="B218" s="245">
        <f>IF(AND(F216&lt;&gt;"", B213&lt;&gt;""), B213+1, "")</f>
        <v>45843</v>
      </c>
      <c r="C218" s="409"/>
      <c r="D218" s="409"/>
      <c r="E218" s="246" t="s">
        <v>765</v>
      </c>
      <c r="F218" s="202">
        <v>0</v>
      </c>
      <c r="G218" s="203"/>
      <c r="H218" s="203"/>
      <c r="I218" s="263">
        <f t="shared" si="3"/>
        <v>0</v>
      </c>
    </row>
    <row r="219" spans="2:9" ht="15.75" hidden="1" customHeight="1" outlineLevel="1" thickBot="1" x14ac:dyDescent="0.3">
      <c r="B219" s="245">
        <f>IF(AND(F216&lt;&gt;"", B214&lt;&gt;""), B214+1, "")</f>
        <v>45843</v>
      </c>
      <c r="C219" s="409"/>
      <c r="D219" s="409"/>
      <c r="E219" s="246" t="s">
        <v>766</v>
      </c>
      <c r="F219" s="202">
        <v>0</v>
      </c>
      <c r="G219" s="203"/>
      <c r="H219" s="203"/>
      <c r="I219" s="263">
        <f t="shared" si="3"/>
        <v>0</v>
      </c>
    </row>
    <row r="220" spans="2:9" ht="15.75" hidden="1" customHeight="1" outlineLevel="1" thickBot="1" x14ac:dyDescent="0.3">
      <c r="B220" s="249">
        <f>IF(AND(F216&lt;&gt;"", B215&lt;&gt;""), B215+1, "")</f>
        <v>45843</v>
      </c>
      <c r="C220" s="416"/>
      <c r="D220" s="416"/>
      <c r="E220" s="250" t="s">
        <v>767</v>
      </c>
      <c r="F220" s="204">
        <v>300</v>
      </c>
      <c r="G220" s="205"/>
      <c r="H220" s="205"/>
      <c r="I220" s="264">
        <f t="shared" si="3"/>
        <v>300</v>
      </c>
    </row>
    <row r="221" spans="2:9" ht="15.75" hidden="1" customHeight="1" outlineLevel="1" thickBot="1" x14ac:dyDescent="0.3">
      <c r="B221" s="241">
        <f>IF(AND(F221&lt;&gt;"", B216&lt;&gt;""), B216+1, "")</f>
        <v>45844</v>
      </c>
      <c r="C221" s="442">
        <v>45844</v>
      </c>
      <c r="D221" s="443">
        <f>D216+1</f>
        <v>45844</v>
      </c>
      <c r="E221" s="246" t="s">
        <v>394</v>
      </c>
      <c r="F221" s="202">
        <v>300</v>
      </c>
      <c r="G221" s="203"/>
      <c r="H221" s="203">
        <v>200</v>
      </c>
      <c r="I221" s="263">
        <f t="shared" si="3"/>
        <v>100</v>
      </c>
    </row>
    <row r="222" spans="2:9" ht="15.75" hidden="1" customHeight="1" outlineLevel="1" thickBot="1" x14ac:dyDescent="0.3">
      <c r="B222" s="245">
        <f>IF(AND(F221&lt;&gt;"", B217&lt;&gt;""), B217+1, "")</f>
        <v>45844</v>
      </c>
      <c r="C222" s="409"/>
      <c r="D222" s="409"/>
      <c r="E222" s="246" t="s">
        <v>764</v>
      </c>
      <c r="F222" s="202">
        <v>345</v>
      </c>
      <c r="G222" s="203"/>
      <c r="H222" s="203">
        <v>345</v>
      </c>
      <c r="I222" s="263">
        <f t="shared" si="3"/>
        <v>0</v>
      </c>
    </row>
    <row r="223" spans="2:9" ht="15.75" hidden="1" customHeight="1" outlineLevel="1" thickBot="1" x14ac:dyDescent="0.3">
      <c r="B223" s="245">
        <f>IF(AND(F221&lt;&gt;"", B218&lt;&gt;""), B218+1, "")</f>
        <v>45844</v>
      </c>
      <c r="C223" s="409"/>
      <c r="D223" s="409"/>
      <c r="E223" s="246" t="s">
        <v>765</v>
      </c>
      <c r="F223" s="202">
        <v>0</v>
      </c>
      <c r="G223" s="203"/>
      <c r="H223" s="203"/>
      <c r="I223" s="263">
        <f t="shared" si="3"/>
        <v>0</v>
      </c>
    </row>
    <row r="224" spans="2:9" ht="15.75" hidden="1" customHeight="1" outlineLevel="1" thickBot="1" x14ac:dyDescent="0.3">
      <c r="B224" s="245">
        <f>IF(AND(F221&lt;&gt;"", B219&lt;&gt;""), B219+1, "")</f>
        <v>45844</v>
      </c>
      <c r="C224" s="409"/>
      <c r="D224" s="409"/>
      <c r="E224" s="246" t="s">
        <v>766</v>
      </c>
      <c r="F224" s="202">
        <v>0</v>
      </c>
      <c r="G224" s="203"/>
      <c r="H224" s="203"/>
      <c r="I224" s="263">
        <f t="shared" si="3"/>
        <v>0</v>
      </c>
    </row>
    <row r="225" spans="2:9" ht="15.75" hidden="1" customHeight="1" outlineLevel="1" thickBot="1" x14ac:dyDescent="0.3">
      <c r="B225" s="249">
        <f>IF(AND(F221&lt;&gt;"", B220&lt;&gt;""), B220+1, "")</f>
        <v>45844</v>
      </c>
      <c r="C225" s="416"/>
      <c r="D225" s="416"/>
      <c r="E225" s="250" t="s">
        <v>767</v>
      </c>
      <c r="F225" s="204">
        <v>300</v>
      </c>
      <c r="G225" s="205"/>
      <c r="H225" s="205"/>
      <c r="I225" s="264">
        <f t="shared" si="3"/>
        <v>300</v>
      </c>
    </row>
    <row r="226" spans="2:9" ht="15.75" hidden="1" customHeight="1" outlineLevel="1" thickBot="1" x14ac:dyDescent="0.3">
      <c r="B226" s="241">
        <f>IF(AND(F226&lt;&gt;"", B221&lt;&gt;""), B221+1, "")</f>
        <v>45845</v>
      </c>
      <c r="C226" s="442">
        <v>45845</v>
      </c>
      <c r="D226" s="443">
        <f>D221+1</f>
        <v>45845</v>
      </c>
      <c r="E226" s="246" t="s">
        <v>394</v>
      </c>
      <c r="F226" s="202">
        <v>0</v>
      </c>
      <c r="G226" s="203"/>
      <c r="H226" s="203"/>
      <c r="I226" s="263">
        <f t="shared" si="3"/>
        <v>0</v>
      </c>
    </row>
    <row r="227" spans="2:9" ht="15.75" hidden="1" customHeight="1" outlineLevel="1" thickBot="1" x14ac:dyDescent="0.3">
      <c r="B227" s="245">
        <f>IF(AND(F226&lt;&gt;"", B222&lt;&gt;""), B222+1, "")</f>
        <v>45845</v>
      </c>
      <c r="C227" s="409"/>
      <c r="D227" s="409"/>
      <c r="E227" s="246" t="s">
        <v>764</v>
      </c>
      <c r="F227" s="202">
        <v>0</v>
      </c>
      <c r="G227" s="203"/>
      <c r="H227" s="203"/>
      <c r="I227" s="263">
        <f t="shared" si="3"/>
        <v>0</v>
      </c>
    </row>
    <row r="228" spans="2:9" ht="15.75" hidden="1" customHeight="1" outlineLevel="1" thickBot="1" x14ac:dyDescent="0.3">
      <c r="B228" s="245">
        <f>IF(AND(F226&lt;&gt;"", B223&lt;&gt;""), B223+1, "")</f>
        <v>45845</v>
      </c>
      <c r="C228" s="409"/>
      <c r="D228" s="409"/>
      <c r="E228" s="246" t="s">
        <v>765</v>
      </c>
      <c r="F228" s="202">
        <v>0</v>
      </c>
      <c r="G228" s="203"/>
      <c r="H228" s="203"/>
      <c r="I228" s="263">
        <f t="shared" si="3"/>
        <v>0</v>
      </c>
    </row>
    <row r="229" spans="2:9" ht="15.75" hidden="1" customHeight="1" outlineLevel="1" thickBot="1" x14ac:dyDescent="0.3">
      <c r="B229" s="245">
        <f>IF(AND(F226&lt;&gt;"", B224&lt;&gt;""), B224+1, "")</f>
        <v>45845</v>
      </c>
      <c r="C229" s="409"/>
      <c r="D229" s="409"/>
      <c r="E229" s="246" t="s">
        <v>766</v>
      </c>
      <c r="F229" s="202">
        <v>0</v>
      </c>
      <c r="G229" s="203"/>
      <c r="H229" s="203"/>
      <c r="I229" s="263">
        <f t="shared" si="3"/>
        <v>0</v>
      </c>
    </row>
    <row r="230" spans="2:9" ht="15.75" hidden="1" customHeight="1" outlineLevel="1" thickBot="1" x14ac:dyDescent="0.3">
      <c r="B230" s="249">
        <f>IF(AND(F226&lt;&gt;"", B225&lt;&gt;""), B225+1, "")</f>
        <v>45845</v>
      </c>
      <c r="C230" s="416"/>
      <c r="D230" s="416"/>
      <c r="E230" s="250" t="s">
        <v>767</v>
      </c>
      <c r="F230" s="204">
        <v>0</v>
      </c>
      <c r="G230" s="205"/>
      <c r="H230" s="205"/>
      <c r="I230" s="264">
        <f t="shared" si="3"/>
        <v>0</v>
      </c>
    </row>
    <row r="231" spans="2:9" ht="15.75" hidden="1" customHeight="1" outlineLevel="1" thickBot="1" x14ac:dyDescent="0.3">
      <c r="B231" s="241">
        <f>IF(AND(F231&lt;&gt;"", B226&lt;&gt;""), B226+1, "")</f>
        <v>45846</v>
      </c>
      <c r="C231" s="442">
        <v>45846</v>
      </c>
      <c r="D231" s="443">
        <f>D226+1</f>
        <v>45846</v>
      </c>
      <c r="E231" s="246" t="s">
        <v>394</v>
      </c>
      <c r="F231" s="202">
        <v>0</v>
      </c>
      <c r="G231" s="203"/>
      <c r="H231" s="203"/>
      <c r="I231" s="263">
        <f t="shared" si="3"/>
        <v>0</v>
      </c>
    </row>
    <row r="232" spans="2:9" ht="15.75" hidden="1" customHeight="1" outlineLevel="1" thickBot="1" x14ac:dyDescent="0.3">
      <c r="B232" s="245">
        <f>IF(AND(F231&lt;&gt;"", B227&lt;&gt;""), B227+1, "")</f>
        <v>45846</v>
      </c>
      <c r="C232" s="409"/>
      <c r="D232" s="409"/>
      <c r="E232" s="246" t="s">
        <v>764</v>
      </c>
      <c r="F232" s="202">
        <v>0</v>
      </c>
      <c r="G232" s="203"/>
      <c r="H232" s="203"/>
      <c r="I232" s="263">
        <f t="shared" si="3"/>
        <v>0</v>
      </c>
    </row>
    <row r="233" spans="2:9" ht="15.75" hidden="1" customHeight="1" outlineLevel="1" thickBot="1" x14ac:dyDescent="0.3">
      <c r="B233" s="245">
        <f>IF(AND(F231&lt;&gt;"", B228&lt;&gt;""), B228+1, "")</f>
        <v>45846</v>
      </c>
      <c r="C233" s="409"/>
      <c r="D233" s="409"/>
      <c r="E233" s="246" t="s">
        <v>765</v>
      </c>
      <c r="F233" s="202">
        <v>0</v>
      </c>
      <c r="G233" s="203"/>
      <c r="H233" s="203"/>
      <c r="I233" s="263">
        <f t="shared" si="3"/>
        <v>0</v>
      </c>
    </row>
    <row r="234" spans="2:9" ht="15.75" hidden="1" customHeight="1" outlineLevel="1" thickBot="1" x14ac:dyDescent="0.3">
      <c r="B234" s="245">
        <f>IF(AND(F231&lt;&gt;"", B229&lt;&gt;""), B229+1, "")</f>
        <v>45846</v>
      </c>
      <c r="C234" s="409"/>
      <c r="D234" s="409"/>
      <c r="E234" s="246" t="s">
        <v>766</v>
      </c>
      <c r="F234" s="202">
        <v>0</v>
      </c>
      <c r="G234" s="203"/>
      <c r="H234" s="203"/>
      <c r="I234" s="263">
        <f t="shared" si="3"/>
        <v>0</v>
      </c>
    </row>
    <row r="235" spans="2:9" ht="15.75" hidden="1" customHeight="1" outlineLevel="1" thickBot="1" x14ac:dyDescent="0.3">
      <c r="B235" s="249">
        <f>IF(AND(F231&lt;&gt;"", B230&lt;&gt;""), B230+1, "")</f>
        <v>45846</v>
      </c>
      <c r="C235" s="416"/>
      <c r="D235" s="416"/>
      <c r="E235" s="250" t="s">
        <v>767</v>
      </c>
      <c r="F235" s="204">
        <v>0</v>
      </c>
      <c r="G235" s="205"/>
      <c r="H235" s="205"/>
      <c r="I235" s="264">
        <f t="shared" si="3"/>
        <v>0</v>
      </c>
    </row>
    <row r="236" spans="2:9" ht="15.75" hidden="1" customHeight="1" outlineLevel="1" thickBot="1" x14ac:dyDescent="0.3">
      <c r="B236" s="241">
        <f>IF(AND(F236&lt;&gt;"", B231&lt;&gt;""), B231+1, "")</f>
        <v>45847</v>
      </c>
      <c r="C236" s="442">
        <v>45847</v>
      </c>
      <c r="D236" s="443">
        <f>D231+1</f>
        <v>45847</v>
      </c>
      <c r="E236" s="246" t="s">
        <v>394</v>
      </c>
      <c r="F236" s="202">
        <v>0</v>
      </c>
      <c r="G236" s="203"/>
      <c r="H236" s="203"/>
      <c r="I236" s="263">
        <f t="shared" si="3"/>
        <v>0</v>
      </c>
    </row>
    <row r="237" spans="2:9" ht="15.75" hidden="1" customHeight="1" outlineLevel="1" thickBot="1" x14ac:dyDescent="0.3">
      <c r="B237" s="245">
        <f>IF(AND(F236&lt;&gt;"", B232&lt;&gt;""), B232+1, "")</f>
        <v>45847</v>
      </c>
      <c r="C237" s="409"/>
      <c r="D237" s="409"/>
      <c r="E237" s="246" t="s">
        <v>764</v>
      </c>
      <c r="F237" s="202">
        <v>0</v>
      </c>
      <c r="G237" s="203"/>
      <c r="H237" s="203"/>
      <c r="I237" s="263">
        <f t="shared" si="3"/>
        <v>0</v>
      </c>
    </row>
    <row r="238" spans="2:9" ht="15.75" hidden="1" customHeight="1" outlineLevel="1" thickBot="1" x14ac:dyDescent="0.3">
      <c r="B238" s="245">
        <f>IF(AND(F236&lt;&gt;"", B233&lt;&gt;""), B233+1, "")</f>
        <v>45847</v>
      </c>
      <c r="C238" s="409"/>
      <c r="D238" s="409"/>
      <c r="E238" s="246" t="s">
        <v>765</v>
      </c>
      <c r="F238" s="202">
        <v>0</v>
      </c>
      <c r="G238" s="203"/>
      <c r="H238" s="203"/>
      <c r="I238" s="263">
        <f t="shared" si="3"/>
        <v>0</v>
      </c>
    </row>
    <row r="239" spans="2:9" ht="15.75" hidden="1" customHeight="1" outlineLevel="1" thickBot="1" x14ac:dyDescent="0.3">
      <c r="B239" s="245">
        <f>IF(AND(F236&lt;&gt;"", B234&lt;&gt;""), B234+1, "")</f>
        <v>45847</v>
      </c>
      <c r="C239" s="409"/>
      <c r="D239" s="409"/>
      <c r="E239" s="246" t="s">
        <v>766</v>
      </c>
      <c r="F239" s="202">
        <v>0</v>
      </c>
      <c r="G239" s="203"/>
      <c r="H239" s="203"/>
      <c r="I239" s="263">
        <f t="shared" si="3"/>
        <v>0</v>
      </c>
    </row>
    <row r="240" spans="2:9" ht="15.75" hidden="1" customHeight="1" outlineLevel="1" thickBot="1" x14ac:dyDescent="0.3">
      <c r="B240" s="249">
        <f>IF(AND(F236&lt;&gt;"", B235&lt;&gt;""), B235+1, "")</f>
        <v>45847</v>
      </c>
      <c r="C240" s="416"/>
      <c r="D240" s="416"/>
      <c r="E240" s="250" t="s">
        <v>767</v>
      </c>
      <c r="F240" s="204">
        <v>0</v>
      </c>
      <c r="G240" s="205"/>
      <c r="H240" s="205"/>
      <c r="I240" s="264">
        <f t="shared" si="3"/>
        <v>0</v>
      </c>
    </row>
    <row r="241" spans="2:9" ht="15.75" hidden="1" customHeight="1" outlineLevel="1" thickBot="1" x14ac:dyDescent="0.3">
      <c r="B241" s="241">
        <f>IF(AND(F241&lt;&gt;"", B236&lt;&gt;""), B236+1, "")</f>
        <v>45848</v>
      </c>
      <c r="C241" s="442">
        <v>45848</v>
      </c>
      <c r="D241" s="443">
        <f>D236+1</f>
        <v>45848</v>
      </c>
      <c r="E241" s="246" t="s">
        <v>394</v>
      </c>
      <c r="F241" s="202">
        <v>0</v>
      </c>
      <c r="G241" s="203"/>
      <c r="H241" s="203"/>
      <c r="I241" s="263">
        <f t="shared" si="3"/>
        <v>0</v>
      </c>
    </row>
    <row r="242" spans="2:9" ht="15.75" hidden="1" customHeight="1" outlineLevel="1" thickBot="1" x14ac:dyDescent="0.3">
      <c r="B242" s="245">
        <f>IF(AND(F241&lt;&gt;"", B237&lt;&gt;""), B237+1, "")</f>
        <v>45848</v>
      </c>
      <c r="C242" s="409"/>
      <c r="D242" s="409"/>
      <c r="E242" s="246" t="s">
        <v>764</v>
      </c>
      <c r="F242" s="202">
        <v>0</v>
      </c>
      <c r="G242" s="203"/>
      <c r="H242" s="203"/>
      <c r="I242" s="263">
        <f t="shared" si="3"/>
        <v>0</v>
      </c>
    </row>
    <row r="243" spans="2:9" ht="15.75" hidden="1" customHeight="1" outlineLevel="1" thickBot="1" x14ac:dyDescent="0.3">
      <c r="B243" s="245">
        <f>IF(AND(F241&lt;&gt;"", B238&lt;&gt;""), B238+1, "")</f>
        <v>45848</v>
      </c>
      <c r="C243" s="409"/>
      <c r="D243" s="409"/>
      <c r="E243" s="246" t="s">
        <v>765</v>
      </c>
      <c r="F243" s="202">
        <v>0</v>
      </c>
      <c r="G243" s="203"/>
      <c r="H243" s="203"/>
      <c r="I243" s="263">
        <f t="shared" si="3"/>
        <v>0</v>
      </c>
    </row>
    <row r="244" spans="2:9" ht="15.75" hidden="1" customHeight="1" outlineLevel="1" thickBot="1" x14ac:dyDescent="0.3">
      <c r="B244" s="245">
        <f>IF(AND(F241&lt;&gt;"", B239&lt;&gt;""), B239+1, "")</f>
        <v>45848</v>
      </c>
      <c r="C244" s="409"/>
      <c r="D244" s="409"/>
      <c r="E244" s="246" t="s">
        <v>766</v>
      </c>
      <c r="F244" s="202">
        <v>0</v>
      </c>
      <c r="G244" s="203"/>
      <c r="H244" s="203"/>
      <c r="I244" s="263">
        <f t="shared" si="3"/>
        <v>0</v>
      </c>
    </row>
    <row r="245" spans="2:9" ht="15.75" hidden="1" customHeight="1" outlineLevel="1" thickBot="1" x14ac:dyDescent="0.3">
      <c r="B245" s="249">
        <f>IF(AND(F241&lt;&gt;"", B240&lt;&gt;""), B240+1, "")</f>
        <v>45848</v>
      </c>
      <c r="C245" s="416"/>
      <c r="D245" s="416"/>
      <c r="E245" s="250" t="s">
        <v>767</v>
      </c>
      <c r="F245" s="204">
        <v>0</v>
      </c>
      <c r="G245" s="205"/>
      <c r="H245" s="205"/>
      <c r="I245" s="264">
        <f t="shared" si="3"/>
        <v>0</v>
      </c>
    </row>
    <row r="246" spans="2:9" ht="15.75" hidden="1" customHeight="1" outlineLevel="1" thickBot="1" x14ac:dyDescent="0.3">
      <c r="B246" s="241">
        <f>IF(AND(F246&lt;&gt;"", B241&lt;&gt;""), B241+1, "")</f>
        <v>45849</v>
      </c>
      <c r="C246" s="442">
        <v>45849</v>
      </c>
      <c r="D246" s="443">
        <f>D241+1</f>
        <v>45849</v>
      </c>
      <c r="E246" s="246" t="s">
        <v>394</v>
      </c>
      <c r="F246" s="202">
        <v>0</v>
      </c>
      <c r="G246" s="203"/>
      <c r="H246" s="203"/>
      <c r="I246" s="263">
        <f t="shared" si="3"/>
        <v>0</v>
      </c>
    </row>
    <row r="247" spans="2:9" ht="15.75" hidden="1" customHeight="1" outlineLevel="1" thickBot="1" x14ac:dyDescent="0.3">
      <c r="B247" s="245">
        <f>IF(AND(F246&lt;&gt;"", B242&lt;&gt;""), B242+1, "")</f>
        <v>45849</v>
      </c>
      <c r="C247" s="409"/>
      <c r="D247" s="409"/>
      <c r="E247" s="246" t="s">
        <v>764</v>
      </c>
      <c r="F247" s="202">
        <v>0</v>
      </c>
      <c r="G247" s="203"/>
      <c r="H247" s="203"/>
      <c r="I247" s="263">
        <f t="shared" si="3"/>
        <v>0</v>
      </c>
    </row>
    <row r="248" spans="2:9" ht="15.75" hidden="1" customHeight="1" outlineLevel="1" thickBot="1" x14ac:dyDescent="0.3">
      <c r="B248" s="245">
        <f>IF(AND(F246&lt;&gt;"", B243&lt;&gt;""), B243+1, "")</f>
        <v>45849</v>
      </c>
      <c r="C248" s="409"/>
      <c r="D248" s="409"/>
      <c r="E248" s="246" t="s">
        <v>765</v>
      </c>
      <c r="F248" s="202">
        <v>0</v>
      </c>
      <c r="G248" s="203"/>
      <c r="H248" s="203"/>
      <c r="I248" s="263">
        <f t="shared" si="3"/>
        <v>0</v>
      </c>
    </row>
    <row r="249" spans="2:9" ht="15.75" hidden="1" customHeight="1" outlineLevel="1" thickBot="1" x14ac:dyDescent="0.3">
      <c r="B249" s="245">
        <f>IF(AND(F246&lt;&gt;"", B244&lt;&gt;""), B244+1, "")</f>
        <v>45849</v>
      </c>
      <c r="C249" s="409"/>
      <c r="D249" s="409"/>
      <c r="E249" s="246" t="s">
        <v>766</v>
      </c>
      <c r="F249" s="202">
        <v>0</v>
      </c>
      <c r="G249" s="203"/>
      <c r="H249" s="203"/>
      <c r="I249" s="263">
        <f t="shared" si="3"/>
        <v>0</v>
      </c>
    </row>
    <row r="250" spans="2:9" ht="15.75" hidden="1" customHeight="1" outlineLevel="1" thickBot="1" x14ac:dyDescent="0.3">
      <c r="B250" s="249">
        <f>IF(AND(F246&lt;&gt;"", B245&lt;&gt;""), B245+1, "")</f>
        <v>45849</v>
      </c>
      <c r="C250" s="416"/>
      <c r="D250" s="416"/>
      <c r="E250" s="250" t="s">
        <v>767</v>
      </c>
      <c r="F250" s="204">
        <v>0</v>
      </c>
      <c r="G250" s="205"/>
      <c r="H250" s="205"/>
      <c r="I250" s="264">
        <f t="shared" si="3"/>
        <v>0</v>
      </c>
    </row>
    <row r="251" spans="2:9" ht="15.75" hidden="1" customHeight="1" outlineLevel="1" thickBot="1" x14ac:dyDescent="0.3">
      <c r="B251" s="241">
        <f>IF(AND(F251&lt;&gt;"", B246&lt;&gt;""), B246+1, "")</f>
        <v>45850</v>
      </c>
      <c r="C251" s="442">
        <v>45850</v>
      </c>
      <c r="D251" s="443">
        <f>D246+1</f>
        <v>45850</v>
      </c>
      <c r="E251" s="246" t="s">
        <v>394</v>
      </c>
      <c r="F251" s="202">
        <v>0</v>
      </c>
      <c r="G251" s="203"/>
      <c r="H251" s="203"/>
      <c r="I251" s="263">
        <f t="shared" si="3"/>
        <v>0</v>
      </c>
    </row>
    <row r="252" spans="2:9" ht="15.75" hidden="1" customHeight="1" outlineLevel="1" thickBot="1" x14ac:dyDescent="0.3">
      <c r="B252" s="245">
        <f>IF(AND(F251&lt;&gt;"", B247&lt;&gt;""), B247+1, "")</f>
        <v>45850</v>
      </c>
      <c r="C252" s="409"/>
      <c r="D252" s="409"/>
      <c r="E252" s="246" t="s">
        <v>764</v>
      </c>
      <c r="F252" s="202">
        <v>0</v>
      </c>
      <c r="G252" s="203"/>
      <c r="H252" s="203"/>
      <c r="I252" s="263">
        <f t="shared" si="3"/>
        <v>0</v>
      </c>
    </row>
    <row r="253" spans="2:9" ht="15.75" hidden="1" customHeight="1" outlineLevel="1" thickBot="1" x14ac:dyDescent="0.3">
      <c r="B253" s="245">
        <f>IF(AND(F251&lt;&gt;"", B248&lt;&gt;""), B248+1, "")</f>
        <v>45850</v>
      </c>
      <c r="C253" s="409"/>
      <c r="D253" s="409"/>
      <c r="E253" s="246" t="s">
        <v>765</v>
      </c>
      <c r="F253" s="202">
        <v>0</v>
      </c>
      <c r="G253" s="203"/>
      <c r="H253" s="203"/>
      <c r="I253" s="263">
        <f t="shared" si="3"/>
        <v>0</v>
      </c>
    </row>
    <row r="254" spans="2:9" ht="15.75" hidden="1" customHeight="1" outlineLevel="1" thickBot="1" x14ac:dyDescent="0.3">
      <c r="B254" s="245">
        <f>IF(AND(F251&lt;&gt;"", B249&lt;&gt;""), B249+1, "")</f>
        <v>45850</v>
      </c>
      <c r="C254" s="409"/>
      <c r="D254" s="409"/>
      <c r="E254" s="246" t="s">
        <v>766</v>
      </c>
      <c r="F254" s="202">
        <v>0</v>
      </c>
      <c r="G254" s="203"/>
      <c r="H254" s="203"/>
      <c r="I254" s="263">
        <f t="shared" si="3"/>
        <v>0</v>
      </c>
    </row>
    <row r="255" spans="2:9" ht="15.75" hidden="1" customHeight="1" outlineLevel="1" thickBot="1" x14ac:dyDescent="0.3">
      <c r="B255" s="249">
        <f>IF(AND(F251&lt;&gt;"", B250&lt;&gt;""), B250+1, "")</f>
        <v>45850</v>
      </c>
      <c r="C255" s="416"/>
      <c r="D255" s="416"/>
      <c r="E255" s="250" t="s">
        <v>767</v>
      </c>
      <c r="F255" s="204">
        <v>0</v>
      </c>
      <c r="G255" s="205"/>
      <c r="H255" s="205"/>
      <c r="I255" s="264">
        <f t="shared" si="3"/>
        <v>0</v>
      </c>
    </row>
    <row r="256" spans="2:9" ht="15.75" hidden="1" customHeight="1" outlineLevel="1" thickBot="1" x14ac:dyDescent="0.3">
      <c r="B256" s="241">
        <f>IF(AND(F256&lt;&gt;"", B251&lt;&gt;""), B251+1, "")</f>
        <v>45851</v>
      </c>
      <c r="C256" s="442">
        <v>45851</v>
      </c>
      <c r="D256" s="443">
        <f>D251+1</f>
        <v>45851</v>
      </c>
      <c r="E256" s="246" t="s">
        <v>394</v>
      </c>
      <c r="F256" s="202">
        <v>700</v>
      </c>
      <c r="G256" s="203">
        <v>700</v>
      </c>
      <c r="H256" s="203"/>
      <c r="I256" s="263">
        <f t="shared" si="3"/>
        <v>1400</v>
      </c>
    </row>
    <row r="257" spans="2:9" ht="15.75" hidden="1" customHeight="1" outlineLevel="1" thickBot="1" x14ac:dyDescent="0.3">
      <c r="B257" s="245">
        <f>IF(AND(F256&lt;&gt;"", B252&lt;&gt;""), B252+1, "")</f>
        <v>45851</v>
      </c>
      <c r="C257" s="409"/>
      <c r="D257" s="409"/>
      <c r="E257" s="246" t="s">
        <v>764</v>
      </c>
      <c r="F257" s="202">
        <v>0</v>
      </c>
      <c r="G257" s="203">
        <v>0</v>
      </c>
      <c r="H257" s="203"/>
      <c r="I257" s="263">
        <f t="shared" si="3"/>
        <v>0</v>
      </c>
    </row>
    <row r="258" spans="2:9" ht="15.75" hidden="1" customHeight="1" outlineLevel="1" thickBot="1" x14ac:dyDescent="0.3">
      <c r="B258" s="245">
        <f>IF(AND(F256&lt;&gt;"", B253&lt;&gt;""), B253+1, "")</f>
        <v>45851</v>
      </c>
      <c r="C258" s="409"/>
      <c r="D258" s="409"/>
      <c r="E258" s="246" t="s">
        <v>765</v>
      </c>
      <c r="F258" s="202">
        <v>470</v>
      </c>
      <c r="G258" s="203">
        <v>530</v>
      </c>
      <c r="H258" s="203"/>
      <c r="I258" s="263">
        <f t="shared" si="3"/>
        <v>1000</v>
      </c>
    </row>
    <row r="259" spans="2:9" ht="15.75" hidden="1" customHeight="1" outlineLevel="1" thickBot="1" x14ac:dyDescent="0.3">
      <c r="B259" s="245">
        <f>IF(AND(F256&lt;&gt;"", B254&lt;&gt;""), B254+1, "")</f>
        <v>45851</v>
      </c>
      <c r="C259" s="409"/>
      <c r="D259" s="409"/>
      <c r="E259" s="246" t="s">
        <v>766</v>
      </c>
      <c r="F259" s="202">
        <v>0</v>
      </c>
      <c r="G259" s="203">
        <v>0</v>
      </c>
      <c r="H259" s="203"/>
      <c r="I259" s="263">
        <f t="shared" si="3"/>
        <v>0</v>
      </c>
    </row>
    <row r="260" spans="2:9" ht="15.75" hidden="1" customHeight="1" outlineLevel="1" thickBot="1" x14ac:dyDescent="0.3">
      <c r="B260" s="249">
        <f>IF(AND(F256&lt;&gt;"", B255&lt;&gt;""), B255+1, "")</f>
        <v>45851</v>
      </c>
      <c r="C260" s="416"/>
      <c r="D260" s="416"/>
      <c r="E260" s="250" t="s">
        <v>767</v>
      </c>
      <c r="F260" s="204">
        <v>300</v>
      </c>
      <c r="G260" s="205">
        <v>0</v>
      </c>
      <c r="H260" s="205"/>
      <c r="I260" s="264">
        <f t="shared" si="3"/>
        <v>300</v>
      </c>
    </row>
    <row r="261" spans="2:9" ht="15.75" hidden="1" customHeight="1" outlineLevel="1" thickBot="1" x14ac:dyDescent="0.3">
      <c r="B261" s="241">
        <f>IF(AND(F261&lt;&gt;"", B256&lt;&gt;""), B256+1, "")</f>
        <v>45852</v>
      </c>
      <c r="C261" s="442">
        <v>45852</v>
      </c>
      <c r="D261" s="443">
        <f>D256+1</f>
        <v>45852</v>
      </c>
      <c r="E261" s="246" t="s">
        <v>394</v>
      </c>
      <c r="F261" s="202">
        <v>1400</v>
      </c>
      <c r="G261" s="203">
        <v>630</v>
      </c>
      <c r="H261" s="203">
        <v>180</v>
      </c>
      <c r="I261" s="263">
        <f t="shared" si="3"/>
        <v>1850</v>
      </c>
    </row>
    <row r="262" spans="2:9" ht="15.75" hidden="1" customHeight="1" outlineLevel="1" thickBot="1" x14ac:dyDescent="0.3">
      <c r="B262" s="245">
        <f>IF(AND(F261&lt;&gt;"", B257&lt;&gt;""), B257+1, "")</f>
        <v>45852</v>
      </c>
      <c r="C262" s="409"/>
      <c r="D262" s="409"/>
      <c r="E262" s="246" t="s">
        <v>764</v>
      </c>
      <c r="F262" s="202">
        <v>0</v>
      </c>
      <c r="G262" s="203"/>
      <c r="H262" s="203"/>
      <c r="I262" s="263">
        <f t="shared" si="3"/>
        <v>0</v>
      </c>
    </row>
    <row r="263" spans="2:9" ht="15.75" hidden="1" customHeight="1" outlineLevel="1" thickBot="1" x14ac:dyDescent="0.3">
      <c r="B263" s="245">
        <f>IF(AND(F261&lt;&gt;"", B258&lt;&gt;""), B258+1, "")</f>
        <v>45852</v>
      </c>
      <c r="C263" s="409"/>
      <c r="D263" s="409"/>
      <c r="E263" s="246" t="s">
        <v>765</v>
      </c>
      <c r="F263" s="202">
        <v>1000</v>
      </c>
      <c r="G263" s="203">
        <v>520</v>
      </c>
      <c r="H263" s="203">
        <v>320</v>
      </c>
      <c r="I263" s="263">
        <f t="shared" si="3"/>
        <v>1200</v>
      </c>
    </row>
    <row r="264" spans="2:9" ht="15.75" hidden="1" customHeight="1" outlineLevel="1" thickBot="1" x14ac:dyDescent="0.3">
      <c r="B264" s="245">
        <f>IF(AND(F261&lt;&gt;"", B259&lt;&gt;""), B259+1, "")</f>
        <v>45852</v>
      </c>
      <c r="C264" s="409"/>
      <c r="D264" s="409"/>
      <c r="E264" s="246" t="s">
        <v>766</v>
      </c>
      <c r="F264" s="202">
        <v>0</v>
      </c>
      <c r="G264" s="203"/>
      <c r="H264" s="203"/>
      <c r="I264" s="263">
        <f t="shared" si="3"/>
        <v>0</v>
      </c>
    </row>
    <row r="265" spans="2:9" ht="15.75" hidden="1" customHeight="1" outlineLevel="1" thickBot="1" x14ac:dyDescent="0.3">
      <c r="B265" s="249">
        <f>IF(AND(F261&lt;&gt;"", B260&lt;&gt;""), B260+1, "")</f>
        <v>45852</v>
      </c>
      <c r="C265" s="416"/>
      <c r="D265" s="416"/>
      <c r="E265" s="250" t="s">
        <v>767</v>
      </c>
      <c r="F265" s="204">
        <v>300</v>
      </c>
      <c r="G265" s="205"/>
      <c r="H265" s="205"/>
      <c r="I265" s="264">
        <f t="shared" si="3"/>
        <v>300</v>
      </c>
    </row>
    <row r="266" spans="2:9" ht="15.75" hidden="1" customHeight="1" outlineLevel="1" thickBot="1" x14ac:dyDescent="0.3">
      <c r="B266" s="241">
        <f>IF(AND(F266&lt;&gt;"", B261&lt;&gt;""), B261+1, "")</f>
        <v>45853</v>
      </c>
      <c r="C266" s="442">
        <v>45853</v>
      </c>
      <c r="D266" s="443">
        <f>D261+1</f>
        <v>45853</v>
      </c>
      <c r="E266" s="246" t="s">
        <v>394</v>
      </c>
      <c r="F266" s="202">
        <v>1850</v>
      </c>
      <c r="G266" s="203"/>
      <c r="H266" s="203"/>
      <c r="I266" s="263">
        <f t="shared" si="3"/>
        <v>1850</v>
      </c>
    </row>
    <row r="267" spans="2:9" ht="15.75" hidden="1" customHeight="1" outlineLevel="1" thickBot="1" x14ac:dyDescent="0.3">
      <c r="B267" s="245">
        <f>IF(AND(F266&lt;&gt;"", B262&lt;&gt;""), B262+1, "")</f>
        <v>45853</v>
      </c>
      <c r="C267" s="409"/>
      <c r="D267" s="409"/>
      <c r="E267" s="246" t="s">
        <v>764</v>
      </c>
      <c r="F267" s="202">
        <v>0</v>
      </c>
      <c r="G267" s="203">
        <v>140</v>
      </c>
      <c r="H267" s="203"/>
      <c r="I267" s="263">
        <f t="shared" si="3"/>
        <v>140</v>
      </c>
    </row>
    <row r="268" spans="2:9" ht="15.75" hidden="1" customHeight="1" outlineLevel="1" thickBot="1" x14ac:dyDescent="0.3">
      <c r="B268" s="245">
        <f>IF(AND(F266&lt;&gt;"", B263&lt;&gt;""), B263+1, "")</f>
        <v>45853</v>
      </c>
      <c r="C268" s="409"/>
      <c r="D268" s="409"/>
      <c r="E268" s="246" t="s">
        <v>765</v>
      </c>
      <c r="F268" s="202">
        <v>1200</v>
      </c>
      <c r="G268" s="203">
        <v>460</v>
      </c>
      <c r="H268" s="203"/>
      <c r="I268" s="263">
        <f t="shared" si="3"/>
        <v>1660</v>
      </c>
    </row>
    <row r="269" spans="2:9" ht="15.75" hidden="1" customHeight="1" outlineLevel="1" thickBot="1" x14ac:dyDescent="0.3">
      <c r="B269" s="245">
        <f>IF(AND(F266&lt;&gt;"", B264&lt;&gt;""), B264+1, "")</f>
        <v>45853</v>
      </c>
      <c r="C269" s="409"/>
      <c r="D269" s="409"/>
      <c r="E269" s="246" t="s">
        <v>766</v>
      </c>
      <c r="F269" s="202">
        <v>0</v>
      </c>
      <c r="G269" s="203"/>
      <c r="H269" s="203"/>
      <c r="I269" s="263">
        <f t="shared" si="3"/>
        <v>0</v>
      </c>
    </row>
    <row r="270" spans="2:9" ht="15.75" hidden="1" customHeight="1" outlineLevel="1" thickBot="1" x14ac:dyDescent="0.3">
      <c r="B270" s="249">
        <f>IF(AND(F266&lt;&gt;"", B265&lt;&gt;""), B265+1, "")</f>
        <v>45853</v>
      </c>
      <c r="C270" s="416"/>
      <c r="D270" s="416"/>
      <c r="E270" s="250" t="s">
        <v>767</v>
      </c>
      <c r="F270" s="204">
        <v>300</v>
      </c>
      <c r="G270" s="205"/>
      <c r="H270" s="205"/>
      <c r="I270" s="264">
        <f t="shared" si="3"/>
        <v>300</v>
      </c>
    </row>
    <row r="271" spans="2:9" ht="15.75" hidden="1" customHeight="1" outlineLevel="1" thickBot="1" x14ac:dyDescent="0.3">
      <c r="B271" s="241">
        <f>IF(AND(F271&lt;&gt;"", B266&lt;&gt;""), B266+1, "")</f>
        <v>45854</v>
      </c>
      <c r="C271" s="442">
        <v>45854</v>
      </c>
      <c r="D271" s="443">
        <f>D266+1</f>
        <v>45854</v>
      </c>
      <c r="E271" s="246" t="s">
        <v>394</v>
      </c>
      <c r="F271" s="202">
        <v>1850</v>
      </c>
      <c r="G271" s="203"/>
      <c r="H271" s="203"/>
      <c r="I271" s="263">
        <f t="shared" si="3"/>
        <v>1850</v>
      </c>
    </row>
    <row r="272" spans="2:9" ht="15.75" hidden="1" customHeight="1" outlineLevel="1" thickBot="1" x14ac:dyDescent="0.3">
      <c r="B272" s="245">
        <f>IF(AND(F271&lt;&gt;"", B267&lt;&gt;""), B267+1, "")</f>
        <v>45854</v>
      </c>
      <c r="C272" s="409"/>
      <c r="D272" s="409"/>
      <c r="E272" s="246" t="s">
        <v>764</v>
      </c>
      <c r="F272" s="202">
        <v>140</v>
      </c>
      <c r="G272" s="203">
        <v>700</v>
      </c>
      <c r="H272" s="203"/>
      <c r="I272" s="263">
        <f t="shared" si="3"/>
        <v>840</v>
      </c>
    </row>
    <row r="273" spans="2:9" ht="15.75" hidden="1" customHeight="1" outlineLevel="1" thickBot="1" x14ac:dyDescent="0.3">
      <c r="B273" s="245">
        <f>IF(AND(F271&lt;&gt;"", B268&lt;&gt;""), B268+1, "")</f>
        <v>45854</v>
      </c>
      <c r="C273" s="409"/>
      <c r="D273" s="409"/>
      <c r="E273" s="246" t="s">
        <v>765</v>
      </c>
      <c r="F273" s="202">
        <v>1660</v>
      </c>
      <c r="G273" s="203">
        <v>470</v>
      </c>
      <c r="H273" s="203">
        <v>1146</v>
      </c>
      <c r="I273" s="263">
        <f t="shared" ref="I273:I315" si="4">F273+G273-H273</f>
        <v>984</v>
      </c>
    </row>
    <row r="274" spans="2:9" ht="15.75" hidden="1" customHeight="1" outlineLevel="1" thickBot="1" x14ac:dyDescent="0.3">
      <c r="B274" s="245">
        <f>IF(AND(F271&lt;&gt;"", B269&lt;&gt;""), B269+1, "")</f>
        <v>45854</v>
      </c>
      <c r="C274" s="409"/>
      <c r="D274" s="409"/>
      <c r="E274" s="246" t="s">
        <v>766</v>
      </c>
      <c r="F274" s="202">
        <v>0</v>
      </c>
      <c r="G274" s="203"/>
      <c r="H274" s="203"/>
      <c r="I274" s="263">
        <f t="shared" si="4"/>
        <v>0</v>
      </c>
    </row>
    <row r="275" spans="2:9" ht="15.75" hidden="1" customHeight="1" outlineLevel="1" thickBot="1" x14ac:dyDescent="0.3">
      <c r="B275" s="249">
        <f>IF(AND(F271&lt;&gt;"", B270&lt;&gt;""), B270+1, "")</f>
        <v>45854</v>
      </c>
      <c r="C275" s="416"/>
      <c r="D275" s="416"/>
      <c r="E275" s="250" t="s">
        <v>767</v>
      </c>
      <c r="F275" s="204">
        <v>300</v>
      </c>
      <c r="G275" s="205"/>
      <c r="H275" s="205"/>
      <c r="I275" s="264">
        <f t="shared" si="4"/>
        <v>300</v>
      </c>
    </row>
    <row r="276" spans="2:9" ht="15.75" hidden="1" customHeight="1" outlineLevel="1" thickBot="1" x14ac:dyDescent="0.3">
      <c r="B276" s="241">
        <f>IF(AND(F276&lt;&gt;"", B271&lt;&gt;""), B271+1, "")</f>
        <v>45855</v>
      </c>
      <c r="C276" s="442">
        <v>45855</v>
      </c>
      <c r="D276" s="443">
        <f>D271+1</f>
        <v>45855</v>
      </c>
      <c r="E276" s="246" t="s">
        <v>394</v>
      </c>
      <c r="F276" s="202">
        <v>1850</v>
      </c>
      <c r="G276" s="203"/>
      <c r="H276" s="203"/>
      <c r="I276" s="263">
        <f t="shared" si="4"/>
        <v>1850</v>
      </c>
    </row>
    <row r="277" spans="2:9" ht="15.75" hidden="1" customHeight="1" outlineLevel="1" thickBot="1" x14ac:dyDescent="0.3">
      <c r="B277" s="245">
        <f>IF(AND(F276&lt;&gt;"", B272&lt;&gt;""), B272+1, "")</f>
        <v>45855</v>
      </c>
      <c r="C277" s="409"/>
      <c r="D277" s="409"/>
      <c r="E277" s="246" t="s">
        <v>764</v>
      </c>
      <c r="F277" s="202">
        <v>840</v>
      </c>
      <c r="G277" s="203">
        <v>700</v>
      </c>
      <c r="H277" s="203"/>
      <c r="I277" s="263">
        <f t="shared" si="4"/>
        <v>1540</v>
      </c>
    </row>
    <row r="278" spans="2:9" ht="15.75" hidden="1" customHeight="1" outlineLevel="1" thickBot="1" x14ac:dyDescent="0.3">
      <c r="B278" s="245">
        <f>IF(AND(F276&lt;&gt;"", B273&lt;&gt;""), B273+1, "")</f>
        <v>45855</v>
      </c>
      <c r="C278" s="409"/>
      <c r="D278" s="409"/>
      <c r="E278" s="246" t="s">
        <v>765</v>
      </c>
      <c r="F278" s="202">
        <v>984</v>
      </c>
      <c r="G278" s="203">
        <v>450</v>
      </c>
      <c r="H278" s="203">
        <v>550</v>
      </c>
      <c r="I278" s="263">
        <f t="shared" si="4"/>
        <v>884</v>
      </c>
    </row>
    <row r="279" spans="2:9" ht="15.75" hidden="1" customHeight="1" outlineLevel="1" thickBot="1" x14ac:dyDescent="0.3">
      <c r="B279" s="245">
        <f>IF(AND(F276&lt;&gt;"", B274&lt;&gt;""), B274+1, "")</f>
        <v>45855</v>
      </c>
      <c r="C279" s="409"/>
      <c r="D279" s="409"/>
      <c r="E279" s="246" t="s">
        <v>766</v>
      </c>
      <c r="F279" s="202">
        <v>0</v>
      </c>
      <c r="G279" s="203"/>
      <c r="H279" s="203"/>
      <c r="I279" s="263">
        <f t="shared" si="4"/>
        <v>0</v>
      </c>
    </row>
    <row r="280" spans="2:9" ht="15.75" hidden="1" customHeight="1" outlineLevel="1" thickBot="1" x14ac:dyDescent="0.3">
      <c r="B280" s="249">
        <f>IF(AND(F276&lt;&gt;"", B275&lt;&gt;""), B275+1, "")</f>
        <v>45855</v>
      </c>
      <c r="C280" s="416"/>
      <c r="D280" s="416"/>
      <c r="E280" s="250" t="s">
        <v>767</v>
      </c>
      <c r="F280" s="204">
        <v>300</v>
      </c>
      <c r="G280" s="205"/>
      <c r="H280" s="205"/>
      <c r="I280" s="264">
        <f t="shared" si="4"/>
        <v>300</v>
      </c>
    </row>
    <row r="281" spans="2:9" ht="15.75" hidden="1" customHeight="1" outlineLevel="1" thickBot="1" x14ac:dyDescent="0.3">
      <c r="B281" s="241">
        <f>IF(AND(F281&lt;&gt;"", B276&lt;&gt;""), B276+1, "")</f>
        <v>45856</v>
      </c>
      <c r="C281" s="442">
        <v>45856</v>
      </c>
      <c r="D281" s="443">
        <f>D276+1</f>
        <v>45856</v>
      </c>
      <c r="E281" s="246" t="s">
        <v>394</v>
      </c>
      <c r="F281" s="202">
        <v>0</v>
      </c>
      <c r="G281" s="203"/>
      <c r="H281" s="203"/>
      <c r="I281" s="263">
        <f t="shared" si="4"/>
        <v>0</v>
      </c>
    </row>
    <row r="282" spans="2:9" ht="15.75" hidden="1" customHeight="1" outlineLevel="1" thickBot="1" x14ac:dyDescent="0.3">
      <c r="B282" s="245">
        <f>IF(AND(F281&lt;&gt;"", B277&lt;&gt;""), B277+1, "")</f>
        <v>45856</v>
      </c>
      <c r="C282" s="409"/>
      <c r="D282" s="409"/>
      <c r="E282" s="246" t="s">
        <v>764</v>
      </c>
      <c r="F282" s="202">
        <v>0</v>
      </c>
      <c r="G282" s="203"/>
      <c r="H282" s="203"/>
      <c r="I282" s="263">
        <f t="shared" si="4"/>
        <v>0</v>
      </c>
    </row>
    <row r="283" spans="2:9" ht="15.75" hidden="1" customHeight="1" outlineLevel="1" thickBot="1" x14ac:dyDescent="0.3">
      <c r="B283" s="245">
        <f>IF(AND(F281&lt;&gt;"", B278&lt;&gt;""), B278+1, "")</f>
        <v>45856</v>
      </c>
      <c r="C283" s="409"/>
      <c r="D283" s="409"/>
      <c r="E283" s="246" t="s">
        <v>765</v>
      </c>
      <c r="F283" s="202">
        <v>0</v>
      </c>
      <c r="G283" s="203"/>
      <c r="H283" s="203"/>
      <c r="I283" s="263">
        <f t="shared" si="4"/>
        <v>0</v>
      </c>
    </row>
    <row r="284" spans="2:9" ht="15.75" hidden="1" customHeight="1" outlineLevel="1" thickBot="1" x14ac:dyDescent="0.3">
      <c r="B284" s="245">
        <f>IF(AND(F281&lt;&gt;"", B279&lt;&gt;""), B279+1, "")</f>
        <v>45856</v>
      </c>
      <c r="C284" s="409"/>
      <c r="D284" s="409"/>
      <c r="E284" s="246" t="s">
        <v>766</v>
      </c>
      <c r="F284" s="202">
        <v>0</v>
      </c>
      <c r="G284" s="203"/>
      <c r="H284" s="203"/>
      <c r="I284" s="263">
        <f t="shared" si="4"/>
        <v>0</v>
      </c>
    </row>
    <row r="285" spans="2:9" ht="15.75" hidden="1" customHeight="1" outlineLevel="1" thickBot="1" x14ac:dyDescent="0.3">
      <c r="B285" s="249">
        <f>IF(AND(F281&lt;&gt;"", B280&lt;&gt;""), B280+1, "")</f>
        <v>45856</v>
      </c>
      <c r="C285" s="416"/>
      <c r="D285" s="416"/>
      <c r="E285" s="250" t="s">
        <v>767</v>
      </c>
      <c r="F285" s="204">
        <v>0</v>
      </c>
      <c r="G285" s="205"/>
      <c r="H285" s="205"/>
      <c r="I285" s="264">
        <f t="shared" si="4"/>
        <v>0</v>
      </c>
    </row>
    <row r="286" spans="2:9" ht="15.75" hidden="1" customHeight="1" outlineLevel="1" thickBot="1" x14ac:dyDescent="0.3">
      <c r="B286" s="241">
        <f>IF(AND(F286&lt;&gt;"", B281&lt;&gt;""), B281+1, "")</f>
        <v>45857</v>
      </c>
      <c r="C286" s="442">
        <v>45857</v>
      </c>
      <c r="D286" s="443">
        <f>D281+1</f>
        <v>45857</v>
      </c>
      <c r="E286" s="246" t="s">
        <v>394</v>
      </c>
      <c r="F286" s="202">
        <v>1850</v>
      </c>
      <c r="G286" s="203">
        <v>0</v>
      </c>
      <c r="H286" s="203"/>
      <c r="I286" s="263">
        <f t="shared" si="4"/>
        <v>1850</v>
      </c>
    </row>
    <row r="287" spans="2:9" ht="15.75" hidden="1" customHeight="1" outlineLevel="1" thickBot="1" x14ac:dyDescent="0.3">
      <c r="B287" s="245">
        <f>IF(AND(F286&lt;&gt;"", B282&lt;&gt;""), B282+1, "")</f>
        <v>45857</v>
      </c>
      <c r="C287" s="409"/>
      <c r="D287" s="409"/>
      <c r="E287" s="246" t="s">
        <v>764</v>
      </c>
      <c r="F287" s="202">
        <v>1540</v>
      </c>
      <c r="G287" s="203">
        <v>700</v>
      </c>
      <c r="H287" s="203"/>
      <c r="I287" s="263">
        <f t="shared" si="4"/>
        <v>2240</v>
      </c>
    </row>
    <row r="288" spans="2:9" ht="15.75" hidden="1" customHeight="1" outlineLevel="1" thickBot="1" x14ac:dyDescent="0.3">
      <c r="B288" s="245">
        <f>IF(AND(F286&lt;&gt;"", B283&lt;&gt;""), B283+1, "")</f>
        <v>45857</v>
      </c>
      <c r="C288" s="409"/>
      <c r="D288" s="409"/>
      <c r="E288" s="246" t="s">
        <v>765</v>
      </c>
      <c r="F288" s="202">
        <v>884</v>
      </c>
      <c r="G288" s="203">
        <v>470</v>
      </c>
      <c r="H288" s="203">
        <v>270</v>
      </c>
      <c r="I288" s="263">
        <f t="shared" si="4"/>
        <v>1084</v>
      </c>
    </row>
    <row r="289" spans="2:9" ht="15.75" hidden="1" customHeight="1" outlineLevel="1" thickBot="1" x14ac:dyDescent="0.3">
      <c r="B289" s="245">
        <f>IF(AND(F286&lt;&gt;"", B284&lt;&gt;""), B284+1, "")</f>
        <v>45857</v>
      </c>
      <c r="C289" s="409"/>
      <c r="D289" s="409"/>
      <c r="E289" s="246" t="s">
        <v>766</v>
      </c>
      <c r="F289" s="202">
        <v>0</v>
      </c>
      <c r="G289" s="203">
        <v>0</v>
      </c>
      <c r="H289" s="203"/>
      <c r="I289" s="263">
        <f t="shared" si="4"/>
        <v>0</v>
      </c>
    </row>
    <row r="290" spans="2:9" ht="15.75" hidden="1" customHeight="1" outlineLevel="1" thickBot="1" x14ac:dyDescent="0.3">
      <c r="B290" s="249">
        <f>IF(AND(F286&lt;&gt;"", B285&lt;&gt;""), B285+1, "")</f>
        <v>45857</v>
      </c>
      <c r="C290" s="416"/>
      <c r="D290" s="416"/>
      <c r="E290" s="250" t="s">
        <v>767</v>
      </c>
      <c r="F290" s="204">
        <v>300</v>
      </c>
      <c r="G290" s="205"/>
      <c r="H290" s="205"/>
      <c r="I290" s="264">
        <f t="shared" si="4"/>
        <v>300</v>
      </c>
    </row>
    <row r="291" spans="2:9" ht="15.75" hidden="1" customHeight="1" outlineLevel="1" thickBot="1" x14ac:dyDescent="0.3">
      <c r="B291" s="241">
        <f>IF(AND(F291&lt;&gt;"", B286&lt;&gt;""), B286+1, "")</f>
        <v>45858</v>
      </c>
      <c r="C291" s="442">
        <v>45858</v>
      </c>
      <c r="D291" s="443">
        <f>D286+1</f>
        <v>45858</v>
      </c>
      <c r="E291" s="246" t="s">
        <v>394</v>
      </c>
      <c r="F291" s="202">
        <v>1850</v>
      </c>
      <c r="G291" s="203"/>
      <c r="H291" s="203">
        <v>1200</v>
      </c>
      <c r="I291" s="263">
        <f t="shared" si="4"/>
        <v>650</v>
      </c>
    </row>
    <row r="292" spans="2:9" ht="15.75" hidden="1" customHeight="1" outlineLevel="1" thickBot="1" x14ac:dyDescent="0.3">
      <c r="B292" s="245">
        <f>IF(AND(F291&lt;&gt;"", B287&lt;&gt;""), B287+1, "")</f>
        <v>45858</v>
      </c>
      <c r="C292" s="409"/>
      <c r="D292" s="409"/>
      <c r="E292" s="246" t="s">
        <v>764</v>
      </c>
      <c r="F292" s="202">
        <v>2240</v>
      </c>
      <c r="G292" s="203">
        <v>350</v>
      </c>
      <c r="H292" s="203"/>
      <c r="I292" s="263">
        <f t="shared" si="4"/>
        <v>2590</v>
      </c>
    </row>
    <row r="293" spans="2:9" ht="15.75" hidden="1" customHeight="1" outlineLevel="1" thickBot="1" x14ac:dyDescent="0.3">
      <c r="B293" s="245">
        <f>IF(AND(F291&lt;&gt;"", B288&lt;&gt;""), B288+1, "")</f>
        <v>45858</v>
      </c>
      <c r="C293" s="409"/>
      <c r="D293" s="409"/>
      <c r="E293" s="246" t="s">
        <v>765</v>
      </c>
      <c r="F293" s="202">
        <v>1084</v>
      </c>
      <c r="G293" s="203">
        <v>470</v>
      </c>
      <c r="H293" s="203">
        <v>212</v>
      </c>
      <c r="I293" s="263">
        <f t="shared" si="4"/>
        <v>1342</v>
      </c>
    </row>
    <row r="294" spans="2:9" ht="15.75" hidden="1" customHeight="1" outlineLevel="1" thickBot="1" x14ac:dyDescent="0.3">
      <c r="B294" s="245">
        <f>IF(AND(F291&lt;&gt;"", B289&lt;&gt;""), B289+1, "")</f>
        <v>45858</v>
      </c>
      <c r="C294" s="409"/>
      <c r="D294" s="409"/>
      <c r="E294" s="246" t="s">
        <v>766</v>
      </c>
      <c r="F294" s="202">
        <v>0</v>
      </c>
      <c r="G294" s="203"/>
      <c r="H294" s="203"/>
      <c r="I294" s="263">
        <f t="shared" si="4"/>
        <v>0</v>
      </c>
    </row>
    <row r="295" spans="2:9" ht="15.75" hidden="1" customHeight="1" outlineLevel="1" thickBot="1" x14ac:dyDescent="0.3">
      <c r="B295" s="249">
        <f>IF(AND(F291&lt;&gt;"", B290&lt;&gt;""), B290+1, "")</f>
        <v>45858</v>
      </c>
      <c r="C295" s="416"/>
      <c r="D295" s="416"/>
      <c r="E295" s="250" t="s">
        <v>767</v>
      </c>
      <c r="F295" s="204">
        <v>300</v>
      </c>
      <c r="G295" s="205"/>
      <c r="H295" s="205"/>
      <c r="I295" s="264">
        <f t="shared" si="4"/>
        <v>300</v>
      </c>
    </row>
    <row r="296" spans="2:9" ht="15.75" hidden="1" customHeight="1" outlineLevel="1" thickBot="1" x14ac:dyDescent="0.3">
      <c r="B296" s="241">
        <f>IF(AND(F296&lt;&gt;"", B291&lt;&gt;""), B291+1, "")</f>
        <v>45859</v>
      </c>
      <c r="C296" s="442">
        <v>45859</v>
      </c>
      <c r="D296" s="443">
        <f>D291+1</f>
        <v>45859</v>
      </c>
      <c r="E296" s="246" t="s">
        <v>394</v>
      </c>
      <c r="F296" s="202">
        <v>650</v>
      </c>
      <c r="G296" s="203"/>
      <c r="H296" s="203"/>
      <c r="I296" s="263">
        <f t="shared" si="4"/>
        <v>650</v>
      </c>
    </row>
    <row r="297" spans="2:9" ht="15.75" hidden="1" customHeight="1" outlineLevel="1" thickBot="1" x14ac:dyDescent="0.3">
      <c r="B297" s="245">
        <f>IF(AND(F296&lt;&gt;"", B292&lt;&gt;""), B292+1, "")</f>
        <v>45859</v>
      </c>
      <c r="C297" s="409"/>
      <c r="D297" s="409"/>
      <c r="E297" s="246" t="s">
        <v>764</v>
      </c>
      <c r="F297" s="202">
        <v>2590</v>
      </c>
      <c r="G297" s="203">
        <v>350</v>
      </c>
      <c r="H297" s="203"/>
      <c r="I297" s="263">
        <f t="shared" si="4"/>
        <v>2940</v>
      </c>
    </row>
    <row r="298" spans="2:9" ht="15.75" hidden="1" customHeight="1" outlineLevel="1" thickBot="1" x14ac:dyDescent="0.3">
      <c r="B298" s="245">
        <f>IF(AND(F296&lt;&gt;"", B293&lt;&gt;""), B293+1, "")</f>
        <v>45859</v>
      </c>
      <c r="C298" s="409"/>
      <c r="D298" s="409"/>
      <c r="E298" s="246" t="s">
        <v>765</v>
      </c>
      <c r="F298" s="202">
        <v>1342</v>
      </c>
      <c r="G298" s="203">
        <v>470</v>
      </c>
      <c r="H298" s="203">
        <v>683</v>
      </c>
      <c r="I298" s="263">
        <f t="shared" si="4"/>
        <v>1129</v>
      </c>
    </row>
    <row r="299" spans="2:9" ht="15.75" hidden="1" customHeight="1" outlineLevel="1" thickBot="1" x14ac:dyDescent="0.3">
      <c r="B299" s="245">
        <f>IF(AND(F296&lt;&gt;"", B294&lt;&gt;""), B294+1, "")</f>
        <v>45859</v>
      </c>
      <c r="C299" s="409"/>
      <c r="D299" s="409"/>
      <c r="E299" s="246" t="s">
        <v>766</v>
      </c>
      <c r="F299" s="202">
        <v>0</v>
      </c>
      <c r="G299" s="203"/>
      <c r="H299" s="203"/>
      <c r="I299" s="263">
        <f t="shared" si="4"/>
        <v>0</v>
      </c>
    </row>
    <row r="300" spans="2:9" ht="15.75" hidden="1" customHeight="1" outlineLevel="1" thickBot="1" x14ac:dyDescent="0.3">
      <c r="B300" s="249">
        <f>IF(AND(F296&lt;&gt;"", B295&lt;&gt;""), B295+1, "")</f>
        <v>45859</v>
      </c>
      <c r="C300" s="416"/>
      <c r="D300" s="416"/>
      <c r="E300" s="250" t="s">
        <v>767</v>
      </c>
      <c r="F300" s="204">
        <v>300</v>
      </c>
      <c r="G300" s="205"/>
      <c r="H300" s="205"/>
      <c r="I300" s="264">
        <f t="shared" si="4"/>
        <v>300</v>
      </c>
    </row>
    <row r="301" spans="2:9" ht="15.75" hidden="1" customHeight="1" outlineLevel="1" thickBot="1" x14ac:dyDescent="0.3">
      <c r="B301" s="241">
        <f>IF(AND(F301&lt;&gt;"", B296&lt;&gt;""), B296+1, "")</f>
        <v>45860</v>
      </c>
      <c r="C301" s="442">
        <v>45860</v>
      </c>
      <c r="D301" s="443">
        <f>D296+1</f>
        <v>45860</v>
      </c>
      <c r="E301" s="246" t="s">
        <v>394</v>
      </c>
      <c r="F301" s="202">
        <v>650</v>
      </c>
      <c r="G301" s="203"/>
      <c r="H301" s="203"/>
      <c r="I301" s="263">
        <f t="shared" si="4"/>
        <v>650</v>
      </c>
    </row>
    <row r="302" spans="2:9" ht="15.75" hidden="1" customHeight="1" outlineLevel="1" thickBot="1" x14ac:dyDescent="0.3">
      <c r="B302" s="245">
        <f>IF(AND(F301&lt;&gt;"", B297&lt;&gt;""), B297+1, "")</f>
        <v>45860</v>
      </c>
      <c r="C302" s="409"/>
      <c r="D302" s="409"/>
      <c r="E302" s="246" t="s">
        <v>764</v>
      </c>
      <c r="F302" s="202">
        <v>2940</v>
      </c>
      <c r="G302" s="203">
        <v>400</v>
      </c>
      <c r="H302" s="203"/>
      <c r="I302" s="263">
        <f t="shared" si="4"/>
        <v>3340</v>
      </c>
    </row>
    <row r="303" spans="2:9" ht="15.75" hidden="1" customHeight="1" outlineLevel="1" thickBot="1" x14ac:dyDescent="0.3">
      <c r="B303" s="245">
        <f>IF(AND(F301&lt;&gt;"", B298&lt;&gt;""), B298+1, "")</f>
        <v>45860</v>
      </c>
      <c r="C303" s="409"/>
      <c r="D303" s="409"/>
      <c r="E303" s="246" t="s">
        <v>765</v>
      </c>
      <c r="F303" s="202">
        <v>1129</v>
      </c>
      <c r="G303" s="203">
        <v>461</v>
      </c>
      <c r="H303" s="203">
        <v>600</v>
      </c>
      <c r="I303" s="263">
        <f t="shared" si="4"/>
        <v>990</v>
      </c>
    </row>
    <row r="304" spans="2:9" ht="15.75" hidden="1" customHeight="1" outlineLevel="1" thickBot="1" x14ac:dyDescent="0.3">
      <c r="B304" s="245">
        <f>IF(AND(F301&lt;&gt;"", B299&lt;&gt;""), B299+1, "")</f>
        <v>45860</v>
      </c>
      <c r="C304" s="409"/>
      <c r="D304" s="409"/>
      <c r="E304" s="246" t="s">
        <v>766</v>
      </c>
      <c r="F304" s="202">
        <v>0</v>
      </c>
      <c r="G304" s="203"/>
      <c r="H304" s="203"/>
      <c r="I304" s="263">
        <f t="shared" si="4"/>
        <v>0</v>
      </c>
    </row>
    <row r="305" spans="2:9" ht="15.75" hidden="1" customHeight="1" outlineLevel="1" thickBot="1" x14ac:dyDescent="0.3">
      <c r="B305" s="249">
        <f>IF(AND(F301&lt;&gt;"", B300&lt;&gt;""), B300+1, "")</f>
        <v>45860</v>
      </c>
      <c r="C305" s="416"/>
      <c r="D305" s="416"/>
      <c r="E305" s="250" t="s">
        <v>767</v>
      </c>
      <c r="F305" s="204">
        <v>300</v>
      </c>
      <c r="G305" s="205"/>
      <c r="H305" s="205"/>
      <c r="I305" s="264">
        <f t="shared" si="4"/>
        <v>300</v>
      </c>
    </row>
    <row r="306" spans="2:9" ht="15.75" hidden="1" customHeight="1" outlineLevel="1" thickBot="1" x14ac:dyDescent="0.3">
      <c r="B306" s="241">
        <f>IF(AND(F306&lt;&gt;"", B301&lt;&gt;""), B301+1, "")</f>
        <v>45861</v>
      </c>
      <c r="C306" s="442">
        <v>45861</v>
      </c>
      <c r="D306" s="443">
        <f>D301+1</f>
        <v>45861</v>
      </c>
      <c r="E306" s="246" t="s">
        <v>394</v>
      </c>
      <c r="F306" s="202">
        <v>650</v>
      </c>
      <c r="G306" s="203"/>
      <c r="H306" s="203"/>
      <c r="I306" s="263">
        <f t="shared" si="4"/>
        <v>650</v>
      </c>
    </row>
    <row r="307" spans="2:9" ht="15.75" hidden="1" customHeight="1" outlineLevel="1" thickBot="1" x14ac:dyDescent="0.3">
      <c r="B307" s="245">
        <f>IF(AND(F306&lt;&gt;"", B302&lt;&gt;""), B302+1, "")</f>
        <v>45861</v>
      </c>
      <c r="C307" s="409"/>
      <c r="D307" s="409"/>
      <c r="E307" s="246" t="s">
        <v>764</v>
      </c>
      <c r="F307" s="202">
        <v>3340</v>
      </c>
      <c r="G307" s="203">
        <v>350</v>
      </c>
      <c r="H307" s="203">
        <v>850</v>
      </c>
      <c r="I307" s="263">
        <f t="shared" si="4"/>
        <v>2840</v>
      </c>
    </row>
    <row r="308" spans="2:9" ht="15.75" hidden="1" customHeight="1" outlineLevel="1" thickBot="1" x14ac:dyDescent="0.3">
      <c r="B308" s="245">
        <f>IF(AND(F306&lt;&gt;"", B303&lt;&gt;""), B303+1, "")</f>
        <v>45861</v>
      </c>
      <c r="C308" s="409"/>
      <c r="D308" s="409"/>
      <c r="E308" s="246" t="s">
        <v>765</v>
      </c>
      <c r="F308" s="202">
        <v>990</v>
      </c>
      <c r="G308" s="203">
        <v>455</v>
      </c>
      <c r="H308" s="203">
        <v>10</v>
      </c>
      <c r="I308" s="263">
        <f t="shared" si="4"/>
        <v>1435</v>
      </c>
    </row>
    <row r="309" spans="2:9" ht="15.75" hidden="1" customHeight="1" outlineLevel="1" thickBot="1" x14ac:dyDescent="0.3">
      <c r="B309" s="245">
        <f>IF(AND(F306&lt;&gt;"", B304&lt;&gt;""), B304+1, "")</f>
        <v>45861</v>
      </c>
      <c r="C309" s="409"/>
      <c r="D309" s="409"/>
      <c r="E309" s="246" t="s">
        <v>766</v>
      </c>
      <c r="F309" s="202">
        <v>0</v>
      </c>
      <c r="G309" s="203"/>
      <c r="H309" s="203"/>
      <c r="I309" s="263">
        <f t="shared" si="4"/>
        <v>0</v>
      </c>
    </row>
    <row r="310" spans="2:9" ht="15.75" hidden="1" customHeight="1" outlineLevel="1" thickBot="1" x14ac:dyDescent="0.3">
      <c r="B310" s="249">
        <f>IF(AND(F306&lt;&gt;"", B305&lt;&gt;""), B305+1, "")</f>
        <v>45861</v>
      </c>
      <c r="C310" s="416"/>
      <c r="D310" s="416"/>
      <c r="E310" s="250" t="s">
        <v>767</v>
      </c>
      <c r="F310" s="204">
        <v>300</v>
      </c>
      <c r="G310" s="205"/>
      <c r="H310" s="205"/>
      <c r="I310" s="264">
        <f t="shared" si="4"/>
        <v>300</v>
      </c>
    </row>
    <row r="311" spans="2:9" ht="15.75" hidden="1" customHeight="1" outlineLevel="1" thickBot="1" x14ac:dyDescent="0.3">
      <c r="B311" s="241">
        <f>IF(AND(F311&lt;&gt;"", B306&lt;&gt;""), B306+1, "")</f>
        <v>45862</v>
      </c>
      <c r="C311" s="442">
        <v>45862</v>
      </c>
      <c r="D311" s="443">
        <f>D306+1</f>
        <v>45862</v>
      </c>
      <c r="E311" s="246" t="s">
        <v>394</v>
      </c>
      <c r="F311" s="202">
        <v>650</v>
      </c>
      <c r="G311" s="203"/>
      <c r="H311" s="203"/>
      <c r="I311" s="263">
        <f t="shared" si="4"/>
        <v>650</v>
      </c>
    </row>
    <row r="312" spans="2:9" ht="15.75" hidden="1" customHeight="1" outlineLevel="1" thickBot="1" x14ac:dyDescent="0.3">
      <c r="B312" s="245">
        <f>IF(AND(F311&lt;&gt;"", B307&lt;&gt;""), B307+1, "")</f>
        <v>45862</v>
      </c>
      <c r="C312" s="409"/>
      <c r="D312" s="409"/>
      <c r="E312" s="246" t="s">
        <v>764</v>
      </c>
      <c r="F312" s="202">
        <v>2840</v>
      </c>
      <c r="G312" s="203">
        <v>350</v>
      </c>
      <c r="H312" s="203">
        <v>464</v>
      </c>
      <c r="I312" s="263">
        <f t="shared" si="4"/>
        <v>2726</v>
      </c>
    </row>
    <row r="313" spans="2:9" ht="15.75" hidden="1" customHeight="1" outlineLevel="1" thickBot="1" x14ac:dyDescent="0.3">
      <c r="B313" s="245">
        <f>IF(AND(F311&lt;&gt;"", B308&lt;&gt;""), B308+1, "")</f>
        <v>45862</v>
      </c>
      <c r="C313" s="409"/>
      <c r="D313" s="409"/>
      <c r="E313" s="246" t="s">
        <v>765</v>
      </c>
      <c r="F313" s="202">
        <v>1435</v>
      </c>
      <c r="G313" s="203">
        <v>430</v>
      </c>
      <c r="H313" s="203"/>
      <c r="I313" s="263">
        <f t="shared" si="4"/>
        <v>1865</v>
      </c>
    </row>
    <row r="314" spans="2:9" ht="15.75" hidden="1" customHeight="1" outlineLevel="1" thickBot="1" x14ac:dyDescent="0.3">
      <c r="B314" s="245">
        <f>IF(AND(F311&lt;&gt;"", B309&lt;&gt;""), B309+1, "")</f>
        <v>45862</v>
      </c>
      <c r="C314" s="409"/>
      <c r="D314" s="409"/>
      <c r="E314" s="246" t="s">
        <v>766</v>
      </c>
      <c r="F314" s="202">
        <v>0</v>
      </c>
      <c r="G314" s="203"/>
      <c r="H314" s="203"/>
      <c r="I314" s="263">
        <f t="shared" si="4"/>
        <v>0</v>
      </c>
    </row>
    <row r="315" spans="2:9" ht="15.75" hidden="1" customHeight="1" outlineLevel="1" thickBot="1" x14ac:dyDescent="0.3">
      <c r="B315" s="249">
        <f>IF(AND(F311&lt;&gt;"", B310&lt;&gt;""), B310+1, "")</f>
        <v>45862</v>
      </c>
      <c r="C315" s="416"/>
      <c r="D315" s="416"/>
      <c r="E315" s="250" t="s">
        <v>767</v>
      </c>
      <c r="F315" s="204">
        <v>300</v>
      </c>
      <c r="G315" s="205"/>
      <c r="H315" s="205"/>
      <c r="I315" s="264">
        <f t="shared" si="4"/>
        <v>300</v>
      </c>
    </row>
    <row r="316" spans="2:9" ht="15.75" hidden="1" customHeight="1" outlineLevel="1" thickBot="1" x14ac:dyDescent="0.3">
      <c r="B316" s="241">
        <f>IF(AND(F316&lt;&gt;"", B311&lt;&gt;""), B311+1, "")</f>
        <v>45863</v>
      </c>
      <c r="C316" s="442">
        <v>45863</v>
      </c>
      <c r="D316" s="443">
        <f>D311+1</f>
        <v>45863</v>
      </c>
      <c r="E316" s="246" t="s">
        <v>394</v>
      </c>
      <c r="F316" s="202">
        <v>650</v>
      </c>
      <c r="G316" s="203"/>
      <c r="H316" s="203"/>
      <c r="I316" s="263">
        <v>650</v>
      </c>
    </row>
    <row r="317" spans="2:9" ht="15.75" hidden="1" customHeight="1" outlineLevel="1" thickBot="1" x14ac:dyDescent="0.3">
      <c r="B317" s="245">
        <f>IF(AND(F316&lt;&gt;"", B312&lt;&gt;""), B312+1, "")</f>
        <v>45863</v>
      </c>
      <c r="C317" s="409"/>
      <c r="D317" s="409"/>
      <c r="E317" s="246" t="s">
        <v>764</v>
      </c>
      <c r="F317" s="202">
        <v>2726</v>
      </c>
      <c r="G317" s="203"/>
      <c r="H317" s="203"/>
      <c r="I317" s="263">
        <v>2726</v>
      </c>
    </row>
    <row r="318" spans="2:9" ht="15.75" hidden="1" customHeight="1" outlineLevel="1" thickBot="1" x14ac:dyDescent="0.3">
      <c r="B318" s="245">
        <f>IF(AND(F316&lt;&gt;"", B313&lt;&gt;""), B313+1, "")</f>
        <v>45863</v>
      </c>
      <c r="C318" s="409"/>
      <c r="D318" s="409"/>
      <c r="E318" s="246" t="s">
        <v>765</v>
      </c>
      <c r="F318" s="202">
        <v>1865</v>
      </c>
      <c r="G318" s="203"/>
      <c r="H318" s="203"/>
      <c r="I318" s="263">
        <v>1865</v>
      </c>
    </row>
    <row r="319" spans="2:9" ht="15.75" hidden="1" customHeight="1" outlineLevel="1" thickBot="1" x14ac:dyDescent="0.3">
      <c r="B319" s="245">
        <f>IF(AND(F316&lt;&gt;"", B314&lt;&gt;""), B314+1, "")</f>
        <v>45863</v>
      </c>
      <c r="C319" s="409"/>
      <c r="D319" s="409"/>
      <c r="E319" s="246" t="s">
        <v>766</v>
      </c>
      <c r="F319" s="202">
        <v>0</v>
      </c>
      <c r="G319" s="203"/>
      <c r="H319" s="203"/>
      <c r="I319" s="263">
        <v>0</v>
      </c>
    </row>
    <row r="320" spans="2:9" ht="15.75" hidden="1" customHeight="1" outlineLevel="1" thickBot="1" x14ac:dyDescent="0.3">
      <c r="B320" s="249">
        <f>IF(AND(F316&lt;&gt;"", B315&lt;&gt;""), B315+1, "")</f>
        <v>45863</v>
      </c>
      <c r="C320" s="416"/>
      <c r="D320" s="416"/>
      <c r="E320" s="250" t="s">
        <v>767</v>
      </c>
      <c r="F320" s="204">
        <v>300</v>
      </c>
      <c r="G320" s="205"/>
      <c r="H320" s="205"/>
      <c r="I320" s="264">
        <v>300</v>
      </c>
    </row>
    <row r="321" spans="2:9" ht="15.75" hidden="1" customHeight="1" outlineLevel="1" thickBot="1" x14ac:dyDescent="0.3">
      <c r="B321" s="241">
        <f>IF(AND(F321&lt;&gt;"", B316&lt;&gt;""), B316+1, "")</f>
        <v>45864</v>
      </c>
      <c r="C321" s="442">
        <v>45864</v>
      </c>
      <c r="D321" s="443">
        <f>D316+1</f>
        <v>45864</v>
      </c>
      <c r="E321" s="246" t="s">
        <v>394</v>
      </c>
      <c r="F321" s="202">
        <v>650</v>
      </c>
      <c r="G321" s="203"/>
      <c r="H321" s="203"/>
      <c r="I321" s="263">
        <f t="shared" ref="I321:I352" si="5">F321+G321-H321</f>
        <v>650</v>
      </c>
    </row>
    <row r="322" spans="2:9" ht="15.75" hidden="1" customHeight="1" outlineLevel="1" thickBot="1" x14ac:dyDescent="0.3">
      <c r="B322" s="245">
        <f>IF(AND(F321&lt;&gt;"", B317&lt;&gt;""), B317+1, "")</f>
        <v>45864</v>
      </c>
      <c r="C322" s="409"/>
      <c r="D322" s="409"/>
      <c r="E322" s="246" t="s">
        <v>764</v>
      </c>
      <c r="F322" s="202">
        <v>2726</v>
      </c>
      <c r="G322" s="203">
        <v>141</v>
      </c>
      <c r="H322" s="203">
        <v>240</v>
      </c>
      <c r="I322" s="263">
        <f t="shared" si="5"/>
        <v>2627</v>
      </c>
    </row>
    <row r="323" spans="2:9" ht="15.75" hidden="1" customHeight="1" outlineLevel="1" thickBot="1" x14ac:dyDescent="0.3">
      <c r="B323" s="245">
        <f>IF(AND(F321&lt;&gt;"", B318&lt;&gt;""), B318+1, "")</f>
        <v>45864</v>
      </c>
      <c r="C323" s="409"/>
      <c r="D323" s="409"/>
      <c r="E323" s="246" t="s">
        <v>765</v>
      </c>
      <c r="F323" s="202">
        <v>1865</v>
      </c>
      <c r="G323" s="203">
        <v>470</v>
      </c>
      <c r="H323" s="203">
        <v>500</v>
      </c>
      <c r="I323" s="263">
        <f t="shared" si="5"/>
        <v>1835</v>
      </c>
    </row>
    <row r="324" spans="2:9" ht="15.75" hidden="1" customHeight="1" outlineLevel="1" thickBot="1" x14ac:dyDescent="0.3">
      <c r="B324" s="245">
        <f>IF(AND(F321&lt;&gt;"", B319&lt;&gt;""), B319+1, "")</f>
        <v>45864</v>
      </c>
      <c r="C324" s="409"/>
      <c r="D324" s="409"/>
      <c r="E324" s="246" t="s">
        <v>766</v>
      </c>
      <c r="F324" s="202">
        <v>0</v>
      </c>
      <c r="G324" s="203"/>
      <c r="H324" s="203"/>
      <c r="I324" s="263">
        <f t="shared" si="5"/>
        <v>0</v>
      </c>
    </row>
    <row r="325" spans="2:9" ht="15.75" hidden="1" customHeight="1" outlineLevel="1" thickBot="1" x14ac:dyDescent="0.3">
      <c r="B325" s="249">
        <f>IF(AND(F321&lt;&gt;"", B320&lt;&gt;""), B320+1, "")</f>
        <v>45864</v>
      </c>
      <c r="C325" s="416"/>
      <c r="D325" s="416"/>
      <c r="E325" s="250" t="s">
        <v>767</v>
      </c>
      <c r="F325" s="204">
        <v>300</v>
      </c>
      <c r="G325" s="205"/>
      <c r="H325" s="205"/>
      <c r="I325" s="264">
        <f t="shared" si="5"/>
        <v>300</v>
      </c>
    </row>
    <row r="326" spans="2:9" ht="15.75" hidden="1" customHeight="1" outlineLevel="1" thickBot="1" x14ac:dyDescent="0.3">
      <c r="B326" s="241">
        <f>IF(AND(F326&lt;&gt;"", B321&lt;&gt;""), B321+1, "")</f>
        <v>45865</v>
      </c>
      <c r="C326" s="442">
        <v>45865</v>
      </c>
      <c r="D326" s="443">
        <f>D321+1</f>
        <v>45865</v>
      </c>
      <c r="E326" s="246" t="s">
        <v>394</v>
      </c>
      <c r="F326" s="202">
        <v>500</v>
      </c>
      <c r="G326" s="203"/>
      <c r="H326" s="203"/>
      <c r="I326" s="263">
        <f t="shared" si="5"/>
        <v>500</v>
      </c>
    </row>
    <row r="327" spans="2:9" ht="15.75" hidden="1" customHeight="1" outlineLevel="1" thickBot="1" x14ac:dyDescent="0.3">
      <c r="B327" s="245">
        <f>IF(AND(F326&lt;&gt;"", B322&lt;&gt;""), B322+1, "")</f>
        <v>45865</v>
      </c>
      <c r="C327" s="409"/>
      <c r="D327" s="409"/>
      <c r="E327" s="246" t="s">
        <v>764</v>
      </c>
      <c r="F327" s="202">
        <v>2627</v>
      </c>
      <c r="G327" s="203"/>
      <c r="H327" s="203"/>
      <c r="I327" s="263">
        <f t="shared" si="5"/>
        <v>2627</v>
      </c>
    </row>
    <row r="328" spans="2:9" ht="15.75" hidden="1" customHeight="1" outlineLevel="1" thickBot="1" x14ac:dyDescent="0.3">
      <c r="B328" s="245">
        <f>IF(AND(F326&lt;&gt;"", B323&lt;&gt;""), B323+1, "")</f>
        <v>45865</v>
      </c>
      <c r="C328" s="409"/>
      <c r="D328" s="409"/>
      <c r="E328" s="246" t="s">
        <v>765</v>
      </c>
      <c r="F328" s="202">
        <v>1865</v>
      </c>
      <c r="G328" s="203">
        <v>470</v>
      </c>
      <c r="H328" s="203">
        <v>750</v>
      </c>
      <c r="I328" s="263">
        <f t="shared" si="5"/>
        <v>1585</v>
      </c>
    </row>
    <row r="329" spans="2:9" ht="15.75" hidden="1" customHeight="1" outlineLevel="1" thickBot="1" x14ac:dyDescent="0.3">
      <c r="B329" s="245">
        <f>IF(AND(F326&lt;&gt;"", B324&lt;&gt;""), B324+1, "")</f>
        <v>45865</v>
      </c>
      <c r="C329" s="409"/>
      <c r="D329" s="409"/>
      <c r="E329" s="246" t="s">
        <v>766</v>
      </c>
      <c r="F329" s="202">
        <v>0</v>
      </c>
      <c r="G329" s="203"/>
      <c r="H329" s="203"/>
      <c r="I329" s="263">
        <f t="shared" si="5"/>
        <v>0</v>
      </c>
    </row>
    <row r="330" spans="2:9" ht="15.75" hidden="1" customHeight="1" outlineLevel="1" thickBot="1" x14ac:dyDescent="0.3">
      <c r="B330" s="249">
        <f>IF(AND(F326&lt;&gt;"", B325&lt;&gt;""), B325+1, "")</f>
        <v>45865</v>
      </c>
      <c r="C330" s="416"/>
      <c r="D330" s="416"/>
      <c r="E330" s="250" t="s">
        <v>767</v>
      </c>
      <c r="F330" s="204">
        <v>300</v>
      </c>
      <c r="G330" s="205">
        <v>10</v>
      </c>
      <c r="H330" s="205"/>
      <c r="I330" s="264">
        <f t="shared" si="5"/>
        <v>310</v>
      </c>
    </row>
    <row r="331" spans="2:9" ht="15.75" hidden="1" customHeight="1" outlineLevel="1" thickBot="1" x14ac:dyDescent="0.3">
      <c r="B331" s="241">
        <f>IF(AND(F331&lt;&gt;"", B326&lt;&gt;""), B326+1, "")</f>
        <v>45866</v>
      </c>
      <c r="C331" s="442">
        <v>45866</v>
      </c>
      <c r="D331" s="443">
        <f>D326+1</f>
        <v>45866</v>
      </c>
      <c r="E331" s="246" t="s">
        <v>394</v>
      </c>
      <c r="F331" s="202">
        <v>500</v>
      </c>
      <c r="G331" s="203"/>
      <c r="H331" s="203"/>
      <c r="I331" s="263">
        <f t="shared" si="5"/>
        <v>500</v>
      </c>
    </row>
    <row r="332" spans="2:9" ht="15.75" hidden="1" customHeight="1" outlineLevel="1" thickBot="1" x14ac:dyDescent="0.3">
      <c r="B332" s="245">
        <f>IF(AND(F331&lt;&gt;"", B327&lt;&gt;""), B327+1, "")</f>
        <v>45866</v>
      </c>
      <c r="C332" s="409"/>
      <c r="D332" s="409"/>
      <c r="E332" s="246" t="s">
        <v>764</v>
      </c>
      <c r="F332" s="202">
        <v>2627</v>
      </c>
      <c r="G332" s="203"/>
      <c r="H332" s="203">
        <v>400</v>
      </c>
      <c r="I332" s="263">
        <f t="shared" si="5"/>
        <v>2227</v>
      </c>
    </row>
    <row r="333" spans="2:9" ht="15.75" hidden="1" customHeight="1" outlineLevel="1" thickBot="1" x14ac:dyDescent="0.3">
      <c r="B333" s="245">
        <f>IF(AND(F331&lt;&gt;"", B328&lt;&gt;""), B328+1, "")</f>
        <v>45866</v>
      </c>
      <c r="C333" s="409"/>
      <c r="D333" s="409"/>
      <c r="E333" s="246" t="s">
        <v>765</v>
      </c>
      <c r="F333" s="202">
        <v>1585</v>
      </c>
      <c r="G333" s="203">
        <v>470</v>
      </c>
      <c r="H333" s="203"/>
      <c r="I333" s="263">
        <f t="shared" si="5"/>
        <v>2055</v>
      </c>
    </row>
    <row r="334" spans="2:9" ht="15.75" hidden="1" customHeight="1" outlineLevel="1" thickBot="1" x14ac:dyDescent="0.3">
      <c r="B334" s="245">
        <f>IF(AND(F331&lt;&gt;"", B329&lt;&gt;""), B329+1, "")</f>
        <v>45866</v>
      </c>
      <c r="C334" s="409"/>
      <c r="D334" s="409"/>
      <c r="E334" s="246" t="s">
        <v>766</v>
      </c>
      <c r="F334" s="202">
        <v>0</v>
      </c>
      <c r="G334" s="203"/>
      <c r="H334" s="203"/>
      <c r="I334" s="263">
        <f t="shared" si="5"/>
        <v>0</v>
      </c>
    </row>
    <row r="335" spans="2:9" ht="15.75" hidden="1" customHeight="1" outlineLevel="1" thickBot="1" x14ac:dyDescent="0.3">
      <c r="B335" s="249">
        <f>IF(AND(F331&lt;&gt;"", B330&lt;&gt;""), B330+1, "")</f>
        <v>45866</v>
      </c>
      <c r="C335" s="416"/>
      <c r="D335" s="416"/>
      <c r="E335" s="250" t="s">
        <v>767</v>
      </c>
      <c r="F335" s="204">
        <v>300</v>
      </c>
      <c r="G335" s="205"/>
      <c r="H335" s="205"/>
      <c r="I335" s="264">
        <f t="shared" si="5"/>
        <v>300</v>
      </c>
    </row>
    <row r="336" spans="2:9" ht="15.75" hidden="1" customHeight="1" outlineLevel="1" thickBot="1" x14ac:dyDescent="0.3">
      <c r="B336" s="241">
        <f>IF(AND(F336&lt;&gt;"", B331&lt;&gt;""), B331+1, "")</f>
        <v>45867</v>
      </c>
      <c r="C336" s="442">
        <v>45867</v>
      </c>
      <c r="D336" s="443">
        <f>D331+1</f>
        <v>45867</v>
      </c>
      <c r="E336" s="246" t="s">
        <v>394</v>
      </c>
      <c r="F336" s="202">
        <v>500</v>
      </c>
      <c r="G336" s="203">
        <v>80</v>
      </c>
      <c r="H336" s="203"/>
      <c r="I336" s="263">
        <f t="shared" si="5"/>
        <v>580</v>
      </c>
    </row>
    <row r="337" spans="2:9" ht="15.75" hidden="1" customHeight="1" outlineLevel="1" thickBot="1" x14ac:dyDescent="0.3">
      <c r="B337" s="245">
        <f>IF(AND(F336&lt;&gt;"", B332&lt;&gt;""), B332+1, "")</f>
        <v>45867</v>
      </c>
      <c r="C337" s="409"/>
      <c r="D337" s="409"/>
      <c r="E337" s="246" t="s">
        <v>764</v>
      </c>
      <c r="F337" s="202">
        <v>2227</v>
      </c>
      <c r="G337" s="203"/>
      <c r="H337" s="203">
        <v>200</v>
      </c>
      <c r="I337" s="263">
        <f t="shared" si="5"/>
        <v>2027</v>
      </c>
    </row>
    <row r="338" spans="2:9" ht="15.75" hidden="1" customHeight="1" outlineLevel="1" thickBot="1" x14ac:dyDescent="0.3">
      <c r="B338" s="245">
        <f>IF(AND(F336&lt;&gt;"", B333&lt;&gt;""), B333+1, "")</f>
        <v>45867</v>
      </c>
      <c r="C338" s="409"/>
      <c r="D338" s="409"/>
      <c r="E338" s="246" t="s">
        <v>765</v>
      </c>
      <c r="F338" s="202">
        <v>2055</v>
      </c>
      <c r="G338" s="203">
        <v>457</v>
      </c>
      <c r="H338" s="203">
        <v>560</v>
      </c>
      <c r="I338" s="263">
        <f t="shared" si="5"/>
        <v>1952</v>
      </c>
    </row>
    <row r="339" spans="2:9" ht="15.75" hidden="1" customHeight="1" outlineLevel="1" thickBot="1" x14ac:dyDescent="0.3">
      <c r="B339" s="245">
        <f>IF(AND(F336&lt;&gt;"", B334&lt;&gt;""), B334+1, "")</f>
        <v>45867</v>
      </c>
      <c r="C339" s="409"/>
      <c r="D339" s="409"/>
      <c r="E339" s="246" t="s">
        <v>766</v>
      </c>
      <c r="F339" s="202">
        <v>0</v>
      </c>
      <c r="G339" s="203"/>
      <c r="H339" s="203"/>
      <c r="I339" s="263">
        <f t="shared" si="5"/>
        <v>0</v>
      </c>
    </row>
    <row r="340" spans="2:9" ht="15.75" hidden="1" customHeight="1" outlineLevel="1" thickBot="1" x14ac:dyDescent="0.3">
      <c r="B340" s="249">
        <f>IF(AND(F336&lt;&gt;"", B335&lt;&gt;""), B335+1, "")</f>
        <v>45867</v>
      </c>
      <c r="C340" s="416"/>
      <c r="D340" s="416"/>
      <c r="E340" s="250" t="s">
        <v>767</v>
      </c>
      <c r="F340" s="204">
        <v>300</v>
      </c>
      <c r="G340" s="205"/>
      <c r="H340" s="205"/>
      <c r="I340" s="264">
        <f t="shared" si="5"/>
        <v>300</v>
      </c>
    </row>
    <row r="341" spans="2:9" ht="15.75" hidden="1" customHeight="1" outlineLevel="1" thickBot="1" x14ac:dyDescent="0.3">
      <c r="B341" s="241">
        <f>IF(AND(F341&lt;&gt;"", B336&lt;&gt;""), B336+1, "")</f>
        <v>45868</v>
      </c>
      <c r="C341" s="442">
        <v>45868</v>
      </c>
      <c r="D341" s="443">
        <f>D336+1</f>
        <v>45868</v>
      </c>
      <c r="E341" s="246" t="s">
        <v>394</v>
      </c>
      <c r="F341" s="202">
        <v>580</v>
      </c>
      <c r="G341" s="203">
        <v>320</v>
      </c>
      <c r="H341" s="203">
        <v>0</v>
      </c>
      <c r="I341" s="263">
        <f t="shared" si="5"/>
        <v>900</v>
      </c>
    </row>
    <row r="342" spans="2:9" ht="15.75" hidden="1" customHeight="1" outlineLevel="1" thickBot="1" x14ac:dyDescent="0.3">
      <c r="B342" s="245">
        <f>IF(AND(F341&lt;&gt;"", B337&lt;&gt;""), B337+1, "")</f>
        <v>45868</v>
      </c>
      <c r="C342" s="409"/>
      <c r="D342" s="409"/>
      <c r="E342" s="246" t="s">
        <v>764</v>
      </c>
      <c r="F342" s="202">
        <v>2027</v>
      </c>
      <c r="G342" s="203"/>
      <c r="H342" s="203"/>
      <c r="I342" s="263">
        <f t="shared" si="5"/>
        <v>2027</v>
      </c>
    </row>
    <row r="343" spans="2:9" ht="15.75" hidden="1" customHeight="1" outlineLevel="1" thickBot="1" x14ac:dyDescent="0.3">
      <c r="B343" s="245">
        <f>IF(AND(F341&lt;&gt;"", B338&lt;&gt;""), B338+1, "")</f>
        <v>45868</v>
      </c>
      <c r="C343" s="409"/>
      <c r="D343" s="409"/>
      <c r="E343" s="246" t="s">
        <v>765</v>
      </c>
      <c r="F343" s="202">
        <v>1952</v>
      </c>
      <c r="G343" s="203">
        <v>471</v>
      </c>
      <c r="H343" s="203">
        <v>412</v>
      </c>
      <c r="I343" s="263">
        <f t="shared" si="5"/>
        <v>2011</v>
      </c>
    </row>
    <row r="344" spans="2:9" ht="15.75" hidden="1" customHeight="1" outlineLevel="1" thickBot="1" x14ac:dyDescent="0.3">
      <c r="B344" s="245">
        <f>IF(AND(F341&lt;&gt;"", B339&lt;&gt;""), B339+1, "")</f>
        <v>45868</v>
      </c>
      <c r="C344" s="409"/>
      <c r="D344" s="409"/>
      <c r="E344" s="246" t="s">
        <v>766</v>
      </c>
      <c r="F344" s="202">
        <v>0</v>
      </c>
      <c r="G344" s="203"/>
      <c r="H344" s="203"/>
      <c r="I344" s="263">
        <f t="shared" si="5"/>
        <v>0</v>
      </c>
    </row>
    <row r="345" spans="2:9" ht="15.75" hidden="1" customHeight="1" outlineLevel="1" thickBot="1" x14ac:dyDescent="0.3">
      <c r="B345" s="249">
        <f>IF(AND(F341&lt;&gt;"", B340&lt;&gt;""), B340+1, "")</f>
        <v>45868</v>
      </c>
      <c r="C345" s="416"/>
      <c r="D345" s="416"/>
      <c r="E345" s="250" t="s">
        <v>767</v>
      </c>
      <c r="F345" s="204">
        <v>300</v>
      </c>
      <c r="G345" s="205"/>
      <c r="H345" s="205"/>
      <c r="I345" s="264">
        <f t="shared" si="5"/>
        <v>300</v>
      </c>
    </row>
    <row r="346" spans="2:9" ht="15.75" hidden="1" customHeight="1" outlineLevel="1" thickBot="1" x14ac:dyDescent="0.3">
      <c r="B346" s="241">
        <f>IF(AND(F346&lt;&gt;"", B341&lt;&gt;""), B341+1, "")</f>
        <v>45869</v>
      </c>
      <c r="C346" s="442">
        <v>45869</v>
      </c>
      <c r="D346" s="443">
        <f>D341+1</f>
        <v>45869</v>
      </c>
      <c r="E346" s="246" t="s">
        <v>394</v>
      </c>
      <c r="F346" s="202">
        <v>741</v>
      </c>
      <c r="G346" s="203">
        <v>340</v>
      </c>
      <c r="H346" s="203"/>
      <c r="I346" s="263">
        <f t="shared" si="5"/>
        <v>1081</v>
      </c>
    </row>
    <row r="347" spans="2:9" ht="15.75" hidden="1" customHeight="1" outlineLevel="1" thickBot="1" x14ac:dyDescent="0.3">
      <c r="B347" s="245">
        <f>IF(AND(F346&lt;&gt;"", B342&lt;&gt;""), B342+1, "")</f>
        <v>45869</v>
      </c>
      <c r="C347" s="409"/>
      <c r="D347" s="409"/>
      <c r="E347" s="246" t="s">
        <v>764</v>
      </c>
      <c r="F347" s="202">
        <v>1936</v>
      </c>
      <c r="G347" s="203"/>
      <c r="H347" s="203"/>
      <c r="I347" s="263">
        <f t="shared" si="5"/>
        <v>1936</v>
      </c>
    </row>
    <row r="348" spans="2:9" ht="15.75" hidden="1" customHeight="1" outlineLevel="1" thickBot="1" x14ac:dyDescent="0.3">
      <c r="B348" s="245">
        <f>IF(AND(F346&lt;&gt;"", B343&lt;&gt;""), B343+1, "")</f>
        <v>45869</v>
      </c>
      <c r="C348" s="409"/>
      <c r="D348" s="409"/>
      <c r="E348" s="246" t="s">
        <v>765</v>
      </c>
      <c r="F348" s="202">
        <v>1979</v>
      </c>
      <c r="G348" s="203">
        <v>470</v>
      </c>
      <c r="H348" s="203">
        <v>120</v>
      </c>
      <c r="I348" s="263">
        <f t="shared" si="5"/>
        <v>2329</v>
      </c>
    </row>
    <row r="349" spans="2:9" ht="15.75" hidden="1" customHeight="1" outlineLevel="1" thickBot="1" x14ac:dyDescent="0.3">
      <c r="B349" s="245">
        <f>IF(AND(F346&lt;&gt;"", B344&lt;&gt;""), B344+1, "")</f>
        <v>45869</v>
      </c>
      <c r="C349" s="409"/>
      <c r="D349" s="409"/>
      <c r="E349" s="246" t="s">
        <v>766</v>
      </c>
      <c r="F349" s="202">
        <v>0</v>
      </c>
      <c r="G349" s="203"/>
      <c r="H349" s="203"/>
      <c r="I349" s="263">
        <f t="shared" si="5"/>
        <v>0</v>
      </c>
    </row>
    <row r="350" spans="2:9" ht="15.75" hidden="1" customHeight="1" outlineLevel="1" thickBot="1" x14ac:dyDescent="0.3">
      <c r="B350" s="249">
        <f>IF(AND(F346&lt;&gt;"", B345&lt;&gt;""), B345+1, "")</f>
        <v>45869</v>
      </c>
      <c r="C350" s="416"/>
      <c r="D350" s="416"/>
      <c r="E350" s="250" t="s">
        <v>767</v>
      </c>
      <c r="F350" s="204">
        <v>300</v>
      </c>
      <c r="G350" s="205"/>
      <c r="H350" s="205"/>
      <c r="I350" s="264">
        <f t="shared" si="5"/>
        <v>300</v>
      </c>
    </row>
    <row r="351" spans="2:9" ht="15.75" hidden="1" customHeight="1" outlineLevel="1" thickBot="1" x14ac:dyDescent="0.3">
      <c r="B351" s="241">
        <f>IF(AND(F351&lt;&gt;"", B346&lt;&gt;""), B346+1, "")</f>
        <v>45870</v>
      </c>
      <c r="C351" s="442">
        <v>45870</v>
      </c>
      <c r="D351" s="443">
        <f>D346+1</f>
        <v>45870</v>
      </c>
      <c r="E351" s="246" t="s">
        <v>394</v>
      </c>
      <c r="F351" s="202">
        <v>1081</v>
      </c>
      <c r="G351" s="203"/>
      <c r="H351" s="203"/>
      <c r="I351" s="263">
        <f t="shared" si="5"/>
        <v>1081</v>
      </c>
    </row>
    <row r="352" spans="2:9" ht="15.75" hidden="1" customHeight="1" outlineLevel="1" thickBot="1" x14ac:dyDescent="0.3">
      <c r="B352" s="245">
        <f>IF(AND(F351&lt;&gt;"", B347&lt;&gt;""), B347+1, "")</f>
        <v>45870</v>
      </c>
      <c r="C352" s="409"/>
      <c r="D352" s="409"/>
      <c r="E352" s="246" t="s">
        <v>764</v>
      </c>
      <c r="F352" s="202">
        <v>1936</v>
      </c>
      <c r="G352" s="203"/>
      <c r="H352" s="203"/>
      <c r="I352" s="263">
        <f t="shared" si="5"/>
        <v>1936</v>
      </c>
    </row>
    <row r="353" spans="2:9" ht="15.75" hidden="1" customHeight="1" outlineLevel="1" thickBot="1" x14ac:dyDescent="0.3">
      <c r="B353" s="245">
        <f>IF(AND(F351&lt;&gt;"", B348&lt;&gt;""), B348+1, "")</f>
        <v>45870</v>
      </c>
      <c r="C353" s="409"/>
      <c r="D353" s="409"/>
      <c r="E353" s="246" t="s">
        <v>765</v>
      </c>
      <c r="F353" s="202">
        <v>2329</v>
      </c>
      <c r="G353" s="203"/>
      <c r="H353" s="203"/>
      <c r="I353" s="263">
        <f t="shared" ref="I353:I384" si="6">F353+G353-H353</f>
        <v>2329</v>
      </c>
    </row>
    <row r="354" spans="2:9" ht="15.75" hidden="1" customHeight="1" outlineLevel="1" thickBot="1" x14ac:dyDescent="0.3">
      <c r="B354" s="245">
        <f>IF(AND(F351&lt;&gt;"", B349&lt;&gt;""), B349+1, "")</f>
        <v>45870</v>
      </c>
      <c r="C354" s="409"/>
      <c r="D354" s="409"/>
      <c r="E354" s="246" t="s">
        <v>766</v>
      </c>
      <c r="F354" s="202">
        <v>0</v>
      </c>
      <c r="G354" s="203"/>
      <c r="H354" s="203"/>
      <c r="I354" s="263">
        <f t="shared" si="6"/>
        <v>0</v>
      </c>
    </row>
    <row r="355" spans="2:9" ht="15.75" hidden="1" customHeight="1" outlineLevel="1" thickBot="1" x14ac:dyDescent="0.3">
      <c r="B355" s="249">
        <f>IF(AND(F351&lt;&gt;"", B350&lt;&gt;""), B350+1, "")</f>
        <v>45870</v>
      </c>
      <c r="C355" s="416"/>
      <c r="D355" s="416"/>
      <c r="E355" s="250" t="s">
        <v>767</v>
      </c>
      <c r="F355" s="204">
        <v>300</v>
      </c>
      <c r="G355" s="205"/>
      <c r="H355" s="205"/>
      <c r="I355" s="264">
        <f t="shared" si="6"/>
        <v>300</v>
      </c>
    </row>
    <row r="356" spans="2:9" ht="15.75" hidden="1" customHeight="1" outlineLevel="1" thickBot="1" x14ac:dyDescent="0.3">
      <c r="B356" s="241">
        <f>IF(AND(F356&lt;&gt;"", B351&lt;&gt;""), B351+1, "")</f>
        <v>45871</v>
      </c>
      <c r="C356" s="442">
        <v>45871</v>
      </c>
      <c r="D356" s="443">
        <f>D351+1</f>
        <v>45871</v>
      </c>
      <c r="E356" s="246" t="s">
        <v>394</v>
      </c>
      <c r="F356" s="202">
        <v>1081</v>
      </c>
      <c r="G356" s="203">
        <v>300</v>
      </c>
      <c r="H356" s="203">
        <v>200</v>
      </c>
      <c r="I356" s="263">
        <f t="shared" si="6"/>
        <v>1181</v>
      </c>
    </row>
    <row r="357" spans="2:9" ht="15.75" hidden="1" customHeight="1" outlineLevel="1" thickBot="1" x14ac:dyDescent="0.3">
      <c r="B357" s="245">
        <f>IF(AND(F356&lt;&gt;"", B352&lt;&gt;""), B352+1, "")</f>
        <v>45871</v>
      </c>
      <c r="C357" s="409"/>
      <c r="D357" s="409"/>
      <c r="E357" s="246" t="s">
        <v>764</v>
      </c>
      <c r="F357" s="202">
        <v>1936</v>
      </c>
      <c r="G357" s="203"/>
      <c r="H357" s="203"/>
      <c r="I357" s="263">
        <f t="shared" si="6"/>
        <v>1936</v>
      </c>
    </row>
    <row r="358" spans="2:9" ht="15.75" hidden="1" customHeight="1" outlineLevel="1" thickBot="1" x14ac:dyDescent="0.3">
      <c r="B358" s="245">
        <f>IF(AND(F356&lt;&gt;"", B353&lt;&gt;""), B353+1, "")</f>
        <v>45871</v>
      </c>
      <c r="C358" s="409"/>
      <c r="D358" s="409"/>
      <c r="E358" s="246" t="s">
        <v>765</v>
      </c>
      <c r="F358" s="202">
        <v>2329</v>
      </c>
      <c r="G358" s="203">
        <v>470</v>
      </c>
      <c r="H358" s="203"/>
      <c r="I358" s="263">
        <f t="shared" si="6"/>
        <v>2799</v>
      </c>
    </row>
    <row r="359" spans="2:9" ht="15.75" hidden="1" customHeight="1" outlineLevel="1" thickBot="1" x14ac:dyDescent="0.3">
      <c r="B359" s="245">
        <f>IF(AND(F356&lt;&gt;"", B354&lt;&gt;""), B354+1, "")</f>
        <v>45871</v>
      </c>
      <c r="C359" s="409"/>
      <c r="D359" s="409"/>
      <c r="E359" s="246" t="s">
        <v>766</v>
      </c>
      <c r="F359" s="202">
        <v>0</v>
      </c>
      <c r="G359" s="203"/>
      <c r="H359" s="203"/>
      <c r="I359" s="263">
        <f t="shared" si="6"/>
        <v>0</v>
      </c>
    </row>
    <row r="360" spans="2:9" ht="15.75" hidden="1" customHeight="1" outlineLevel="1" thickBot="1" x14ac:dyDescent="0.3">
      <c r="B360" s="249">
        <f>IF(AND(F356&lt;&gt;"", B355&lt;&gt;""), B355+1, "")</f>
        <v>45871</v>
      </c>
      <c r="C360" s="416"/>
      <c r="D360" s="416"/>
      <c r="E360" s="250" t="s">
        <v>767</v>
      </c>
      <c r="F360" s="204">
        <v>300</v>
      </c>
      <c r="G360" s="205"/>
      <c r="H360" s="205"/>
      <c r="I360" s="264">
        <f t="shared" si="6"/>
        <v>300</v>
      </c>
    </row>
    <row r="361" spans="2:9" ht="15.75" hidden="1" customHeight="1" outlineLevel="1" thickBot="1" x14ac:dyDescent="0.3">
      <c r="B361" s="241">
        <f>IF(AND(F361&lt;&gt;"", B356&lt;&gt;""), B356+1, "")</f>
        <v>45872</v>
      </c>
      <c r="C361" s="442">
        <v>45872</v>
      </c>
      <c r="D361" s="443">
        <f>D356+1</f>
        <v>45872</v>
      </c>
      <c r="E361" s="246" t="s">
        <v>394</v>
      </c>
      <c r="F361" s="202">
        <v>1181</v>
      </c>
      <c r="G361" s="203"/>
      <c r="H361" s="203">
        <v>900</v>
      </c>
      <c r="I361" s="263">
        <f t="shared" si="6"/>
        <v>281</v>
      </c>
    </row>
    <row r="362" spans="2:9" ht="15.75" hidden="1" customHeight="1" outlineLevel="1" thickBot="1" x14ac:dyDescent="0.3">
      <c r="B362" s="245">
        <f>IF(AND(F361&lt;&gt;"", B357&lt;&gt;""), B357+1, "")</f>
        <v>45872</v>
      </c>
      <c r="C362" s="409"/>
      <c r="D362" s="409"/>
      <c r="E362" s="246" t="s">
        <v>764</v>
      </c>
      <c r="F362" s="202">
        <v>1936</v>
      </c>
      <c r="G362" s="203"/>
      <c r="H362" s="203"/>
      <c r="I362" s="263">
        <f t="shared" si="6"/>
        <v>1936</v>
      </c>
    </row>
    <row r="363" spans="2:9" ht="15.75" hidden="1" customHeight="1" outlineLevel="1" thickBot="1" x14ac:dyDescent="0.3">
      <c r="B363" s="245">
        <f>IF(AND(F361&lt;&gt;"", B358&lt;&gt;""), B358+1, "")</f>
        <v>45872</v>
      </c>
      <c r="C363" s="409"/>
      <c r="D363" s="409"/>
      <c r="E363" s="246" t="s">
        <v>765</v>
      </c>
      <c r="F363" s="202">
        <v>2799</v>
      </c>
      <c r="G363" s="203">
        <v>465</v>
      </c>
      <c r="H363" s="203"/>
      <c r="I363" s="263">
        <f t="shared" si="6"/>
        <v>3264</v>
      </c>
    </row>
    <row r="364" spans="2:9" ht="15.75" hidden="1" customHeight="1" outlineLevel="1" thickBot="1" x14ac:dyDescent="0.3">
      <c r="B364" s="245">
        <f>IF(AND(F361&lt;&gt;"", B359&lt;&gt;""), B359+1, "")</f>
        <v>45872</v>
      </c>
      <c r="C364" s="409"/>
      <c r="D364" s="409"/>
      <c r="E364" s="246" t="s">
        <v>766</v>
      </c>
      <c r="F364" s="202">
        <v>0</v>
      </c>
      <c r="G364" s="203"/>
      <c r="H364" s="203"/>
      <c r="I364" s="263">
        <f t="shared" si="6"/>
        <v>0</v>
      </c>
    </row>
    <row r="365" spans="2:9" ht="15.75" hidden="1" customHeight="1" outlineLevel="1" thickBot="1" x14ac:dyDescent="0.3">
      <c r="B365" s="249">
        <f>IF(AND(F361&lt;&gt;"", B360&lt;&gt;""), B360+1, "")</f>
        <v>45872</v>
      </c>
      <c r="C365" s="416"/>
      <c r="D365" s="416"/>
      <c r="E365" s="250" t="s">
        <v>767</v>
      </c>
      <c r="F365" s="204">
        <v>300</v>
      </c>
      <c r="G365" s="205"/>
      <c r="H365" s="205"/>
      <c r="I365" s="264">
        <f t="shared" si="6"/>
        <v>300</v>
      </c>
    </row>
    <row r="366" spans="2:9" ht="15.75" hidden="1" customHeight="1" outlineLevel="1" thickBot="1" x14ac:dyDescent="0.3">
      <c r="B366" s="241">
        <f>IF(AND(F366&lt;&gt;"", B361&lt;&gt;""), B361+1, "")</f>
        <v>45873</v>
      </c>
      <c r="C366" s="442">
        <v>45873</v>
      </c>
      <c r="D366" s="443">
        <f>D361+1</f>
        <v>45873</v>
      </c>
      <c r="E366" s="246" t="s">
        <v>394</v>
      </c>
      <c r="F366" s="202">
        <v>281</v>
      </c>
      <c r="G366" s="203"/>
      <c r="H366" s="203"/>
      <c r="I366" s="263">
        <f t="shared" si="6"/>
        <v>281</v>
      </c>
    </row>
    <row r="367" spans="2:9" ht="15.75" hidden="1" customHeight="1" outlineLevel="1" thickBot="1" x14ac:dyDescent="0.3">
      <c r="B367" s="245">
        <f>IF(AND(F366&lt;&gt;"", B362&lt;&gt;""), B362+1, "")</f>
        <v>45873</v>
      </c>
      <c r="C367" s="409"/>
      <c r="D367" s="409"/>
      <c r="E367" s="246" t="s">
        <v>764</v>
      </c>
      <c r="F367" s="202">
        <v>1936</v>
      </c>
      <c r="G367" s="203">
        <v>0</v>
      </c>
      <c r="H367" s="203">
        <v>738</v>
      </c>
      <c r="I367" s="263">
        <f t="shared" si="6"/>
        <v>1198</v>
      </c>
    </row>
    <row r="368" spans="2:9" ht="15.75" hidden="1" customHeight="1" outlineLevel="1" thickBot="1" x14ac:dyDescent="0.3">
      <c r="B368" s="245">
        <f>IF(AND(F366&lt;&gt;"", B363&lt;&gt;""), B363+1, "")</f>
        <v>45873</v>
      </c>
      <c r="C368" s="409"/>
      <c r="D368" s="409"/>
      <c r="E368" s="246" t="s">
        <v>765</v>
      </c>
      <c r="F368" s="202">
        <v>3264</v>
      </c>
      <c r="G368" s="203">
        <v>470</v>
      </c>
      <c r="H368" s="203"/>
      <c r="I368" s="263">
        <f t="shared" si="6"/>
        <v>3734</v>
      </c>
    </row>
    <row r="369" spans="2:9" ht="15.75" hidden="1" customHeight="1" outlineLevel="1" thickBot="1" x14ac:dyDescent="0.3">
      <c r="B369" s="245">
        <f>IF(AND(F366&lt;&gt;"", B364&lt;&gt;""), B364+1, "")</f>
        <v>45873</v>
      </c>
      <c r="C369" s="409"/>
      <c r="D369" s="409"/>
      <c r="E369" s="246" t="s">
        <v>766</v>
      </c>
      <c r="F369" s="202">
        <v>0</v>
      </c>
      <c r="G369" s="203"/>
      <c r="H369" s="203"/>
      <c r="I369" s="263">
        <f t="shared" si="6"/>
        <v>0</v>
      </c>
    </row>
    <row r="370" spans="2:9" ht="15.75" hidden="1" customHeight="1" outlineLevel="1" thickBot="1" x14ac:dyDescent="0.3">
      <c r="B370" s="249">
        <f>IF(AND(F366&lt;&gt;"", B365&lt;&gt;""), B365+1, "")</f>
        <v>45873</v>
      </c>
      <c r="C370" s="416"/>
      <c r="D370" s="416"/>
      <c r="E370" s="250" t="s">
        <v>767</v>
      </c>
      <c r="F370" s="204">
        <v>300</v>
      </c>
      <c r="G370" s="205"/>
      <c r="H370" s="205"/>
      <c r="I370" s="264">
        <f t="shared" si="6"/>
        <v>300</v>
      </c>
    </row>
    <row r="371" spans="2:9" ht="15.75" hidden="1" customHeight="1" outlineLevel="1" thickBot="1" x14ac:dyDescent="0.3">
      <c r="B371" s="241">
        <f>IF(AND(F371&lt;&gt;"", B366&lt;&gt;""), B366+1, "")</f>
        <v>45874</v>
      </c>
      <c r="C371" s="442">
        <v>45874</v>
      </c>
      <c r="D371" s="443">
        <f>D366+1</f>
        <v>45874</v>
      </c>
      <c r="E371" s="246" t="s">
        <v>394</v>
      </c>
      <c r="F371" s="202">
        <v>281</v>
      </c>
      <c r="G371" s="203"/>
      <c r="H371" s="203"/>
      <c r="I371" s="263">
        <f t="shared" si="6"/>
        <v>281</v>
      </c>
    </row>
    <row r="372" spans="2:9" ht="15.75" hidden="1" customHeight="1" outlineLevel="1" thickBot="1" x14ac:dyDescent="0.3">
      <c r="B372" s="245">
        <f>IF(AND(F371&lt;&gt;"", B367&lt;&gt;""), B367+1, "")</f>
        <v>45874</v>
      </c>
      <c r="C372" s="409"/>
      <c r="D372" s="409"/>
      <c r="E372" s="246" t="s">
        <v>764</v>
      </c>
      <c r="F372" s="202">
        <v>1198</v>
      </c>
      <c r="G372" s="203"/>
      <c r="H372" s="203"/>
      <c r="I372" s="263">
        <f t="shared" si="6"/>
        <v>1198</v>
      </c>
    </row>
    <row r="373" spans="2:9" ht="15.75" hidden="1" customHeight="1" outlineLevel="1" thickBot="1" x14ac:dyDescent="0.3">
      <c r="B373" s="245">
        <f>IF(AND(F371&lt;&gt;"", B368&lt;&gt;""), B368+1, "")</f>
        <v>45874</v>
      </c>
      <c r="C373" s="409"/>
      <c r="D373" s="409"/>
      <c r="E373" s="246" t="s">
        <v>765</v>
      </c>
      <c r="F373" s="202">
        <v>3734</v>
      </c>
      <c r="G373" s="203"/>
      <c r="H373" s="203"/>
      <c r="I373" s="263">
        <f t="shared" si="6"/>
        <v>3734</v>
      </c>
    </row>
    <row r="374" spans="2:9" ht="15.75" hidden="1" customHeight="1" outlineLevel="1" thickBot="1" x14ac:dyDescent="0.3">
      <c r="B374" s="245">
        <f>IF(AND(F371&lt;&gt;"", B369&lt;&gt;""), B369+1, "")</f>
        <v>45874</v>
      </c>
      <c r="C374" s="409"/>
      <c r="D374" s="409"/>
      <c r="E374" s="246" t="s">
        <v>766</v>
      </c>
      <c r="F374" s="202">
        <v>0</v>
      </c>
      <c r="G374" s="203"/>
      <c r="H374" s="203"/>
      <c r="I374" s="263">
        <f t="shared" si="6"/>
        <v>0</v>
      </c>
    </row>
    <row r="375" spans="2:9" ht="15.75" hidden="1" customHeight="1" outlineLevel="1" thickBot="1" x14ac:dyDescent="0.3">
      <c r="B375" s="249">
        <f>IF(AND(F371&lt;&gt;"", B370&lt;&gt;""), B370+1, "")</f>
        <v>45874</v>
      </c>
      <c r="C375" s="416"/>
      <c r="D375" s="416"/>
      <c r="E375" s="250" t="s">
        <v>767</v>
      </c>
      <c r="F375" s="204">
        <v>300</v>
      </c>
      <c r="G375" s="205"/>
      <c r="H375" s="205"/>
      <c r="I375" s="264">
        <f t="shared" si="6"/>
        <v>300</v>
      </c>
    </row>
    <row r="376" spans="2:9" ht="15.75" hidden="1" customHeight="1" outlineLevel="1" thickBot="1" x14ac:dyDescent="0.3">
      <c r="B376" s="241">
        <f>IF(AND(F376&lt;&gt;"", B371&lt;&gt;""), B371+1, "")</f>
        <v>45875</v>
      </c>
      <c r="C376" s="442">
        <v>45875</v>
      </c>
      <c r="D376" s="443">
        <f>D371+1</f>
        <v>45875</v>
      </c>
      <c r="E376" s="246" t="s">
        <v>394</v>
      </c>
      <c r="F376" s="202">
        <v>281</v>
      </c>
      <c r="G376" s="203"/>
      <c r="H376" s="203"/>
      <c r="I376" s="263">
        <f t="shared" si="6"/>
        <v>281</v>
      </c>
    </row>
    <row r="377" spans="2:9" ht="15.75" hidden="1" customHeight="1" outlineLevel="1" thickBot="1" x14ac:dyDescent="0.3">
      <c r="B377" s="245">
        <f>IF(AND(F376&lt;&gt;"", B372&lt;&gt;""), B372+1, "")</f>
        <v>45875</v>
      </c>
      <c r="C377" s="409"/>
      <c r="D377" s="409"/>
      <c r="E377" s="246" t="s">
        <v>764</v>
      </c>
      <c r="F377" s="202">
        <v>1198</v>
      </c>
      <c r="G377" s="203"/>
      <c r="H377" s="203"/>
      <c r="I377" s="263">
        <f t="shared" si="6"/>
        <v>1198</v>
      </c>
    </row>
    <row r="378" spans="2:9" ht="15.75" hidden="1" customHeight="1" outlineLevel="1" thickBot="1" x14ac:dyDescent="0.3">
      <c r="B378" s="245">
        <f>IF(AND(F376&lt;&gt;"", B373&lt;&gt;""), B373+1, "")</f>
        <v>45875</v>
      </c>
      <c r="C378" s="409"/>
      <c r="D378" s="409"/>
      <c r="E378" s="246" t="s">
        <v>765</v>
      </c>
      <c r="F378" s="202">
        <v>3734</v>
      </c>
      <c r="G378" s="203">
        <v>470</v>
      </c>
      <c r="H378" s="203">
        <v>500</v>
      </c>
      <c r="I378" s="263">
        <f t="shared" si="6"/>
        <v>3704</v>
      </c>
    </row>
    <row r="379" spans="2:9" ht="15.75" hidden="1" customHeight="1" outlineLevel="1" thickBot="1" x14ac:dyDescent="0.3">
      <c r="B379" s="245">
        <f>IF(AND(F376&lt;&gt;"", B374&lt;&gt;""), B374+1, "")</f>
        <v>45875</v>
      </c>
      <c r="C379" s="409"/>
      <c r="D379" s="409"/>
      <c r="E379" s="246" t="s">
        <v>766</v>
      </c>
      <c r="F379" s="202">
        <v>0</v>
      </c>
      <c r="G379" s="203"/>
      <c r="H379" s="203"/>
      <c r="I379" s="263">
        <f t="shared" si="6"/>
        <v>0</v>
      </c>
    </row>
    <row r="380" spans="2:9" ht="15.75" hidden="1" customHeight="1" outlineLevel="1" thickBot="1" x14ac:dyDescent="0.3">
      <c r="B380" s="249">
        <f>IF(AND(F376&lt;&gt;"", B375&lt;&gt;""), B375+1, "")</f>
        <v>45875</v>
      </c>
      <c r="C380" s="416"/>
      <c r="D380" s="416"/>
      <c r="E380" s="250" t="s">
        <v>767</v>
      </c>
      <c r="F380" s="204">
        <v>300</v>
      </c>
      <c r="G380" s="205"/>
      <c r="H380" s="205"/>
      <c r="I380" s="264">
        <f t="shared" si="6"/>
        <v>300</v>
      </c>
    </row>
    <row r="381" spans="2:9" ht="15.75" hidden="1" customHeight="1" outlineLevel="1" thickBot="1" x14ac:dyDescent="0.3">
      <c r="B381" s="241">
        <f>IF(AND(F381&lt;&gt;"", B376&lt;&gt;""), B376+1, "")</f>
        <v>45876</v>
      </c>
      <c r="C381" s="442">
        <v>45876</v>
      </c>
      <c r="D381" s="443">
        <f>D376+1</f>
        <v>45876</v>
      </c>
      <c r="E381" s="246" t="s">
        <v>394</v>
      </c>
      <c r="F381" s="202">
        <v>281</v>
      </c>
      <c r="G381" s="203"/>
      <c r="H381" s="203"/>
      <c r="I381" s="263">
        <f t="shared" si="6"/>
        <v>281</v>
      </c>
    </row>
    <row r="382" spans="2:9" ht="15.75" hidden="1" customHeight="1" outlineLevel="1" thickBot="1" x14ac:dyDescent="0.3">
      <c r="B382" s="245">
        <f>IF(AND(F381&lt;&gt;"", B377&lt;&gt;""), B377+1, "")</f>
        <v>45876</v>
      </c>
      <c r="C382" s="409"/>
      <c r="D382" s="409"/>
      <c r="E382" s="246" t="s">
        <v>764</v>
      </c>
      <c r="F382" s="202">
        <v>1198</v>
      </c>
      <c r="G382" s="203"/>
      <c r="H382" s="203"/>
      <c r="I382" s="263">
        <f t="shared" si="6"/>
        <v>1198</v>
      </c>
    </row>
    <row r="383" spans="2:9" ht="15.75" hidden="1" customHeight="1" outlineLevel="1" thickBot="1" x14ac:dyDescent="0.3">
      <c r="B383" s="245">
        <f>IF(AND(F381&lt;&gt;"", B378&lt;&gt;""), B378+1, "")</f>
        <v>45876</v>
      </c>
      <c r="C383" s="409"/>
      <c r="D383" s="409"/>
      <c r="E383" s="246" t="s">
        <v>765</v>
      </c>
      <c r="F383" s="202">
        <v>3704</v>
      </c>
      <c r="G383" s="203">
        <v>470</v>
      </c>
      <c r="H383" s="203">
        <v>320</v>
      </c>
      <c r="I383" s="263">
        <f t="shared" si="6"/>
        <v>3854</v>
      </c>
    </row>
    <row r="384" spans="2:9" ht="15.75" hidden="1" customHeight="1" outlineLevel="1" thickBot="1" x14ac:dyDescent="0.3">
      <c r="B384" s="245">
        <f>IF(AND(F381&lt;&gt;"", B379&lt;&gt;""), B379+1, "")</f>
        <v>45876</v>
      </c>
      <c r="C384" s="409"/>
      <c r="D384" s="409"/>
      <c r="E384" s="246" t="s">
        <v>766</v>
      </c>
      <c r="F384" s="202">
        <v>0</v>
      </c>
      <c r="G384" s="203"/>
      <c r="H384" s="203"/>
      <c r="I384" s="263">
        <f t="shared" si="6"/>
        <v>0</v>
      </c>
    </row>
    <row r="385" spans="2:9" ht="15.75" hidden="1" customHeight="1" outlineLevel="1" thickBot="1" x14ac:dyDescent="0.3">
      <c r="B385" s="249">
        <f>IF(AND(F381&lt;&gt;"", B380&lt;&gt;""), B380+1, "")</f>
        <v>45876</v>
      </c>
      <c r="C385" s="416"/>
      <c r="D385" s="416"/>
      <c r="E385" s="250" t="s">
        <v>767</v>
      </c>
      <c r="F385" s="204">
        <v>300</v>
      </c>
      <c r="G385" s="205"/>
      <c r="H385" s="205"/>
      <c r="I385" s="264">
        <f t="shared" ref="I385:I407" si="7">F385+G385-H385</f>
        <v>300</v>
      </c>
    </row>
    <row r="386" spans="2:9" ht="15.75" hidden="1" customHeight="1" outlineLevel="1" thickBot="1" x14ac:dyDescent="0.3">
      <c r="B386" s="241">
        <f>IF(AND(F386&lt;&gt;"", B381&lt;&gt;""), B381+1, "")</f>
        <v>45877</v>
      </c>
      <c r="C386" s="442">
        <v>45877</v>
      </c>
      <c r="D386" s="443">
        <f>D381+1</f>
        <v>45877</v>
      </c>
      <c r="E386" s="246" t="s">
        <v>394</v>
      </c>
      <c r="F386" s="202">
        <v>0</v>
      </c>
      <c r="G386" s="203"/>
      <c r="H386" s="203"/>
      <c r="I386" s="263">
        <f t="shared" si="7"/>
        <v>0</v>
      </c>
    </row>
    <row r="387" spans="2:9" ht="15.75" hidden="1" customHeight="1" outlineLevel="1" thickBot="1" x14ac:dyDescent="0.3">
      <c r="B387" s="245">
        <f>IF(AND(F386&lt;&gt;"", B382&lt;&gt;""), B382+1, "")</f>
        <v>45877</v>
      </c>
      <c r="C387" s="409"/>
      <c r="D387" s="409"/>
      <c r="E387" s="246" t="s">
        <v>764</v>
      </c>
      <c r="F387" s="202">
        <v>0</v>
      </c>
      <c r="G387" s="203"/>
      <c r="H387" s="203"/>
      <c r="I387" s="263">
        <f t="shared" si="7"/>
        <v>0</v>
      </c>
    </row>
    <row r="388" spans="2:9" ht="15.75" hidden="1" customHeight="1" outlineLevel="1" thickBot="1" x14ac:dyDescent="0.3">
      <c r="B388" s="245">
        <f>IF(AND(F386&lt;&gt;"", B383&lt;&gt;""), B383+1, "")</f>
        <v>45877</v>
      </c>
      <c r="C388" s="409"/>
      <c r="D388" s="409"/>
      <c r="E388" s="246" t="s">
        <v>765</v>
      </c>
      <c r="F388" s="202">
        <v>0</v>
      </c>
      <c r="G388" s="203"/>
      <c r="H388" s="203"/>
      <c r="I388" s="263">
        <f t="shared" si="7"/>
        <v>0</v>
      </c>
    </row>
    <row r="389" spans="2:9" ht="15.75" hidden="1" customHeight="1" outlineLevel="1" thickBot="1" x14ac:dyDescent="0.3">
      <c r="B389" s="245">
        <f>IF(AND(F386&lt;&gt;"", B384&lt;&gt;""), B384+1, "")</f>
        <v>45877</v>
      </c>
      <c r="C389" s="409"/>
      <c r="D389" s="409"/>
      <c r="E389" s="246" t="s">
        <v>766</v>
      </c>
      <c r="F389" s="202">
        <v>0</v>
      </c>
      <c r="G389" s="203"/>
      <c r="H389" s="203"/>
      <c r="I389" s="263">
        <f t="shared" si="7"/>
        <v>0</v>
      </c>
    </row>
    <row r="390" spans="2:9" ht="15.75" hidden="1" customHeight="1" outlineLevel="1" thickBot="1" x14ac:dyDescent="0.3">
      <c r="B390" s="249">
        <f>IF(AND(F386&lt;&gt;"", B385&lt;&gt;""), B385+1, "")</f>
        <v>45877</v>
      </c>
      <c r="C390" s="416"/>
      <c r="D390" s="416"/>
      <c r="E390" s="250" t="s">
        <v>767</v>
      </c>
      <c r="F390" s="204">
        <v>0</v>
      </c>
      <c r="G390" s="205"/>
      <c r="H390" s="205"/>
      <c r="I390" s="264">
        <f t="shared" si="7"/>
        <v>0</v>
      </c>
    </row>
    <row r="391" spans="2:9" ht="15.75" hidden="1" customHeight="1" outlineLevel="1" thickBot="1" x14ac:dyDescent="0.3">
      <c r="B391" s="241">
        <f>IF(AND(F391&lt;&gt;"", B386&lt;&gt;""), B386+1, "")</f>
        <v>45878</v>
      </c>
      <c r="C391" s="442">
        <v>45878</v>
      </c>
      <c r="D391" s="443">
        <f>D386+1</f>
        <v>45878</v>
      </c>
      <c r="E391" s="246" t="s">
        <v>394</v>
      </c>
      <c r="F391" s="202">
        <v>281</v>
      </c>
      <c r="G391" s="203"/>
      <c r="H391" s="203"/>
      <c r="I391" s="263">
        <f t="shared" si="7"/>
        <v>281</v>
      </c>
    </row>
    <row r="392" spans="2:9" ht="15.75" hidden="1" customHeight="1" outlineLevel="1" thickBot="1" x14ac:dyDescent="0.3">
      <c r="B392" s="245">
        <f>IF(AND(F391&lt;&gt;"", B387&lt;&gt;""), B387+1, "")</f>
        <v>45878</v>
      </c>
      <c r="C392" s="409"/>
      <c r="D392" s="409"/>
      <c r="E392" s="246" t="s">
        <v>764</v>
      </c>
      <c r="F392" s="202">
        <v>1198</v>
      </c>
      <c r="G392" s="203"/>
      <c r="H392" s="203"/>
      <c r="I392" s="263">
        <f t="shared" si="7"/>
        <v>1198</v>
      </c>
    </row>
    <row r="393" spans="2:9" ht="15.75" hidden="1" customHeight="1" outlineLevel="1" thickBot="1" x14ac:dyDescent="0.3">
      <c r="B393" s="245">
        <f>IF(AND(F391&lt;&gt;"", B388&lt;&gt;""), B388+1, "")</f>
        <v>45878</v>
      </c>
      <c r="C393" s="409"/>
      <c r="D393" s="409"/>
      <c r="E393" s="246" t="s">
        <v>765</v>
      </c>
      <c r="F393" s="202">
        <v>3854</v>
      </c>
      <c r="G393" s="203">
        <v>460</v>
      </c>
      <c r="H393" s="203">
        <v>166</v>
      </c>
      <c r="I393" s="263">
        <f t="shared" si="7"/>
        <v>4148</v>
      </c>
    </row>
    <row r="394" spans="2:9" ht="15.75" hidden="1" customHeight="1" outlineLevel="1" thickBot="1" x14ac:dyDescent="0.3">
      <c r="B394" s="245">
        <f>IF(AND(F391&lt;&gt;"", B389&lt;&gt;""), B389+1, "")</f>
        <v>45878</v>
      </c>
      <c r="C394" s="409"/>
      <c r="D394" s="409"/>
      <c r="E394" s="246" t="s">
        <v>766</v>
      </c>
      <c r="F394" s="202">
        <v>0</v>
      </c>
      <c r="G394" s="203"/>
      <c r="H394" s="203"/>
      <c r="I394" s="263">
        <f t="shared" si="7"/>
        <v>0</v>
      </c>
    </row>
    <row r="395" spans="2:9" ht="15.75" hidden="1" customHeight="1" outlineLevel="1" thickBot="1" x14ac:dyDescent="0.3">
      <c r="B395" s="249">
        <f>IF(AND(F391&lt;&gt;"", B390&lt;&gt;""), B390+1, "")</f>
        <v>45878</v>
      </c>
      <c r="C395" s="416"/>
      <c r="D395" s="416"/>
      <c r="E395" s="250" t="s">
        <v>767</v>
      </c>
      <c r="F395" s="204">
        <v>300</v>
      </c>
      <c r="G395" s="205"/>
      <c r="H395" s="205"/>
      <c r="I395" s="264">
        <f t="shared" si="7"/>
        <v>300</v>
      </c>
    </row>
    <row r="396" spans="2:9" ht="15.75" hidden="1" customHeight="1" outlineLevel="1" thickBot="1" x14ac:dyDescent="0.3">
      <c r="B396" s="241">
        <f>IF(AND(F396&lt;&gt;"", B391&lt;&gt;""), B391+1, "")</f>
        <v>45879</v>
      </c>
      <c r="C396" s="442">
        <v>45879</v>
      </c>
      <c r="D396" s="443">
        <f>D391+1</f>
        <v>45879</v>
      </c>
      <c r="E396" s="246" t="s">
        <v>394</v>
      </c>
      <c r="F396" s="202">
        <v>281</v>
      </c>
      <c r="G396" s="203"/>
      <c r="H396" s="203"/>
      <c r="I396" s="263">
        <f t="shared" si="7"/>
        <v>281</v>
      </c>
    </row>
    <row r="397" spans="2:9" ht="15.75" hidden="1" customHeight="1" outlineLevel="1" thickBot="1" x14ac:dyDescent="0.3">
      <c r="B397" s="245">
        <f>IF(AND(F396&lt;&gt;"", B392&lt;&gt;""), B392+1, "")</f>
        <v>45879</v>
      </c>
      <c r="C397" s="409"/>
      <c r="D397" s="409"/>
      <c r="E397" s="246" t="s">
        <v>764</v>
      </c>
      <c r="F397" s="202">
        <v>1198</v>
      </c>
      <c r="G397" s="203"/>
      <c r="H397" s="203"/>
      <c r="I397" s="263">
        <f t="shared" si="7"/>
        <v>1198</v>
      </c>
    </row>
    <row r="398" spans="2:9" ht="15.75" hidden="1" customHeight="1" outlineLevel="1" thickBot="1" x14ac:dyDescent="0.3">
      <c r="B398" s="245">
        <f>IF(AND(F396&lt;&gt;"", B393&lt;&gt;""), B393+1, "")</f>
        <v>45879</v>
      </c>
      <c r="C398" s="409"/>
      <c r="D398" s="409"/>
      <c r="E398" s="246" t="s">
        <v>765</v>
      </c>
      <c r="F398" s="202">
        <v>4148</v>
      </c>
      <c r="G398" s="203">
        <v>470</v>
      </c>
      <c r="H398" s="203">
        <v>145</v>
      </c>
      <c r="I398" s="263">
        <f t="shared" si="7"/>
        <v>4473</v>
      </c>
    </row>
    <row r="399" spans="2:9" ht="15.75" hidden="1" customHeight="1" outlineLevel="1" thickBot="1" x14ac:dyDescent="0.3">
      <c r="B399" s="245">
        <f>IF(AND(F396&lt;&gt;"", B394&lt;&gt;""), B394+1, "")</f>
        <v>45879</v>
      </c>
      <c r="C399" s="409"/>
      <c r="D399" s="409"/>
      <c r="E399" s="246" t="s">
        <v>766</v>
      </c>
      <c r="F399" s="202">
        <v>0</v>
      </c>
      <c r="G399" s="203"/>
      <c r="H399" s="203"/>
      <c r="I399" s="263">
        <f t="shared" si="7"/>
        <v>0</v>
      </c>
    </row>
    <row r="400" spans="2:9" ht="15.75" hidden="1" customHeight="1" outlineLevel="1" thickBot="1" x14ac:dyDescent="0.3">
      <c r="B400" s="249">
        <f>IF(AND(F396&lt;&gt;"", B395&lt;&gt;""), B395+1, "")</f>
        <v>45879</v>
      </c>
      <c r="C400" s="416"/>
      <c r="D400" s="416"/>
      <c r="E400" s="250" t="s">
        <v>767</v>
      </c>
      <c r="F400" s="204">
        <v>300</v>
      </c>
      <c r="G400" s="205"/>
      <c r="H400" s="205"/>
      <c r="I400" s="264">
        <f t="shared" si="7"/>
        <v>300</v>
      </c>
    </row>
    <row r="401" spans="2:9" ht="15.75" hidden="1" customHeight="1" outlineLevel="1" thickBot="1" x14ac:dyDescent="0.3">
      <c r="B401" s="241">
        <f>IF(AND(F401&lt;&gt;"", B396&lt;&gt;""), B396+1, "")</f>
        <v>45880</v>
      </c>
      <c r="C401" s="442">
        <v>45880</v>
      </c>
      <c r="D401" s="443">
        <f>D396+1</f>
        <v>45880</v>
      </c>
      <c r="E401" s="246" t="s">
        <v>394</v>
      </c>
      <c r="F401" s="202">
        <v>281</v>
      </c>
      <c r="G401" s="203"/>
      <c r="H401" s="203">
        <v>281</v>
      </c>
      <c r="I401" s="263">
        <f t="shared" si="7"/>
        <v>0</v>
      </c>
    </row>
    <row r="402" spans="2:9" ht="15.75" hidden="1" customHeight="1" outlineLevel="1" thickBot="1" x14ac:dyDescent="0.3">
      <c r="B402" s="245">
        <f>IF(AND(F401&lt;&gt;"", B397&lt;&gt;""), B397+1, "")</f>
        <v>45880</v>
      </c>
      <c r="C402" s="409"/>
      <c r="D402" s="409"/>
      <c r="E402" s="246" t="s">
        <v>764</v>
      </c>
      <c r="F402" s="202">
        <v>1198</v>
      </c>
      <c r="G402" s="203"/>
      <c r="H402" s="203">
        <v>1198</v>
      </c>
      <c r="I402" s="263">
        <f t="shared" si="7"/>
        <v>0</v>
      </c>
    </row>
    <row r="403" spans="2:9" ht="15.75" hidden="1" customHeight="1" outlineLevel="1" thickBot="1" x14ac:dyDescent="0.3">
      <c r="B403" s="245">
        <f>IF(AND(F401&lt;&gt;"", B398&lt;&gt;""), B398+1, "")</f>
        <v>45880</v>
      </c>
      <c r="C403" s="409"/>
      <c r="D403" s="409"/>
      <c r="E403" s="246" t="s">
        <v>765</v>
      </c>
      <c r="F403" s="202">
        <v>4473</v>
      </c>
      <c r="G403" s="203">
        <v>470</v>
      </c>
      <c r="H403" s="203"/>
      <c r="I403" s="263">
        <f t="shared" si="7"/>
        <v>4943</v>
      </c>
    </row>
    <row r="404" spans="2:9" ht="15.75" hidden="1" customHeight="1" outlineLevel="1" thickBot="1" x14ac:dyDescent="0.3">
      <c r="B404" s="245">
        <f>IF(AND(F401&lt;&gt;"", B399&lt;&gt;""), B399+1, "")</f>
        <v>45880</v>
      </c>
      <c r="C404" s="409"/>
      <c r="D404" s="409"/>
      <c r="E404" s="246" t="s">
        <v>766</v>
      </c>
      <c r="F404" s="202">
        <v>0</v>
      </c>
      <c r="G404" s="203"/>
      <c r="H404" s="203"/>
      <c r="I404" s="263">
        <f t="shared" si="7"/>
        <v>0</v>
      </c>
    </row>
    <row r="405" spans="2:9" ht="15.75" hidden="1" customHeight="1" outlineLevel="1" thickBot="1" x14ac:dyDescent="0.3">
      <c r="B405" s="249">
        <f>IF(AND(F401&lt;&gt;"", B400&lt;&gt;""), B400+1, "")</f>
        <v>45880</v>
      </c>
      <c r="C405" s="416"/>
      <c r="D405" s="416"/>
      <c r="E405" s="250" t="s">
        <v>767</v>
      </c>
      <c r="F405" s="204">
        <v>300</v>
      </c>
      <c r="G405" s="205"/>
      <c r="H405" s="205"/>
      <c r="I405" s="264">
        <f t="shared" si="7"/>
        <v>300</v>
      </c>
    </row>
    <row r="406" spans="2:9" ht="15.75" hidden="1" customHeight="1" outlineLevel="1" thickBot="1" x14ac:dyDescent="0.3">
      <c r="B406" s="241">
        <f>IF(AND(F406&lt;&gt;"", B401&lt;&gt;""), B401+1, "")</f>
        <v>45881</v>
      </c>
      <c r="C406" s="442">
        <v>45881</v>
      </c>
      <c r="D406" s="443">
        <f>D401+1</f>
        <v>45881</v>
      </c>
      <c r="E406" s="246" t="s">
        <v>394</v>
      </c>
      <c r="F406" s="202">
        <v>0</v>
      </c>
      <c r="G406" s="203"/>
      <c r="H406" s="203"/>
      <c r="I406" s="263">
        <f t="shared" si="7"/>
        <v>0</v>
      </c>
    </row>
    <row r="407" spans="2:9" ht="15.75" hidden="1" customHeight="1" outlineLevel="1" thickBot="1" x14ac:dyDescent="0.3">
      <c r="B407" s="245">
        <f>IF(AND(F406&lt;&gt;"", B402&lt;&gt;""), B402+1, "")</f>
        <v>45881</v>
      </c>
      <c r="C407" s="409"/>
      <c r="D407" s="409"/>
      <c r="E407" s="246" t="s">
        <v>764</v>
      </c>
      <c r="F407" s="202">
        <v>1198</v>
      </c>
      <c r="G407" s="203"/>
      <c r="H407" s="203">
        <v>1198</v>
      </c>
      <c r="I407" s="263">
        <f t="shared" si="7"/>
        <v>0</v>
      </c>
    </row>
    <row r="408" spans="2:9" ht="15.75" hidden="1" customHeight="1" outlineLevel="1" thickBot="1" x14ac:dyDescent="0.3">
      <c r="B408" s="245">
        <f>IF(AND(F406&lt;&gt;"", B403&lt;&gt;""), B403+1, "")</f>
        <v>45881</v>
      </c>
      <c r="C408" s="409"/>
      <c r="D408" s="409"/>
      <c r="E408" s="246" t="s">
        <v>765</v>
      </c>
      <c r="F408" s="202">
        <v>3062</v>
      </c>
      <c r="G408" s="203">
        <v>470</v>
      </c>
      <c r="H408" s="203">
        <v>0</v>
      </c>
      <c r="I408" s="263">
        <v>3532</v>
      </c>
    </row>
    <row r="409" spans="2:9" ht="15.75" hidden="1" customHeight="1" outlineLevel="1" thickBot="1" x14ac:dyDescent="0.3">
      <c r="B409" s="245">
        <f>IF(AND(F406&lt;&gt;"", B404&lt;&gt;""), B404+1, "")</f>
        <v>45881</v>
      </c>
      <c r="C409" s="409"/>
      <c r="D409" s="409"/>
      <c r="E409" s="246" t="s">
        <v>766</v>
      </c>
      <c r="F409" s="202">
        <v>0</v>
      </c>
      <c r="G409" s="203"/>
      <c r="H409" s="203"/>
      <c r="I409" s="263">
        <f t="shared" ref="I409:I440" si="8">F409+G409-H409</f>
        <v>0</v>
      </c>
    </row>
    <row r="410" spans="2:9" ht="15.75" hidden="1" customHeight="1" outlineLevel="1" thickBot="1" x14ac:dyDescent="0.3">
      <c r="B410" s="249">
        <f>IF(AND(F406&lt;&gt;"", B405&lt;&gt;""), B405+1, "")</f>
        <v>45881</v>
      </c>
      <c r="C410" s="416"/>
      <c r="D410" s="416"/>
      <c r="E410" s="250" t="s">
        <v>767</v>
      </c>
      <c r="F410" s="204">
        <v>300</v>
      </c>
      <c r="G410" s="205"/>
      <c r="H410" s="205"/>
      <c r="I410" s="264">
        <f t="shared" si="8"/>
        <v>300</v>
      </c>
    </row>
    <row r="411" spans="2:9" ht="15.75" hidden="1" customHeight="1" outlineLevel="1" thickBot="1" x14ac:dyDescent="0.3">
      <c r="B411" s="241">
        <f>IF(AND(F411&lt;&gt;"", B406&lt;&gt;""), B406+1, "")</f>
        <v>45882</v>
      </c>
      <c r="C411" s="442">
        <v>45882</v>
      </c>
      <c r="D411" s="443">
        <f>D406+1</f>
        <v>45882</v>
      </c>
      <c r="E411" s="246" t="s">
        <v>394</v>
      </c>
      <c r="F411" s="202">
        <v>0</v>
      </c>
      <c r="G411" s="203"/>
      <c r="H411" s="203"/>
      <c r="I411" s="263">
        <f t="shared" si="8"/>
        <v>0</v>
      </c>
    </row>
    <row r="412" spans="2:9" ht="15.75" hidden="1" customHeight="1" outlineLevel="1" thickBot="1" x14ac:dyDescent="0.3">
      <c r="B412" s="245">
        <f>IF(AND(F411&lt;&gt;"", B407&lt;&gt;""), B407+1, "")</f>
        <v>45882</v>
      </c>
      <c r="C412" s="409"/>
      <c r="D412" s="409"/>
      <c r="E412" s="246" t="s">
        <v>764</v>
      </c>
      <c r="F412" s="202">
        <v>0</v>
      </c>
      <c r="G412" s="203"/>
      <c r="H412" s="203"/>
      <c r="I412" s="263">
        <f t="shared" si="8"/>
        <v>0</v>
      </c>
    </row>
    <row r="413" spans="2:9" ht="15.75" hidden="1" customHeight="1" outlineLevel="1" thickBot="1" x14ac:dyDescent="0.3">
      <c r="B413" s="245">
        <f>IF(AND(F411&lt;&gt;"", B408&lt;&gt;""), B408+1, "")</f>
        <v>45882</v>
      </c>
      <c r="C413" s="409"/>
      <c r="D413" s="409"/>
      <c r="E413" s="246" t="s">
        <v>765</v>
      </c>
      <c r="F413" s="202">
        <v>3532</v>
      </c>
      <c r="G413" s="203">
        <v>440</v>
      </c>
      <c r="H413" s="203"/>
      <c r="I413" s="263">
        <f t="shared" si="8"/>
        <v>3972</v>
      </c>
    </row>
    <row r="414" spans="2:9" ht="15.75" hidden="1" customHeight="1" outlineLevel="1" thickBot="1" x14ac:dyDescent="0.3">
      <c r="B414" s="245">
        <f>IF(AND(F411&lt;&gt;"", B409&lt;&gt;""), B409+1, "")</f>
        <v>45882</v>
      </c>
      <c r="C414" s="409"/>
      <c r="D414" s="409"/>
      <c r="E414" s="246" t="s">
        <v>766</v>
      </c>
      <c r="F414" s="202">
        <v>0</v>
      </c>
      <c r="G414" s="203"/>
      <c r="H414" s="203"/>
      <c r="I414" s="263">
        <f t="shared" si="8"/>
        <v>0</v>
      </c>
    </row>
    <row r="415" spans="2:9" ht="15.75" hidden="1" customHeight="1" outlineLevel="1" thickBot="1" x14ac:dyDescent="0.3">
      <c r="B415" s="249">
        <f>IF(AND(F411&lt;&gt;"", B410&lt;&gt;""), B410+1, "")</f>
        <v>45882</v>
      </c>
      <c r="C415" s="416"/>
      <c r="D415" s="416"/>
      <c r="E415" s="250" t="s">
        <v>767</v>
      </c>
      <c r="F415" s="204">
        <v>300</v>
      </c>
      <c r="G415" s="205"/>
      <c r="H415" s="205"/>
      <c r="I415" s="264">
        <f t="shared" si="8"/>
        <v>300</v>
      </c>
    </row>
    <row r="416" spans="2:9" ht="15.75" hidden="1" customHeight="1" outlineLevel="1" thickBot="1" x14ac:dyDescent="0.3">
      <c r="B416" s="241">
        <f>IF(AND(F416&lt;&gt;"", B411&lt;&gt;""), B411+1, "")</f>
        <v>45883</v>
      </c>
      <c r="C416" s="442">
        <v>45883</v>
      </c>
      <c r="D416" s="443">
        <f>D411+1</f>
        <v>45883</v>
      </c>
      <c r="E416" s="246" t="s">
        <v>394</v>
      </c>
      <c r="F416" s="202">
        <v>0</v>
      </c>
      <c r="G416" s="203"/>
      <c r="H416" s="203"/>
      <c r="I416" s="263">
        <f t="shared" si="8"/>
        <v>0</v>
      </c>
    </row>
    <row r="417" spans="2:9" ht="15.75" hidden="1" customHeight="1" outlineLevel="1" thickBot="1" x14ac:dyDescent="0.3">
      <c r="B417" s="245">
        <f>IF(AND(F416&lt;&gt;"", B412&lt;&gt;""), B412+1, "")</f>
        <v>45883</v>
      </c>
      <c r="C417" s="409"/>
      <c r="D417" s="409"/>
      <c r="E417" s="246" t="s">
        <v>764</v>
      </c>
      <c r="F417" s="202">
        <v>0</v>
      </c>
      <c r="G417" s="203"/>
      <c r="H417" s="203"/>
      <c r="I417" s="263">
        <f t="shared" si="8"/>
        <v>0</v>
      </c>
    </row>
    <row r="418" spans="2:9" ht="15.75" hidden="1" customHeight="1" outlineLevel="1" thickBot="1" x14ac:dyDescent="0.3">
      <c r="B418" s="245">
        <f>IF(AND(F416&lt;&gt;"", B413&lt;&gt;""), B413+1, "")</f>
        <v>45883</v>
      </c>
      <c r="C418" s="409"/>
      <c r="D418" s="409"/>
      <c r="E418" s="246" t="s">
        <v>765</v>
      </c>
      <c r="F418" s="202">
        <v>3972</v>
      </c>
      <c r="G418" s="203">
        <v>103</v>
      </c>
      <c r="H418" s="203">
        <v>400</v>
      </c>
      <c r="I418" s="263">
        <f t="shared" si="8"/>
        <v>3675</v>
      </c>
    </row>
    <row r="419" spans="2:9" ht="15.75" hidden="1" customHeight="1" outlineLevel="1" thickBot="1" x14ac:dyDescent="0.3">
      <c r="B419" s="245">
        <f>IF(AND(F416&lt;&gt;"", B414&lt;&gt;""), B414+1, "")</f>
        <v>45883</v>
      </c>
      <c r="C419" s="409"/>
      <c r="D419" s="409"/>
      <c r="E419" s="246" t="s">
        <v>766</v>
      </c>
      <c r="F419" s="202">
        <v>0</v>
      </c>
      <c r="G419" s="203"/>
      <c r="H419" s="203"/>
      <c r="I419" s="263">
        <f t="shared" si="8"/>
        <v>0</v>
      </c>
    </row>
    <row r="420" spans="2:9" ht="15.75" hidden="1" customHeight="1" outlineLevel="1" thickBot="1" x14ac:dyDescent="0.3">
      <c r="B420" s="249">
        <f>IF(AND(F416&lt;&gt;"", B415&lt;&gt;""), B415+1, "")</f>
        <v>45883</v>
      </c>
      <c r="C420" s="416"/>
      <c r="D420" s="416"/>
      <c r="E420" s="250" t="s">
        <v>767</v>
      </c>
      <c r="F420" s="204">
        <v>300</v>
      </c>
      <c r="G420" s="205"/>
      <c r="H420" s="205"/>
      <c r="I420" s="264">
        <f t="shared" si="8"/>
        <v>300</v>
      </c>
    </row>
    <row r="421" spans="2:9" ht="15.75" hidden="1" customHeight="1" outlineLevel="1" thickBot="1" x14ac:dyDescent="0.3">
      <c r="B421" s="241">
        <f>IF(AND(F421&lt;&gt;"", B416&lt;&gt;""), B416+1, "")</f>
        <v>45884</v>
      </c>
      <c r="C421" s="442">
        <v>45884</v>
      </c>
      <c r="D421" s="443">
        <f>D416+1</f>
        <v>45884</v>
      </c>
      <c r="E421" s="246" t="s">
        <v>394</v>
      </c>
      <c r="F421" s="202">
        <v>0</v>
      </c>
      <c r="G421" s="203"/>
      <c r="H421" s="203"/>
      <c r="I421" s="263">
        <f t="shared" si="8"/>
        <v>0</v>
      </c>
    </row>
    <row r="422" spans="2:9" ht="15.75" hidden="1" customHeight="1" outlineLevel="1" thickBot="1" x14ac:dyDescent="0.3">
      <c r="B422" s="245">
        <f>IF(AND(F421&lt;&gt;"", B417&lt;&gt;""), B417+1, "")</f>
        <v>45884</v>
      </c>
      <c r="C422" s="409"/>
      <c r="D422" s="409"/>
      <c r="E422" s="246" t="s">
        <v>764</v>
      </c>
      <c r="F422" s="202">
        <v>0</v>
      </c>
      <c r="G422" s="203"/>
      <c r="H422" s="203"/>
      <c r="I422" s="263">
        <f t="shared" si="8"/>
        <v>0</v>
      </c>
    </row>
    <row r="423" spans="2:9" ht="15.75" hidden="1" customHeight="1" outlineLevel="1" thickBot="1" x14ac:dyDescent="0.3">
      <c r="B423" s="245">
        <f>IF(AND(F421&lt;&gt;"", B418&lt;&gt;""), B418+1, "")</f>
        <v>45884</v>
      </c>
      <c r="C423" s="409"/>
      <c r="D423" s="409"/>
      <c r="E423" s="246" t="s">
        <v>765</v>
      </c>
      <c r="F423" s="202">
        <v>3675</v>
      </c>
      <c r="G423" s="203"/>
      <c r="H423" s="203"/>
      <c r="I423" s="263">
        <f t="shared" si="8"/>
        <v>3675</v>
      </c>
    </row>
    <row r="424" spans="2:9" ht="15.75" hidden="1" customHeight="1" outlineLevel="1" thickBot="1" x14ac:dyDescent="0.3">
      <c r="B424" s="245">
        <f>IF(AND(F421&lt;&gt;"", B419&lt;&gt;""), B419+1, "")</f>
        <v>45884</v>
      </c>
      <c r="C424" s="409"/>
      <c r="D424" s="409"/>
      <c r="E424" s="246" t="s">
        <v>766</v>
      </c>
      <c r="F424" s="202">
        <v>0</v>
      </c>
      <c r="G424" s="203"/>
      <c r="H424" s="203"/>
      <c r="I424" s="263">
        <f t="shared" si="8"/>
        <v>0</v>
      </c>
    </row>
    <row r="425" spans="2:9" ht="15.75" hidden="1" customHeight="1" outlineLevel="1" thickBot="1" x14ac:dyDescent="0.3">
      <c r="B425" s="249">
        <f>IF(AND(F421&lt;&gt;"", B420&lt;&gt;""), B420+1, "")</f>
        <v>45884</v>
      </c>
      <c r="C425" s="416"/>
      <c r="D425" s="416"/>
      <c r="E425" s="250" t="s">
        <v>767</v>
      </c>
      <c r="F425" s="204">
        <v>300</v>
      </c>
      <c r="G425" s="205"/>
      <c r="H425" s="205"/>
      <c r="I425" s="264">
        <f t="shared" si="8"/>
        <v>300</v>
      </c>
    </row>
    <row r="426" spans="2:9" ht="15.75" hidden="1" customHeight="1" outlineLevel="1" thickBot="1" x14ac:dyDescent="0.3">
      <c r="B426" s="241">
        <f>IF(AND(F426&lt;&gt;"", B421&lt;&gt;""), B421+1, "")</f>
        <v>45885</v>
      </c>
      <c r="C426" s="442">
        <v>45885</v>
      </c>
      <c r="D426" s="443">
        <f>D421+1</f>
        <v>45885</v>
      </c>
      <c r="E426" s="246" t="s">
        <v>394</v>
      </c>
      <c r="F426" s="202">
        <v>0</v>
      </c>
      <c r="G426" s="203"/>
      <c r="H426" s="203"/>
      <c r="I426" s="263">
        <f t="shared" si="8"/>
        <v>0</v>
      </c>
    </row>
    <row r="427" spans="2:9" ht="15.75" hidden="1" customHeight="1" outlineLevel="1" thickBot="1" x14ac:dyDescent="0.3">
      <c r="B427" s="245">
        <f>IF(AND(F426&lt;&gt;"", B422&lt;&gt;""), B422+1, "")</f>
        <v>45885</v>
      </c>
      <c r="C427" s="409"/>
      <c r="D427" s="409"/>
      <c r="E427" s="246" t="s">
        <v>764</v>
      </c>
      <c r="F427" s="202">
        <v>0</v>
      </c>
      <c r="G427" s="203"/>
      <c r="H427" s="203"/>
      <c r="I427" s="263">
        <f t="shared" si="8"/>
        <v>0</v>
      </c>
    </row>
    <row r="428" spans="2:9" ht="15.75" hidden="1" customHeight="1" outlineLevel="1" thickBot="1" x14ac:dyDescent="0.3">
      <c r="B428" s="245">
        <f>IF(AND(F426&lt;&gt;"", B423&lt;&gt;""), B423+1, "")</f>
        <v>45885</v>
      </c>
      <c r="C428" s="409"/>
      <c r="D428" s="409"/>
      <c r="E428" s="246" t="s">
        <v>765</v>
      </c>
      <c r="F428" s="202">
        <v>3675</v>
      </c>
      <c r="G428" s="203"/>
      <c r="H428" s="203">
        <v>681</v>
      </c>
      <c r="I428" s="263">
        <f t="shared" si="8"/>
        <v>2994</v>
      </c>
    </row>
    <row r="429" spans="2:9" ht="15.75" hidden="1" customHeight="1" outlineLevel="1" thickBot="1" x14ac:dyDescent="0.3">
      <c r="B429" s="245">
        <f>IF(AND(F426&lt;&gt;"", B424&lt;&gt;""), B424+1, "")</f>
        <v>45885</v>
      </c>
      <c r="C429" s="409"/>
      <c r="D429" s="409"/>
      <c r="E429" s="246" t="s">
        <v>766</v>
      </c>
      <c r="F429" s="202">
        <v>0</v>
      </c>
      <c r="G429" s="203"/>
      <c r="H429" s="203"/>
      <c r="I429" s="263">
        <f t="shared" si="8"/>
        <v>0</v>
      </c>
    </row>
    <row r="430" spans="2:9" ht="15.75" hidden="1" customHeight="1" outlineLevel="1" thickBot="1" x14ac:dyDescent="0.3">
      <c r="B430" s="249">
        <f>IF(AND(F426&lt;&gt;"", B425&lt;&gt;""), B425+1, "")</f>
        <v>45885</v>
      </c>
      <c r="C430" s="416"/>
      <c r="D430" s="416"/>
      <c r="E430" s="250" t="s">
        <v>767</v>
      </c>
      <c r="F430" s="204">
        <v>300</v>
      </c>
      <c r="G430" s="205"/>
      <c r="H430" s="205"/>
      <c r="I430" s="264">
        <f t="shared" si="8"/>
        <v>300</v>
      </c>
    </row>
    <row r="431" spans="2:9" ht="15.75" hidden="1" customHeight="1" outlineLevel="1" thickBot="1" x14ac:dyDescent="0.3">
      <c r="B431" s="241">
        <f>IF(AND(F431&lt;&gt;"", B426&lt;&gt;""), B426+1, "")</f>
        <v>45886</v>
      </c>
      <c r="C431" s="442">
        <v>45886</v>
      </c>
      <c r="D431" s="443">
        <f>D426+1</f>
        <v>45886</v>
      </c>
      <c r="E431" s="246" t="s">
        <v>394</v>
      </c>
      <c r="F431" s="202">
        <v>0</v>
      </c>
      <c r="G431" s="203"/>
      <c r="H431" s="203"/>
      <c r="I431" s="263">
        <f t="shared" si="8"/>
        <v>0</v>
      </c>
    </row>
    <row r="432" spans="2:9" ht="15.75" hidden="1" customHeight="1" outlineLevel="1" thickBot="1" x14ac:dyDescent="0.3">
      <c r="B432" s="245">
        <f>IF(AND(F431&lt;&gt;"", B427&lt;&gt;""), B427+1, "")</f>
        <v>45886</v>
      </c>
      <c r="C432" s="409"/>
      <c r="D432" s="409"/>
      <c r="E432" s="246" t="s">
        <v>764</v>
      </c>
      <c r="F432" s="202">
        <v>0</v>
      </c>
      <c r="G432" s="203"/>
      <c r="H432" s="203"/>
      <c r="I432" s="263">
        <f t="shared" si="8"/>
        <v>0</v>
      </c>
    </row>
    <row r="433" spans="2:9" ht="15.75" hidden="1" customHeight="1" outlineLevel="1" thickBot="1" x14ac:dyDescent="0.3">
      <c r="B433" s="245">
        <f>IF(AND(F431&lt;&gt;"", B428&lt;&gt;""), B428+1, "")</f>
        <v>45886</v>
      </c>
      <c r="C433" s="409"/>
      <c r="D433" s="409"/>
      <c r="E433" s="246" t="s">
        <v>765</v>
      </c>
      <c r="F433" s="202">
        <v>2994</v>
      </c>
      <c r="G433" s="203"/>
      <c r="H433" s="203">
        <v>600</v>
      </c>
      <c r="I433" s="263">
        <f t="shared" si="8"/>
        <v>2394</v>
      </c>
    </row>
    <row r="434" spans="2:9" ht="15.75" hidden="1" customHeight="1" outlineLevel="1" thickBot="1" x14ac:dyDescent="0.3">
      <c r="B434" s="245">
        <f>IF(AND(F431&lt;&gt;"", B429&lt;&gt;""), B429+1, "")</f>
        <v>45886</v>
      </c>
      <c r="C434" s="409"/>
      <c r="D434" s="409"/>
      <c r="E434" s="246" t="s">
        <v>766</v>
      </c>
      <c r="F434" s="202">
        <v>0</v>
      </c>
      <c r="G434" s="203"/>
      <c r="H434" s="203"/>
      <c r="I434" s="263">
        <f t="shared" si="8"/>
        <v>0</v>
      </c>
    </row>
    <row r="435" spans="2:9" ht="15.75" hidden="1" customHeight="1" outlineLevel="1" thickBot="1" x14ac:dyDescent="0.3">
      <c r="B435" s="249">
        <f>IF(AND(F431&lt;&gt;"", B430&lt;&gt;""), B430+1, "")</f>
        <v>45886</v>
      </c>
      <c r="C435" s="416"/>
      <c r="D435" s="416"/>
      <c r="E435" s="250" t="s">
        <v>767</v>
      </c>
      <c r="F435" s="204">
        <v>300</v>
      </c>
      <c r="G435" s="205"/>
      <c r="H435" s="205"/>
      <c r="I435" s="264">
        <f t="shared" si="8"/>
        <v>300</v>
      </c>
    </row>
    <row r="436" spans="2:9" ht="15.75" hidden="1" customHeight="1" outlineLevel="1" thickBot="1" x14ac:dyDescent="0.3">
      <c r="B436" s="241">
        <f>IF(AND(F436&lt;&gt;"", B431&lt;&gt;""), B431+1, "")</f>
        <v>45887</v>
      </c>
      <c r="C436" s="442">
        <v>45887</v>
      </c>
      <c r="D436" s="443">
        <f>D431+1</f>
        <v>45887</v>
      </c>
      <c r="E436" s="246" t="s">
        <v>394</v>
      </c>
      <c r="F436" s="202">
        <v>0</v>
      </c>
      <c r="G436" s="203"/>
      <c r="H436" s="203"/>
      <c r="I436" s="263">
        <f t="shared" si="8"/>
        <v>0</v>
      </c>
    </row>
    <row r="437" spans="2:9" ht="15.75" hidden="1" customHeight="1" outlineLevel="1" thickBot="1" x14ac:dyDescent="0.3">
      <c r="B437" s="245">
        <f>IF(AND(F436&lt;&gt;"", B432&lt;&gt;""), B432+1, "")</f>
        <v>45887</v>
      </c>
      <c r="C437" s="409"/>
      <c r="D437" s="409"/>
      <c r="E437" s="246" t="s">
        <v>764</v>
      </c>
      <c r="F437" s="202">
        <v>0</v>
      </c>
      <c r="G437" s="203"/>
      <c r="H437" s="203"/>
      <c r="I437" s="263">
        <f t="shared" si="8"/>
        <v>0</v>
      </c>
    </row>
    <row r="438" spans="2:9" ht="15.75" hidden="1" customHeight="1" outlineLevel="1" thickBot="1" x14ac:dyDescent="0.3">
      <c r="B438" s="245">
        <f>IF(AND(F436&lt;&gt;"", B433&lt;&gt;""), B433+1, "")</f>
        <v>45887</v>
      </c>
      <c r="C438" s="409"/>
      <c r="D438" s="409"/>
      <c r="E438" s="246" t="s">
        <v>765</v>
      </c>
      <c r="F438" s="202">
        <v>2394</v>
      </c>
      <c r="G438" s="203"/>
      <c r="H438" s="203">
        <v>500</v>
      </c>
      <c r="I438" s="263">
        <f t="shared" si="8"/>
        <v>1894</v>
      </c>
    </row>
    <row r="439" spans="2:9" ht="15.75" hidden="1" customHeight="1" outlineLevel="1" thickBot="1" x14ac:dyDescent="0.3">
      <c r="B439" s="245">
        <f>IF(AND(F436&lt;&gt;"", B434&lt;&gt;""), B434+1, "")</f>
        <v>45887</v>
      </c>
      <c r="C439" s="409"/>
      <c r="D439" s="409"/>
      <c r="E439" s="246" t="s">
        <v>766</v>
      </c>
      <c r="F439" s="202">
        <v>0</v>
      </c>
      <c r="G439" s="203"/>
      <c r="H439" s="203"/>
      <c r="I439" s="263">
        <f t="shared" si="8"/>
        <v>0</v>
      </c>
    </row>
    <row r="440" spans="2:9" ht="15.75" hidden="1" customHeight="1" outlineLevel="1" thickBot="1" x14ac:dyDescent="0.3">
      <c r="B440" s="249">
        <f>IF(AND(F436&lt;&gt;"", B435&lt;&gt;""), B435+1, "")</f>
        <v>45887</v>
      </c>
      <c r="C440" s="416"/>
      <c r="D440" s="416"/>
      <c r="E440" s="250" t="s">
        <v>767</v>
      </c>
      <c r="F440" s="204">
        <v>300</v>
      </c>
      <c r="G440" s="205"/>
      <c r="H440" s="205"/>
      <c r="I440" s="264">
        <f t="shared" si="8"/>
        <v>300</v>
      </c>
    </row>
    <row r="441" spans="2:9" ht="15.75" hidden="1" customHeight="1" outlineLevel="1" thickBot="1" x14ac:dyDescent="0.3">
      <c r="B441" s="241">
        <f>IF(AND(F441&lt;&gt;"", B436&lt;&gt;""), B436+1, "")</f>
        <v>45888</v>
      </c>
      <c r="C441" s="442">
        <v>45888</v>
      </c>
      <c r="D441" s="443">
        <f>D436+1</f>
        <v>45888</v>
      </c>
      <c r="E441" s="246" t="s">
        <v>394</v>
      </c>
      <c r="F441" s="202">
        <v>0</v>
      </c>
      <c r="G441" s="203"/>
      <c r="H441" s="203"/>
      <c r="I441" s="263">
        <f t="shared" ref="I441:I457" si="9">F441+G441-H441</f>
        <v>0</v>
      </c>
    </row>
    <row r="442" spans="2:9" ht="15.75" hidden="1" customHeight="1" outlineLevel="1" thickBot="1" x14ac:dyDescent="0.3">
      <c r="B442" s="245">
        <f>IF(AND(F441&lt;&gt;"", B437&lt;&gt;""), B437+1, "")</f>
        <v>45888</v>
      </c>
      <c r="C442" s="409"/>
      <c r="D442" s="409"/>
      <c r="E442" s="246" t="s">
        <v>764</v>
      </c>
      <c r="F442" s="202">
        <v>0</v>
      </c>
      <c r="G442" s="203"/>
      <c r="H442" s="203"/>
      <c r="I442" s="263">
        <f t="shared" si="9"/>
        <v>0</v>
      </c>
    </row>
    <row r="443" spans="2:9" ht="15.75" hidden="1" customHeight="1" outlineLevel="1" thickBot="1" x14ac:dyDescent="0.3">
      <c r="B443" s="245">
        <f>IF(AND(F441&lt;&gt;"", B438&lt;&gt;""), B438+1, "")</f>
        <v>45888</v>
      </c>
      <c r="C443" s="409"/>
      <c r="D443" s="409"/>
      <c r="E443" s="246" t="s">
        <v>765</v>
      </c>
      <c r="F443" s="202">
        <v>1894</v>
      </c>
      <c r="G443" s="203"/>
      <c r="H443" s="203">
        <v>600</v>
      </c>
      <c r="I443" s="263">
        <f t="shared" si="9"/>
        <v>1294</v>
      </c>
    </row>
    <row r="444" spans="2:9" ht="15.75" hidden="1" customHeight="1" outlineLevel="1" thickBot="1" x14ac:dyDescent="0.3">
      <c r="B444" s="245">
        <f>IF(AND(F441&lt;&gt;"", B439&lt;&gt;""), B439+1, "")</f>
        <v>45888</v>
      </c>
      <c r="C444" s="409"/>
      <c r="D444" s="409"/>
      <c r="E444" s="246" t="s">
        <v>766</v>
      </c>
      <c r="F444" s="202">
        <v>0</v>
      </c>
      <c r="G444" s="203"/>
      <c r="H444" s="203"/>
      <c r="I444" s="263">
        <f t="shared" si="9"/>
        <v>0</v>
      </c>
    </row>
    <row r="445" spans="2:9" ht="15.75" hidden="1" customHeight="1" outlineLevel="1" thickBot="1" x14ac:dyDescent="0.3">
      <c r="B445" s="249">
        <f>IF(AND(F441&lt;&gt;"", B440&lt;&gt;""), B440+1, "")</f>
        <v>45888</v>
      </c>
      <c r="C445" s="416"/>
      <c r="D445" s="416"/>
      <c r="E445" s="250" t="s">
        <v>767</v>
      </c>
      <c r="F445" s="204">
        <v>300</v>
      </c>
      <c r="G445" s="205"/>
      <c r="H445" s="205"/>
      <c r="I445" s="264">
        <f t="shared" si="9"/>
        <v>300</v>
      </c>
    </row>
    <row r="446" spans="2:9" ht="15.75" hidden="1" customHeight="1" outlineLevel="1" thickBot="1" x14ac:dyDescent="0.3">
      <c r="B446" s="241">
        <f>IF(AND(F446&lt;&gt;"", B441&lt;&gt;""), B441+1, "")</f>
        <v>45889</v>
      </c>
      <c r="C446" s="442">
        <v>45889</v>
      </c>
      <c r="D446" s="443">
        <f>D441+1</f>
        <v>45889</v>
      </c>
      <c r="E446" s="246" t="s">
        <v>394</v>
      </c>
      <c r="F446" s="202">
        <v>0</v>
      </c>
      <c r="G446" s="203"/>
      <c r="H446" s="203"/>
      <c r="I446" s="263">
        <f t="shared" si="9"/>
        <v>0</v>
      </c>
    </row>
    <row r="447" spans="2:9" ht="15.75" hidden="1" customHeight="1" outlineLevel="1" thickBot="1" x14ac:dyDescent="0.3">
      <c r="B447" s="245">
        <f>IF(AND(F446&lt;&gt;"", B442&lt;&gt;""), B442+1, "")</f>
        <v>45889</v>
      </c>
      <c r="C447" s="409"/>
      <c r="D447" s="409"/>
      <c r="E447" s="246" t="s">
        <v>764</v>
      </c>
      <c r="F447" s="202">
        <v>0</v>
      </c>
      <c r="G447" s="203"/>
      <c r="H447" s="203"/>
      <c r="I447" s="263">
        <f t="shared" si="9"/>
        <v>0</v>
      </c>
    </row>
    <row r="448" spans="2:9" ht="15.75" hidden="1" customHeight="1" outlineLevel="1" thickBot="1" x14ac:dyDescent="0.3">
      <c r="B448" s="245">
        <f>IF(AND(F446&lt;&gt;"", B443&lt;&gt;""), B443+1, "")</f>
        <v>45889</v>
      </c>
      <c r="C448" s="409"/>
      <c r="D448" s="409"/>
      <c r="E448" s="246" t="s">
        <v>765</v>
      </c>
      <c r="F448" s="202">
        <v>1294</v>
      </c>
      <c r="G448" s="203"/>
      <c r="H448" s="203">
        <v>500</v>
      </c>
      <c r="I448" s="263">
        <f t="shared" si="9"/>
        <v>794</v>
      </c>
    </row>
    <row r="449" spans="2:9" ht="15.75" hidden="1" customHeight="1" outlineLevel="1" thickBot="1" x14ac:dyDescent="0.3">
      <c r="B449" s="245">
        <f>IF(AND(F446&lt;&gt;"", B444&lt;&gt;""), B444+1, "")</f>
        <v>45889</v>
      </c>
      <c r="C449" s="409"/>
      <c r="D449" s="409"/>
      <c r="E449" s="246" t="s">
        <v>766</v>
      </c>
      <c r="F449" s="202">
        <v>0</v>
      </c>
      <c r="G449" s="203"/>
      <c r="H449" s="203"/>
      <c r="I449" s="263">
        <f t="shared" si="9"/>
        <v>0</v>
      </c>
    </row>
    <row r="450" spans="2:9" ht="15.75" hidden="1" customHeight="1" outlineLevel="1" thickBot="1" x14ac:dyDescent="0.3">
      <c r="B450" s="249">
        <f>IF(AND(F446&lt;&gt;"", B445&lt;&gt;""), B445+1, "")</f>
        <v>45889</v>
      </c>
      <c r="C450" s="416"/>
      <c r="D450" s="416"/>
      <c r="E450" s="250" t="s">
        <v>767</v>
      </c>
      <c r="F450" s="204">
        <v>300</v>
      </c>
      <c r="G450" s="205"/>
      <c r="H450" s="205"/>
      <c r="I450" s="264">
        <f t="shared" si="9"/>
        <v>300</v>
      </c>
    </row>
    <row r="451" spans="2:9" ht="15.75" hidden="1" customHeight="1" outlineLevel="1" thickBot="1" x14ac:dyDescent="0.3">
      <c r="B451" s="241">
        <f>IF(AND(F451&lt;&gt;"", B446&lt;&gt;""), B446+1, "")</f>
        <v>45890</v>
      </c>
      <c r="C451" s="442">
        <v>45890</v>
      </c>
      <c r="D451" s="443">
        <f>D446+1</f>
        <v>45890</v>
      </c>
      <c r="E451" s="246" t="s">
        <v>394</v>
      </c>
      <c r="F451" s="202">
        <v>0</v>
      </c>
      <c r="G451" s="203"/>
      <c r="H451" s="203"/>
      <c r="I451" s="263">
        <f t="shared" si="9"/>
        <v>0</v>
      </c>
    </row>
    <row r="452" spans="2:9" ht="15.75" hidden="1" customHeight="1" outlineLevel="1" thickBot="1" x14ac:dyDescent="0.3">
      <c r="B452" s="245">
        <f>IF(AND(F451&lt;&gt;"", B447&lt;&gt;""), B447+1, "")</f>
        <v>45890</v>
      </c>
      <c r="C452" s="409"/>
      <c r="D452" s="409"/>
      <c r="E452" s="246" t="s">
        <v>764</v>
      </c>
      <c r="F452" s="202">
        <v>0</v>
      </c>
      <c r="G452" s="203"/>
      <c r="H452" s="203"/>
      <c r="I452" s="263">
        <f t="shared" si="9"/>
        <v>0</v>
      </c>
    </row>
    <row r="453" spans="2:9" ht="15.75" hidden="1" customHeight="1" outlineLevel="1" thickBot="1" x14ac:dyDescent="0.3">
      <c r="B453" s="245">
        <f>IF(AND(F451&lt;&gt;"", B448&lt;&gt;""), B448+1, "")</f>
        <v>45890</v>
      </c>
      <c r="C453" s="409"/>
      <c r="D453" s="409"/>
      <c r="E453" s="246" t="s">
        <v>765</v>
      </c>
      <c r="F453" s="202">
        <v>794</v>
      </c>
      <c r="G453" s="203"/>
      <c r="H453" s="203">
        <v>500</v>
      </c>
      <c r="I453" s="263">
        <f t="shared" si="9"/>
        <v>294</v>
      </c>
    </row>
    <row r="454" spans="2:9" ht="15.75" hidden="1" customHeight="1" outlineLevel="1" thickBot="1" x14ac:dyDescent="0.3">
      <c r="B454" s="245">
        <f>IF(AND(F451&lt;&gt;"", B449&lt;&gt;""), B449+1, "")</f>
        <v>45890</v>
      </c>
      <c r="C454" s="409"/>
      <c r="D454" s="409"/>
      <c r="E454" s="246" t="s">
        <v>766</v>
      </c>
      <c r="F454" s="202">
        <v>0</v>
      </c>
      <c r="G454" s="203"/>
      <c r="H454" s="203"/>
      <c r="I454" s="263">
        <f t="shared" si="9"/>
        <v>0</v>
      </c>
    </row>
    <row r="455" spans="2:9" ht="15.75" hidden="1" customHeight="1" outlineLevel="1" thickBot="1" x14ac:dyDescent="0.3">
      <c r="B455" s="249">
        <f>IF(AND(F451&lt;&gt;"", B450&lt;&gt;""), B450+1, "")</f>
        <v>45890</v>
      </c>
      <c r="C455" s="416"/>
      <c r="D455" s="416"/>
      <c r="E455" s="250" t="s">
        <v>767</v>
      </c>
      <c r="F455" s="204">
        <v>300</v>
      </c>
      <c r="G455" s="205"/>
      <c r="H455" s="205"/>
      <c r="I455" s="264">
        <f t="shared" si="9"/>
        <v>300</v>
      </c>
    </row>
    <row r="456" spans="2:9" ht="15.75" hidden="1" customHeight="1" outlineLevel="1" thickBot="1" x14ac:dyDescent="0.3">
      <c r="B456" s="241">
        <f>IF(AND(F456&lt;&gt;"", B451&lt;&gt;""), B451+1, "")</f>
        <v>45891</v>
      </c>
      <c r="C456" s="442">
        <v>45891</v>
      </c>
      <c r="D456" s="443">
        <f>D451+1</f>
        <v>45891</v>
      </c>
      <c r="E456" s="246" t="s">
        <v>394</v>
      </c>
      <c r="F456" s="202">
        <v>0</v>
      </c>
      <c r="G456" s="203"/>
      <c r="H456" s="203"/>
      <c r="I456" s="263">
        <f t="shared" si="9"/>
        <v>0</v>
      </c>
    </row>
    <row r="457" spans="2:9" ht="15.75" hidden="1" customHeight="1" outlineLevel="1" thickBot="1" x14ac:dyDescent="0.3">
      <c r="B457" s="245">
        <f>IF(AND(F456&lt;&gt;"", B452&lt;&gt;""), B452+1, "")</f>
        <v>45891</v>
      </c>
      <c r="C457" s="409"/>
      <c r="D457" s="409"/>
      <c r="E457" s="246" t="s">
        <v>764</v>
      </c>
      <c r="F457" s="202">
        <v>0</v>
      </c>
      <c r="G457" s="203"/>
      <c r="H457" s="203"/>
      <c r="I457" s="263">
        <f t="shared" si="9"/>
        <v>0</v>
      </c>
    </row>
    <row r="458" spans="2:9" ht="15.75" hidden="1" customHeight="1" outlineLevel="1" thickBot="1" x14ac:dyDescent="0.3">
      <c r="B458" s="245">
        <f>IF(AND(F456&lt;&gt;"", B453&lt;&gt;""), B453+1, "")</f>
        <v>45891</v>
      </c>
      <c r="C458" s="409"/>
      <c r="D458" s="409"/>
      <c r="E458" s="246" t="s">
        <v>765</v>
      </c>
      <c r="F458" s="202">
        <v>294</v>
      </c>
      <c r="G458" s="203"/>
      <c r="H458" s="203"/>
      <c r="I458" s="263">
        <v>294</v>
      </c>
    </row>
    <row r="459" spans="2:9" ht="15.75" hidden="1" customHeight="1" outlineLevel="1" thickBot="1" x14ac:dyDescent="0.3">
      <c r="B459" s="245">
        <f>IF(AND(F456&lt;&gt;"", B454&lt;&gt;""), B454+1, "")</f>
        <v>45891</v>
      </c>
      <c r="C459" s="409"/>
      <c r="D459" s="409"/>
      <c r="E459" s="246" t="s">
        <v>766</v>
      </c>
      <c r="F459" s="202">
        <v>0</v>
      </c>
      <c r="G459" s="203"/>
      <c r="H459" s="203"/>
      <c r="I459" s="263">
        <f>F459+G459-H459</f>
        <v>0</v>
      </c>
    </row>
    <row r="460" spans="2:9" ht="15.75" hidden="1" customHeight="1" outlineLevel="1" thickBot="1" x14ac:dyDescent="0.3">
      <c r="B460" s="249">
        <f>IF(AND(F456&lt;&gt;"", B455&lt;&gt;""), B455+1, "")</f>
        <v>45891</v>
      </c>
      <c r="C460" s="416"/>
      <c r="D460" s="416"/>
      <c r="E460" s="250" t="s">
        <v>767</v>
      </c>
      <c r="F460" s="204">
        <v>300</v>
      </c>
      <c r="G460" s="205"/>
      <c r="H460" s="205"/>
      <c r="I460" s="264">
        <v>300</v>
      </c>
    </row>
    <row r="461" spans="2:9" ht="15.75" hidden="1" customHeight="1" outlineLevel="1" thickBot="1" x14ac:dyDescent="0.3">
      <c r="B461" s="241">
        <f>IF(AND(F461&lt;&gt;"", B456&lt;&gt;""), B456+1, "")</f>
        <v>45892</v>
      </c>
      <c r="C461" s="442">
        <v>45892</v>
      </c>
      <c r="D461" s="443">
        <f>D456+1</f>
        <v>45892</v>
      </c>
      <c r="E461" s="246" t="s">
        <v>394</v>
      </c>
      <c r="F461" s="202">
        <v>0</v>
      </c>
      <c r="G461" s="203">
        <v>550</v>
      </c>
      <c r="H461" s="203"/>
      <c r="I461" s="263">
        <f t="shared" ref="I461:I492" si="10">F461+G461-H461</f>
        <v>550</v>
      </c>
    </row>
    <row r="462" spans="2:9" ht="15.75" hidden="1" customHeight="1" outlineLevel="1" thickBot="1" x14ac:dyDescent="0.3">
      <c r="B462" s="245">
        <f>IF(AND(F461&lt;&gt;"", B457&lt;&gt;""), B457+1, "")</f>
        <v>45892</v>
      </c>
      <c r="C462" s="409"/>
      <c r="D462" s="409"/>
      <c r="E462" s="246" t="s">
        <v>764</v>
      </c>
      <c r="F462" s="202">
        <v>0</v>
      </c>
      <c r="G462" s="203"/>
      <c r="H462" s="203"/>
      <c r="I462" s="263">
        <f t="shared" si="10"/>
        <v>0</v>
      </c>
    </row>
    <row r="463" spans="2:9" ht="15.75" hidden="1" customHeight="1" outlineLevel="1" thickBot="1" x14ac:dyDescent="0.3">
      <c r="B463" s="245">
        <f>IF(AND(F461&lt;&gt;"", B458&lt;&gt;""), B458+1, "")</f>
        <v>45892</v>
      </c>
      <c r="C463" s="409"/>
      <c r="D463" s="409"/>
      <c r="E463" s="246" t="s">
        <v>765</v>
      </c>
      <c r="F463" s="202">
        <v>294</v>
      </c>
      <c r="G463" s="203"/>
      <c r="H463" s="203">
        <v>294</v>
      </c>
      <c r="I463" s="263">
        <f t="shared" si="10"/>
        <v>0</v>
      </c>
    </row>
    <row r="464" spans="2:9" ht="15.75" hidden="1" customHeight="1" outlineLevel="1" thickBot="1" x14ac:dyDescent="0.3">
      <c r="B464" s="245">
        <f>IF(AND(F461&lt;&gt;"", B459&lt;&gt;""), B459+1, "")</f>
        <v>45892</v>
      </c>
      <c r="C464" s="409"/>
      <c r="D464" s="409"/>
      <c r="E464" s="246" t="s">
        <v>766</v>
      </c>
      <c r="F464" s="202">
        <v>0</v>
      </c>
      <c r="G464" s="203"/>
      <c r="H464" s="203"/>
      <c r="I464" s="263">
        <f t="shared" si="10"/>
        <v>0</v>
      </c>
    </row>
    <row r="465" spans="2:9" ht="15.75" hidden="1" customHeight="1" outlineLevel="1" thickBot="1" x14ac:dyDescent="0.3">
      <c r="B465" s="249">
        <f>IF(AND(F461&lt;&gt;"", B460&lt;&gt;""), B460+1, "")</f>
        <v>45892</v>
      </c>
      <c r="C465" s="416"/>
      <c r="D465" s="416"/>
      <c r="E465" s="250" t="s">
        <v>767</v>
      </c>
      <c r="F465" s="204">
        <v>300</v>
      </c>
      <c r="G465" s="205"/>
      <c r="H465" s="205"/>
      <c r="I465" s="264">
        <f t="shared" si="10"/>
        <v>300</v>
      </c>
    </row>
    <row r="466" spans="2:9" ht="15.75" hidden="1" customHeight="1" outlineLevel="1" thickBot="1" x14ac:dyDescent="0.3">
      <c r="B466" s="241">
        <f>IF(AND(F466&lt;&gt;"", B461&lt;&gt;""), B461+1, "")</f>
        <v>45893</v>
      </c>
      <c r="C466" s="442">
        <v>45893</v>
      </c>
      <c r="D466" s="443">
        <f>D461+1</f>
        <v>45893</v>
      </c>
      <c r="E466" s="246" t="s">
        <v>394</v>
      </c>
      <c r="F466" s="202">
        <v>550</v>
      </c>
      <c r="G466" s="203">
        <v>705</v>
      </c>
      <c r="H466" s="203">
        <v>172</v>
      </c>
      <c r="I466" s="263">
        <f t="shared" si="10"/>
        <v>1083</v>
      </c>
    </row>
    <row r="467" spans="2:9" ht="15.75" hidden="1" customHeight="1" outlineLevel="1" thickBot="1" x14ac:dyDescent="0.3">
      <c r="B467" s="245">
        <f>IF(AND(F466&lt;&gt;"", B462&lt;&gt;""), B462+1, "")</f>
        <v>45893</v>
      </c>
      <c r="C467" s="409"/>
      <c r="D467" s="409"/>
      <c r="E467" s="246" t="s">
        <v>764</v>
      </c>
      <c r="F467" s="202">
        <v>0</v>
      </c>
      <c r="G467" s="203"/>
      <c r="H467" s="203"/>
      <c r="I467" s="263">
        <f t="shared" si="10"/>
        <v>0</v>
      </c>
    </row>
    <row r="468" spans="2:9" ht="15.75" hidden="1" customHeight="1" outlineLevel="1" thickBot="1" x14ac:dyDescent="0.3">
      <c r="B468" s="245">
        <f>IF(AND(F466&lt;&gt;"", B463&lt;&gt;""), B463+1, "")</f>
        <v>45893</v>
      </c>
      <c r="C468" s="409"/>
      <c r="D468" s="409"/>
      <c r="E468" s="246" t="s">
        <v>765</v>
      </c>
      <c r="F468" s="202">
        <v>0</v>
      </c>
      <c r="G468" s="203"/>
      <c r="H468" s="203"/>
      <c r="I468" s="263">
        <f t="shared" si="10"/>
        <v>0</v>
      </c>
    </row>
    <row r="469" spans="2:9" ht="15.75" hidden="1" customHeight="1" outlineLevel="1" thickBot="1" x14ac:dyDescent="0.3">
      <c r="B469" s="245">
        <f>IF(AND(F466&lt;&gt;"", B464&lt;&gt;""), B464+1, "")</f>
        <v>45893</v>
      </c>
      <c r="C469" s="409"/>
      <c r="D469" s="409"/>
      <c r="E469" s="246" t="s">
        <v>766</v>
      </c>
      <c r="F469" s="202">
        <v>0</v>
      </c>
      <c r="G469" s="203"/>
      <c r="H469" s="203"/>
      <c r="I469" s="263">
        <f t="shared" si="10"/>
        <v>0</v>
      </c>
    </row>
    <row r="470" spans="2:9" ht="15.75" hidden="1" customHeight="1" outlineLevel="1" thickBot="1" x14ac:dyDescent="0.3">
      <c r="B470" s="249">
        <f>IF(AND(F466&lt;&gt;"", B465&lt;&gt;""), B465+1, "")</f>
        <v>45893</v>
      </c>
      <c r="C470" s="416"/>
      <c r="D470" s="416"/>
      <c r="E470" s="250" t="s">
        <v>767</v>
      </c>
      <c r="F470" s="204">
        <v>300</v>
      </c>
      <c r="G470" s="205"/>
      <c r="H470" s="205">
        <v>2</v>
      </c>
      <c r="I470" s="264">
        <f t="shared" si="10"/>
        <v>298</v>
      </c>
    </row>
    <row r="471" spans="2:9" ht="15.75" hidden="1" customHeight="1" outlineLevel="1" thickBot="1" x14ac:dyDescent="0.3">
      <c r="B471" s="241">
        <f>IF(AND(F471&lt;&gt;"", B466&lt;&gt;""), B466+1, "")</f>
        <v>45894</v>
      </c>
      <c r="C471" s="442">
        <v>45894</v>
      </c>
      <c r="D471" s="443">
        <f>D466+1</f>
        <v>45894</v>
      </c>
      <c r="E471" s="246" t="s">
        <v>394</v>
      </c>
      <c r="F471" s="202">
        <v>1083</v>
      </c>
      <c r="G471" s="203">
        <v>700</v>
      </c>
      <c r="H471" s="203">
        <v>550</v>
      </c>
      <c r="I471" s="263">
        <f t="shared" si="10"/>
        <v>1233</v>
      </c>
    </row>
    <row r="472" spans="2:9" ht="15.75" hidden="1" customHeight="1" outlineLevel="1" thickBot="1" x14ac:dyDescent="0.3">
      <c r="B472" s="245">
        <f>IF(AND(F471&lt;&gt;"", B467&lt;&gt;""), B467+1, "")</f>
        <v>45894</v>
      </c>
      <c r="C472" s="409"/>
      <c r="D472" s="409"/>
      <c r="E472" s="246" t="s">
        <v>764</v>
      </c>
      <c r="F472" s="202">
        <v>0</v>
      </c>
      <c r="G472" s="203"/>
      <c r="H472" s="203"/>
      <c r="I472" s="263">
        <f t="shared" si="10"/>
        <v>0</v>
      </c>
    </row>
    <row r="473" spans="2:9" ht="15.75" hidden="1" customHeight="1" outlineLevel="1" thickBot="1" x14ac:dyDescent="0.3">
      <c r="B473" s="245">
        <f>IF(AND(F471&lt;&gt;"", B468&lt;&gt;""), B468+1, "")</f>
        <v>45894</v>
      </c>
      <c r="C473" s="409"/>
      <c r="D473" s="409"/>
      <c r="E473" s="246" t="s">
        <v>765</v>
      </c>
      <c r="F473" s="202">
        <v>0</v>
      </c>
      <c r="G473" s="203"/>
      <c r="H473" s="203"/>
      <c r="I473" s="263">
        <f t="shared" si="10"/>
        <v>0</v>
      </c>
    </row>
    <row r="474" spans="2:9" ht="15.75" hidden="1" customHeight="1" outlineLevel="1" thickBot="1" x14ac:dyDescent="0.3">
      <c r="B474" s="245">
        <f>IF(AND(F471&lt;&gt;"", B469&lt;&gt;""), B469+1, "")</f>
        <v>45894</v>
      </c>
      <c r="C474" s="409"/>
      <c r="D474" s="409"/>
      <c r="E474" s="246" t="s">
        <v>766</v>
      </c>
      <c r="F474" s="202">
        <v>0</v>
      </c>
      <c r="G474" s="203"/>
      <c r="H474" s="203"/>
      <c r="I474" s="263">
        <f t="shared" si="10"/>
        <v>0</v>
      </c>
    </row>
    <row r="475" spans="2:9" ht="15.75" hidden="1" customHeight="1" outlineLevel="1" thickBot="1" x14ac:dyDescent="0.3">
      <c r="B475" s="249">
        <f>IF(AND(F471&lt;&gt;"", B470&lt;&gt;""), B470+1, "")</f>
        <v>45894</v>
      </c>
      <c r="C475" s="416"/>
      <c r="D475" s="416"/>
      <c r="E475" s="250" t="s">
        <v>767</v>
      </c>
      <c r="F475" s="204">
        <v>298</v>
      </c>
      <c r="G475" s="205"/>
      <c r="H475" s="205"/>
      <c r="I475" s="264">
        <f t="shared" si="10"/>
        <v>298</v>
      </c>
    </row>
    <row r="476" spans="2:9" ht="15.75" hidden="1" customHeight="1" outlineLevel="1" thickBot="1" x14ac:dyDescent="0.3">
      <c r="B476" s="241">
        <f>IF(AND(F476&lt;&gt;"", B471&lt;&gt;""), B471+1, "")</f>
        <v>45895</v>
      </c>
      <c r="C476" s="442">
        <v>45895</v>
      </c>
      <c r="D476" s="443">
        <f>D471+1</f>
        <v>45895</v>
      </c>
      <c r="E476" s="246" t="s">
        <v>394</v>
      </c>
      <c r="F476" s="202">
        <v>1233</v>
      </c>
      <c r="G476" s="203"/>
      <c r="H476" s="203">
        <v>600</v>
      </c>
      <c r="I476" s="263">
        <f t="shared" si="10"/>
        <v>633</v>
      </c>
    </row>
    <row r="477" spans="2:9" ht="15.75" hidden="1" customHeight="1" outlineLevel="1" thickBot="1" x14ac:dyDescent="0.3">
      <c r="B477" s="245">
        <f>IF(AND(F476&lt;&gt;"", B472&lt;&gt;""), B472+1, "")</f>
        <v>45895</v>
      </c>
      <c r="C477" s="409"/>
      <c r="D477" s="409"/>
      <c r="E477" s="246" t="s">
        <v>764</v>
      </c>
      <c r="F477" s="202">
        <v>0</v>
      </c>
      <c r="G477" s="203">
        <v>260</v>
      </c>
      <c r="H477" s="203"/>
      <c r="I477" s="263">
        <f t="shared" si="10"/>
        <v>260</v>
      </c>
    </row>
    <row r="478" spans="2:9" ht="15.75" hidden="1" customHeight="1" outlineLevel="1" thickBot="1" x14ac:dyDescent="0.3">
      <c r="B478" s="245">
        <f>IF(AND(F476&lt;&gt;"", B473&lt;&gt;""), B473+1, "")</f>
        <v>45895</v>
      </c>
      <c r="C478" s="409"/>
      <c r="D478" s="409"/>
      <c r="E478" s="246" t="s">
        <v>765</v>
      </c>
      <c r="F478" s="202">
        <v>0</v>
      </c>
      <c r="G478" s="203"/>
      <c r="H478" s="203"/>
      <c r="I478" s="263">
        <f t="shared" si="10"/>
        <v>0</v>
      </c>
    </row>
    <row r="479" spans="2:9" ht="15.75" hidden="1" customHeight="1" outlineLevel="1" thickBot="1" x14ac:dyDescent="0.3">
      <c r="B479" s="245">
        <f>IF(AND(F476&lt;&gt;"", B474&lt;&gt;""), B474+1, "")</f>
        <v>45895</v>
      </c>
      <c r="C479" s="409"/>
      <c r="D479" s="409"/>
      <c r="E479" s="246" t="s">
        <v>766</v>
      </c>
      <c r="F479" s="202">
        <v>0</v>
      </c>
      <c r="G479" s="203"/>
      <c r="H479" s="203"/>
      <c r="I479" s="263">
        <f t="shared" si="10"/>
        <v>0</v>
      </c>
    </row>
    <row r="480" spans="2:9" ht="15.75" hidden="1" customHeight="1" outlineLevel="1" thickBot="1" x14ac:dyDescent="0.3">
      <c r="B480" s="249">
        <f>IF(AND(F476&lt;&gt;"", B475&lt;&gt;""), B475+1, "")</f>
        <v>45895</v>
      </c>
      <c r="C480" s="416"/>
      <c r="D480" s="416"/>
      <c r="E480" s="250" t="s">
        <v>767</v>
      </c>
      <c r="F480" s="204">
        <v>298</v>
      </c>
      <c r="G480" s="205"/>
      <c r="H480" s="205"/>
      <c r="I480" s="264">
        <f t="shared" si="10"/>
        <v>298</v>
      </c>
    </row>
    <row r="481" spans="2:9" ht="15.75" hidden="1" customHeight="1" outlineLevel="1" thickBot="1" x14ac:dyDescent="0.3">
      <c r="B481" s="241">
        <f>IF(AND(F481&lt;&gt;"", B476&lt;&gt;""), B476+1, "")</f>
        <v>45896</v>
      </c>
      <c r="C481" s="442">
        <v>45896</v>
      </c>
      <c r="D481" s="443">
        <f>D476+1</f>
        <v>45896</v>
      </c>
      <c r="E481" s="246" t="s">
        <v>394</v>
      </c>
      <c r="F481" s="202">
        <v>663</v>
      </c>
      <c r="G481" s="203"/>
      <c r="H481" s="203">
        <v>463</v>
      </c>
      <c r="I481" s="263">
        <f t="shared" si="10"/>
        <v>200</v>
      </c>
    </row>
    <row r="482" spans="2:9" ht="15.75" hidden="1" customHeight="1" outlineLevel="1" thickBot="1" x14ac:dyDescent="0.3">
      <c r="B482" s="245">
        <f>IF(AND(F481&lt;&gt;"", B477&lt;&gt;""), B477+1, "")</f>
        <v>45896</v>
      </c>
      <c r="C482" s="409"/>
      <c r="D482" s="409"/>
      <c r="E482" s="246" t="s">
        <v>764</v>
      </c>
      <c r="F482" s="202">
        <v>260</v>
      </c>
      <c r="G482" s="203">
        <v>700</v>
      </c>
      <c r="H482" s="203"/>
      <c r="I482" s="263">
        <f t="shared" si="10"/>
        <v>960</v>
      </c>
    </row>
    <row r="483" spans="2:9" ht="15.75" hidden="1" customHeight="1" outlineLevel="1" thickBot="1" x14ac:dyDescent="0.3">
      <c r="B483" s="245">
        <f>IF(AND(F481&lt;&gt;"", B478&lt;&gt;""), B478+1, "")</f>
        <v>45896</v>
      </c>
      <c r="C483" s="409"/>
      <c r="D483" s="409"/>
      <c r="E483" s="246" t="s">
        <v>765</v>
      </c>
      <c r="F483" s="202">
        <v>0</v>
      </c>
      <c r="G483" s="203"/>
      <c r="H483" s="203"/>
      <c r="I483" s="263">
        <f t="shared" si="10"/>
        <v>0</v>
      </c>
    </row>
    <row r="484" spans="2:9" ht="15.75" hidden="1" customHeight="1" outlineLevel="1" thickBot="1" x14ac:dyDescent="0.3">
      <c r="B484" s="245">
        <f>IF(AND(F481&lt;&gt;"", B479&lt;&gt;""), B479+1, "")</f>
        <v>45896</v>
      </c>
      <c r="C484" s="409"/>
      <c r="D484" s="409"/>
      <c r="E484" s="246" t="s">
        <v>766</v>
      </c>
      <c r="F484" s="202">
        <v>0</v>
      </c>
      <c r="G484" s="203"/>
      <c r="H484" s="203"/>
      <c r="I484" s="263">
        <f t="shared" si="10"/>
        <v>0</v>
      </c>
    </row>
    <row r="485" spans="2:9" ht="15.75" hidden="1" customHeight="1" outlineLevel="1" thickBot="1" x14ac:dyDescent="0.3">
      <c r="B485" s="249">
        <f>IF(AND(F481&lt;&gt;"", B480&lt;&gt;""), B480+1, "")</f>
        <v>45896</v>
      </c>
      <c r="C485" s="416"/>
      <c r="D485" s="416"/>
      <c r="E485" s="250" t="s">
        <v>767</v>
      </c>
      <c r="F485" s="204">
        <v>298</v>
      </c>
      <c r="G485" s="205"/>
      <c r="H485" s="205"/>
      <c r="I485" s="264">
        <f t="shared" si="10"/>
        <v>298</v>
      </c>
    </row>
    <row r="486" spans="2:9" ht="15.75" hidden="1" customHeight="1" outlineLevel="1" thickBot="1" x14ac:dyDescent="0.3">
      <c r="B486" s="241">
        <f>IF(AND(F486&lt;&gt;"", B481&lt;&gt;""), B481+1, "")</f>
        <v>45897</v>
      </c>
      <c r="C486" s="442">
        <v>45897</v>
      </c>
      <c r="D486" s="443">
        <f>D481+1</f>
        <v>45897</v>
      </c>
      <c r="E486" s="246" t="s">
        <v>394</v>
      </c>
      <c r="F486" s="202">
        <v>200</v>
      </c>
      <c r="G486" s="203"/>
      <c r="H486" s="203"/>
      <c r="I486" s="263">
        <f t="shared" si="10"/>
        <v>200</v>
      </c>
    </row>
    <row r="487" spans="2:9" ht="15.75" hidden="1" customHeight="1" outlineLevel="1" thickBot="1" x14ac:dyDescent="0.3">
      <c r="B487" s="245">
        <f>IF(AND(F486&lt;&gt;"", B482&lt;&gt;""), B482+1, "")</f>
        <v>45897</v>
      </c>
      <c r="C487" s="409"/>
      <c r="D487" s="409"/>
      <c r="E487" s="246" t="s">
        <v>764</v>
      </c>
      <c r="F487" s="202">
        <v>960</v>
      </c>
      <c r="G487" s="203">
        <v>710</v>
      </c>
      <c r="H487" s="203">
        <v>600</v>
      </c>
      <c r="I487" s="263">
        <f t="shared" si="10"/>
        <v>1070</v>
      </c>
    </row>
    <row r="488" spans="2:9" ht="15.75" hidden="1" customHeight="1" outlineLevel="1" thickBot="1" x14ac:dyDescent="0.3">
      <c r="B488" s="245">
        <f>IF(AND(F486&lt;&gt;"", B483&lt;&gt;""), B483+1, "")</f>
        <v>45897</v>
      </c>
      <c r="C488" s="409"/>
      <c r="D488" s="409"/>
      <c r="E488" s="246" t="s">
        <v>765</v>
      </c>
      <c r="F488" s="202">
        <v>0</v>
      </c>
      <c r="G488" s="203"/>
      <c r="H488" s="203"/>
      <c r="I488" s="263">
        <f t="shared" si="10"/>
        <v>0</v>
      </c>
    </row>
    <row r="489" spans="2:9" ht="15.75" hidden="1" customHeight="1" outlineLevel="1" thickBot="1" x14ac:dyDescent="0.3">
      <c r="B489" s="245">
        <f>IF(AND(F486&lt;&gt;"", B484&lt;&gt;""), B484+1, "")</f>
        <v>45897</v>
      </c>
      <c r="C489" s="409"/>
      <c r="D489" s="409"/>
      <c r="E489" s="246" t="s">
        <v>766</v>
      </c>
      <c r="F489" s="202">
        <v>0</v>
      </c>
      <c r="G489" s="203"/>
      <c r="H489" s="203"/>
      <c r="I489" s="263">
        <f t="shared" si="10"/>
        <v>0</v>
      </c>
    </row>
    <row r="490" spans="2:9" ht="15.75" hidden="1" customHeight="1" outlineLevel="1" thickBot="1" x14ac:dyDescent="0.3">
      <c r="B490" s="249">
        <f>IF(AND(F486&lt;&gt;"", B485&lt;&gt;""), B485+1, "")</f>
        <v>45897</v>
      </c>
      <c r="C490" s="416"/>
      <c r="D490" s="416"/>
      <c r="E490" s="250" t="s">
        <v>767</v>
      </c>
      <c r="F490" s="204">
        <v>298</v>
      </c>
      <c r="G490" s="205"/>
      <c r="H490" s="205"/>
      <c r="I490" s="264">
        <f t="shared" si="10"/>
        <v>298</v>
      </c>
    </row>
    <row r="491" spans="2:9" ht="15.75" hidden="1" customHeight="1" outlineLevel="1" thickBot="1" x14ac:dyDescent="0.3">
      <c r="B491" s="241">
        <f>IF(AND(F491&lt;&gt;"", B486&lt;&gt;""), B486+1, "")</f>
        <v>45898</v>
      </c>
      <c r="C491" s="442">
        <v>45898</v>
      </c>
      <c r="D491" s="443">
        <f>D486+1</f>
        <v>45898</v>
      </c>
      <c r="E491" s="246" t="s">
        <v>394</v>
      </c>
      <c r="F491" s="202">
        <v>200</v>
      </c>
      <c r="G491" s="203"/>
      <c r="H491" s="203"/>
      <c r="I491" s="263">
        <f t="shared" si="10"/>
        <v>200</v>
      </c>
    </row>
    <row r="492" spans="2:9" ht="15.75" hidden="1" customHeight="1" outlineLevel="1" thickBot="1" x14ac:dyDescent="0.3">
      <c r="B492" s="245">
        <f>IF(AND(F491&lt;&gt;"", B487&lt;&gt;""), B487+1, "")</f>
        <v>45898</v>
      </c>
      <c r="C492" s="409"/>
      <c r="D492" s="409"/>
      <c r="E492" s="246" t="s">
        <v>764</v>
      </c>
      <c r="F492" s="202">
        <v>1070</v>
      </c>
      <c r="G492" s="203"/>
      <c r="H492" s="203"/>
      <c r="I492" s="263">
        <f t="shared" si="10"/>
        <v>1070</v>
      </c>
    </row>
    <row r="493" spans="2:9" ht="15.75" hidden="1" customHeight="1" outlineLevel="1" thickBot="1" x14ac:dyDescent="0.3">
      <c r="B493" s="245">
        <f>IF(AND(F491&lt;&gt;"", B488&lt;&gt;""), B488+1, "")</f>
        <v>45898</v>
      </c>
      <c r="C493" s="409"/>
      <c r="D493" s="409"/>
      <c r="E493" s="246" t="s">
        <v>765</v>
      </c>
      <c r="F493" s="202">
        <v>0</v>
      </c>
      <c r="G493" s="203"/>
      <c r="H493" s="203"/>
      <c r="I493" s="263">
        <f t="shared" ref="I493:I524" si="11">F493+G493-H493</f>
        <v>0</v>
      </c>
    </row>
    <row r="494" spans="2:9" ht="15.75" hidden="1" customHeight="1" outlineLevel="1" thickBot="1" x14ac:dyDescent="0.3">
      <c r="B494" s="245">
        <f>IF(AND(F491&lt;&gt;"", B489&lt;&gt;""), B489+1, "")</f>
        <v>45898</v>
      </c>
      <c r="C494" s="409"/>
      <c r="D494" s="409"/>
      <c r="E494" s="246" t="s">
        <v>766</v>
      </c>
      <c r="F494" s="202">
        <v>0</v>
      </c>
      <c r="G494" s="203"/>
      <c r="H494" s="203"/>
      <c r="I494" s="263">
        <f t="shared" si="11"/>
        <v>0</v>
      </c>
    </row>
    <row r="495" spans="2:9" ht="15.75" hidden="1" customHeight="1" outlineLevel="1" thickBot="1" x14ac:dyDescent="0.3">
      <c r="B495" s="249">
        <f>IF(AND(F491&lt;&gt;"", B490&lt;&gt;""), B490+1, "")</f>
        <v>45898</v>
      </c>
      <c r="C495" s="416"/>
      <c r="D495" s="416"/>
      <c r="E495" s="250" t="s">
        <v>767</v>
      </c>
      <c r="F495" s="204">
        <v>298</v>
      </c>
      <c r="G495" s="205"/>
      <c r="H495" s="205"/>
      <c r="I495" s="264">
        <f t="shared" si="11"/>
        <v>298</v>
      </c>
    </row>
    <row r="496" spans="2:9" ht="15.75" hidden="1" customHeight="1" outlineLevel="1" thickBot="1" x14ac:dyDescent="0.3">
      <c r="B496" s="241">
        <f>IF(AND(F496&lt;&gt;"", B491&lt;&gt;""), B491+1, "")</f>
        <v>45899</v>
      </c>
      <c r="C496" s="442">
        <v>45899</v>
      </c>
      <c r="D496" s="443">
        <f>D491+1</f>
        <v>45899</v>
      </c>
      <c r="E496" s="246" t="s">
        <v>394</v>
      </c>
      <c r="F496" s="202">
        <v>200</v>
      </c>
      <c r="G496" s="203"/>
      <c r="H496" s="203"/>
      <c r="I496" s="263">
        <f t="shared" si="11"/>
        <v>200</v>
      </c>
    </row>
    <row r="497" spans="2:9" ht="15.75" hidden="1" customHeight="1" outlineLevel="1" thickBot="1" x14ac:dyDescent="0.3">
      <c r="B497" s="245">
        <f>IF(AND(F496&lt;&gt;"", B492&lt;&gt;""), B492+1, "")</f>
        <v>45899</v>
      </c>
      <c r="C497" s="409"/>
      <c r="D497" s="409"/>
      <c r="E497" s="246" t="s">
        <v>764</v>
      </c>
      <c r="F497" s="202">
        <v>1070</v>
      </c>
      <c r="G497" s="203">
        <v>1000</v>
      </c>
      <c r="H497" s="203">
        <v>900</v>
      </c>
      <c r="I497" s="263">
        <f t="shared" si="11"/>
        <v>1170</v>
      </c>
    </row>
    <row r="498" spans="2:9" ht="15.75" hidden="1" customHeight="1" outlineLevel="1" thickBot="1" x14ac:dyDescent="0.3">
      <c r="B498" s="245">
        <f>IF(AND(F496&lt;&gt;"", B493&lt;&gt;""), B493+1, "")</f>
        <v>45899</v>
      </c>
      <c r="C498" s="409"/>
      <c r="D498" s="409"/>
      <c r="E498" s="246" t="s">
        <v>765</v>
      </c>
      <c r="F498" s="202">
        <v>0</v>
      </c>
      <c r="G498" s="203"/>
      <c r="H498" s="203"/>
      <c r="I498" s="263">
        <f t="shared" si="11"/>
        <v>0</v>
      </c>
    </row>
    <row r="499" spans="2:9" ht="15.75" hidden="1" customHeight="1" outlineLevel="1" thickBot="1" x14ac:dyDescent="0.3">
      <c r="B499" s="245">
        <f>IF(AND(F496&lt;&gt;"", B494&lt;&gt;""), B494+1, "")</f>
        <v>45899</v>
      </c>
      <c r="C499" s="409"/>
      <c r="D499" s="409"/>
      <c r="E499" s="246" t="s">
        <v>766</v>
      </c>
      <c r="F499" s="202">
        <v>0</v>
      </c>
      <c r="G499" s="203">
        <v>20</v>
      </c>
      <c r="H499" s="203"/>
      <c r="I499" s="263">
        <f t="shared" si="11"/>
        <v>20</v>
      </c>
    </row>
    <row r="500" spans="2:9" ht="15.75" hidden="1" customHeight="1" outlineLevel="1" thickBot="1" x14ac:dyDescent="0.3">
      <c r="B500" s="249">
        <f>IF(AND(F496&lt;&gt;"", B495&lt;&gt;""), B495+1, "")</f>
        <v>45899</v>
      </c>
      <c r="C500" s="416"/>
      <c r="D500" s="416"/>
      <c r="E500" s="250" t="s">
        <v>767</v>
      </c>
      <c r="F500" s="204">
        <v>298</v>
      </c>
      <c r="G500" s="205"/>
      <c r="H500" s="205"/>
      <c r="I500" s="264">
        <f t="shared" si="11"/>
        <v>298</v>
      </c>
    </row>
    <row r="501" spans="2:9" ht="15.75" hidden="1" customHeight="1" outlineLevel="1" thickBot="1" x14ac:dyDescent="0.3">
      <c r="B501" s="241">
        <f>IF(AND(F501&lt;&gt;"", B496&lt;&gt;""), B496+1, "")</f>
        <v>45900</v>
      </c>
      <c r="C501" s="442">
        <v>45900</v>
      </c>
      <c r="D501" s="443">
        <f>D496+1</f>
        <v>45900</v>
      </c>
      <c r="E501" s="246" t="s">
        <v>394</v>
      </c>
      <c r="F501" s="202">
        <v>200</v>
      </c>
      <c r="G501" s="203"/>
      <c r="H501" s="203"/>
      <c r="I501" s="263">
        <f t="shared" si="11"/>
        <v>200</v>
      </c>
    </row>
    <row r="502" spans="2:9" ht="15.75" hidden="1" customHeight="1" outlineLevel="1" thickBot="1" x14ac:dyDescent="0.3">
      <c r="B502" s="245">
        <f>IF(AND(F501&lt;&gt;"", B497&lt;&gt;""), B497+1, "")</f>
        <v>45900</v>
      </c>
      <c r="C502" s="409"/>
      <c r="D502" s="409"/>
      <c r="E502" s="246" t="s">
        <v>764</v>
      </c>
      <c r="F502" s="202">
        <v>1170</v>
      </c>
      <c r="G502" s="203">
        <v>1003</v>
      </c>
      <c r="H502" s="203">
        <v>600</v>
      </c>
      <c r="I502" s="263">
        <f t="shared" si="11"/>
        <v>1573</v>
      </c>
    </row>
    <row r="503" spans="2:9" ht="15.75" hidden="1" customHeight="1" outlineLevel="1" thickBot="1" x14ac:dyDescent="0.3">
      <c r="B503" s="245">
        <f>IF(AND(F501&lt;&gt;"", B498&lt;&gt;""), B498+1, "")</f>
        <v>45900</v>
      </c>
      <c r="C503" s="409"/>
      <c r="D503" s="409"/>
      <c r="E503" s="246" t="s">
        <v>765</v>
      </c>
      <c r="F503" s="202">
        <v>0</v>
      </c>
      <c r="G503" s="203"/>
      <c r="H503" s="203"/>
      <c r="I503" s="263">
        <f t="shared" si="11"/>
        <v>0</v>
      </c>
    </row>
    <row r="504" spans="2:9" ht="15.75" hidden="1" customHeight="1" outlineLevel="1" thickBot="1" x14ac:dyDescent="0.3">
      <c r="B504" s="245">
        <f>IF(AND(F501&lt;&gt;"", B499&lt;&gt;""), B499+1, "")</f>
        <v>45900</v>
      </c>
      <c r="C504" s="409"/>
      <c r="D504" s="409"/>
      <c r="E504" s="246" t="s">
        <v>766</v>
      </c>
      <c r="F504" s="202">
        <v>20</v>
      </c>
      <c r="G504" s="203"/>
      <c r="H504" s="203"/>
      <c r="I504" s="263">
        <f t="shared" si="11"/>
        <v>20</v>
      </c>
    </row>
    <row r="505" spans="2:9" ht="15.75" hidden="1" customHeight="1" outlineLevel="1" thickBot="1" x14ac:dyDescent="0.3">
      <c r="B505" s="249">
        <f>IF(AND(F501&lt;&gt;"", B500&lt;&gt;""), B500+1, "")</f>
        <v>45900</v>
      </c>
      <c r="C505" s="416"/>
      <c r="D505" s="416"/>
      <c r="E505" s="250" t="s">
        <v>767</v>
      </c>
      <c r="F505" s="204">
        <v>298</v>
      </c>
      <c r="G505" s="205"/>
      <c r="H505" s="205"/>
      <c r="I505" s="264">
        <f t="shared" si="11"/>
        <v>298</v>
      </c>
    </row>
    <row r="506" spans="2:9" ht="15.75" hidden="1" customHeight="1" outlineLevel="1" thickBot="1" x14ac:dyDescent="0.3">
      <c r="B506" s="241">
        <f>IF(AND(F506&lt;&gt;"", B501&lt;&gt;""), B501+1, "")</f>
        <v>45901</v>
      </c>
      <c r="C506" s="442">
        <v>45901</v>
      </c>
      <c r="D506" s="443">
        <f>D501+1</f>
        <v>45901</v>
      </c>
      <c r="E506" s="246" t="s">
        <v>394</v>
      </c>
      <c r="F506" s="202">
        <v>200</v>
      </c>
      <c r="G506" s="203"/>
      <c r="H506" s="203"/>
      <c r="I506" s="263">
        <f t="shared" si="11"/>
        <v>200</v>
      </c>
    </row>
    <row r="507" spans="2:9" ht="15.75" hidden="1" customHeight="1" outlineLevel="1" thickBot="1" x14ac:dyDescent="0.3">
      <c r="B507" s="245">
        <f>IF(AND(F506&lt;&gt;"", B502&lt;&gt;""), B502+1, "")</f>
        <v>45901</v>
      </c>
      <c r="C507" s="409"/>
      <c r="D507" s="409"/>
      <c r="E507" s="246" t="s">
        <v>764</v>
      </c>
      <c r="F507" s="202">
        <v>1573</v>
      </c>
      <c r="G507" s="203">
        <v>1000</v>
      </c>
      <c r="H507" s="203">
        <v>600</v>
      </c>
      <c r="I507" s="263">
        <f t="shared" si="11"/>
        <v>1973</v>
      </c>
    </row>
    <row r="508" spans="2:9" ht="15.75" hidden="1" customHeight="1" outlineLevel="1" thickBot="1" x14ac:dyDescent="0.3">
      <c r="B508" s="245">
        <f>IF(AND(F506&lt;&gt;"", B503&lt;&gt;""), B503+1, "")</f>
        <v>45901</v>
      </c>
      <c r="C508" s="409"/>
      <c r="D508" s="409"/>
      <c r="E508" s="246" t="s">
        <v>765</v>
      </c>
      <c r="F508" s="202">
        <v>0</v>
      </c>
      <c r="G508" s="203"/>
      <c r="H508" s="203"/>
      <c r="I508" s="263">
        <f t="shared" si="11"/>
        <v>0</v>
      </c>
    </row>
    <row r="509" spans="2:9" ht="15.75" hidden="1" customHeight="1" outlineLevel="1" thickBot="1" x14ac:dyDescent="0.3">
      <c r="B509" s="245">
        <f>IF(AND(F506&lt;&gt;"", B504&lt;&gt;""), B504+1, "")</f>
        <v>45901</v>
      </c>
      <c r="C509" s="409"/>
      <c r="D509" s="409"/>
      <c r="E509" s="246" t="s">
        <v>766</v>
      </c>
      <c r="F509" s="202">
        <v>0</v>
      </c>
      <c r="G509" s="203"/>
      <c r="H509" s="203"/>
      <c r="I509" s="263">
        <f t="shared" si="11"/>
        <v>0</v>
      </c>
    </row>
    <row r="510" spans="2:9" ht="15.75" hidden="1" customHeight="1" outlineLevel="1" thickBot="1" x14ac:dyDescent="0.3">
      <c r="B510" s="249">
        <f>IF(AND(F506&lt;&gt;"", B505&lt;&gt;""), B505+1, "")</f>
        <v>45901</v>
      </c>
      <c r="C510" s="416"/>
      <c r="D510" s="416"/>
      <c r="E510" s="250" t="s">
        <v>767</v>
      </c>
      <c r="F510" s="204">
        <v>298</v>
      </c>
      <c r="G510" s="205"/>
      <c r="H510" s="205"/>
      <c r="I510" s="264">
        <f t="shared" si="11"/>
        <v>298</v>
      </c>
    </row>
    <row r="511" spans="2:9" ht="15.75" hidden="1" customHeight="1" outlineLevel="1" thickBot="1" x14ac:dyDescent="0.3">
      <c r="B511" s="241">
        <f>IF(AND(F511&lt;&gt;"", B506&lt;&gt;""), B506+1, "")</f>
        <v>45902</v>
      </c>
      <c r="C511" s="442">
        <v>45902</v>
      </c>
      <c r="D511" s="443">
        <f>D506+1</f>
        <v>45902</v>
      </c>
      <c r="E511" s="246" t="s">
        <v>394</v>
      </c>
      <c r="F511" s="202">
        <v>200</v>
      </c>
      <c r="G511" s="203"/>
      <c r="H511" s="203"/>
      <c r="I511" s="263">
        <f t="shared" si="11"/>
        <v>200</v>
      </c>
    </row>
    <row r="512" spans="2:9" ht="15.75" hidden="1" customHeight="1" outlineLevel="1" thickBot="1" x14ac:dyDescent="0.3">
      <c r="B512" s="245">
        <f>IF(AND(F511&lt;&gt;"", B507&lt;&gt;""), B507+1, "")</f>
        <v>45902</v>
      </c>
      <c r="C512" s="409"/>
      <c r="D512" s="409"/>
      <c r="E512" s="246" t="s">
        <v>764</v>
      </c>
      <c r="F512" s="202">
        <v>1973</v>
      </c>
      <c r="G512" s="203">
        <v>666</v>
      </c>
      <c r="H512" s="203">
        <v>600</v>
      </c>
      <c r="I512" s="263">
        <f t="shared" si="11"/>
        <v>2039</v>
      </c>
    </row>
    <row r="513" spans="2:9" ht="15.75" hidden="1" customHeight="1" outlineLevel="1" thickBot="1" x14ac:dyDescent="0.3">
      <c r="B513" s="245">
        <f>IF(AND(F511&lt;&gt;"", B508&lt;&gt;""), B508+1, "")</f>
        <v>45902</v>
      </c>
      <c r="C513" s="409"/>
      <c r="D513" s="409"/>
      <c r="E513" s="246" t="s">
        <v>765</v>
      </c>
      <c r="F513" s="202">
        <v>0</v>
      </c>
      <c r="G513" s="203"/>
      <c r="H513" s="203"/>
      <c r="I513" s="263">
        <f t="shared" si="11"/>
        <v>0</v>
      </c>
    </row>
    <row r="514" spans="2:9" ht="15.75" hidden="1" customHeight="1" outlineLevel="1" thickBot="1" x14ac:dyDescent="0.3">
      <c r="B514" s="245">
        <f>IF(AND(F511&lt;&gt;"", B509&lt;&gt;""), B509+1, "")</f>
        <v>45902</v>
      </c>
      <c r="C514" s="409"/>
      <c r="D514" s="409"/>
      <c r="E514" s="246" t="s">
        <v>766</v>
      </c>
      <c r="F514" s="202">
        <v>0</v>
      </c>
      <c r="G514" s="203"/>
      <c r="H514" s="203"/>
      <c r="I514" s="263">
        <f t="shared" si="11"/>
        <v>0</v>
      </c>
    </row>
    <row r="515" spans="2:9" ht="15.75" hidden="1" customHeight="1" outlineLevel="1" thickBot="1" x14ac:dyDescent="0.3">
      <c r="B515" s="249">
        <f>IF(AND(F511&lt;&gt;"", B510&lt;&gt;""), B510+1, "")</f>
        <v>45902</v>
      </c>
      <c r="C515" s="416"/>
      <c r="D515" s="416"/>
      <c r="E515" s="250" t="s">
        <v>767</v>
      </c>
      <c r="F515" s="204">
        <v>298</v>
      </c>
      <c r="G515" s="205"/>
      <c r="H515" s="205"/>
      <c r="I515" s="264">
        <f t="shared" si="11"/>
        <v>298</v>
      </c>
    </row>
    <row r="516" spans="2:9" ht="15.75" hidden="1" customHeight="1" outlineLevel="1" thickBot="1" x14ac:dyDescent="0.3">
      <c r="B516" s="241">
        <f>IF(AND(F516&lt;&gt;"", B511&lt;&gt;""), B511+1, "")</f>
        <v>45903</v>
      </c>
      <c r="C516" s="442">
        <v>45903</v>
      </c>
      <c r="D516" s="443">
        <f>D511+1</f>
        <v>45903</v>
      </c>
      <c r="E516" s="246" t="s">
        <v>394</v>
      </c>
      <c r="F516" s="202">
        <v>200</v>
      </c>
      <c r="G516" s="203">
        <v>550</v>
      </c>
      <c r="H516" s="203"/>
      <c r="I516" s="263">
        <f t="shared" si="11"/>
        <v>750</v>
      </c>
    </row>
    <row r="517" spans="2:9" ht="15.75" hidden="1" customHeight="1" outlineLevel="1" thickBot="1" x14ac:dyDescent="0.3">
      <c r="B517" s="245">
        <f>IF(AND(F516&lt;&gt;"", B512&lt;&gt;""), B512+1, "")</f>
        <v>45903</v>
      </c>
      <c r="C517" s="409"/>
      <c r="D517" s="409"/>
      <c r="E517" s="246" t="s">
        <v>764</v>
      </c>
      <c r="F517" s="202">
        <v>2039</v>
      </c>
      <c r="G517" s="203"/>
      <c r="H517" s="203">
        <v>650</v>
      </c>
      <c r="I517" s="263">
        <f t="shared" si="11"/>
        <v>1389</v>
      </c>
    </row>
    <row r="518" spans="2:9" ht="15.75" hidden="1" customHeight="1" outlineLevel="1" thickBot="1" x14ac:dyDescent="0.3">
      <c r="B518" s="245">
        <f>IF(AND(F516&lt;&gt;"", B513&lt;&gt;""), B513+1, "")</f>
        <v>45903</v>
      </c>
      <c r="C518" s="409"/>
      <c r="D518" s="409"/>
      <c r="E518" s="246" t="s">
        <v>765</v>
      </c>
      <c r="F518" s="202">
        <v>0</v>
      </c>
      <c r="G518" s="203">
        <v>320</v>
      </c>
      <c r="H518" s="203"/>
      <c r="I518" s="263">
        <f t="shared" si="11"/>
        <v>320</v>
      </c>
    </row>
    <row r="519" spans="2:9" ht="15.75" hidden="1" customHeight="1" outlineLevel="1" thickBot="1" x14ac:dyDescent="0.3">
      <c r="B519" s="245">
        <f>IF(AND(F516&lt;&gt;"", B514&lt;&gt;""), B514+1, "")</f>
        <v>45903</v>
      </c>
      <c r="C519" s="409"/>
      <c r="D519" s="409"/>
      <c r="E519" s="246" t="s">
        <v>766</v>
      </c>
      <c r="F519" s="202">
        <v>0</v>
      </c>
      <c r="G519" s="203"/>
      <c r="H519" s="203"/>
      <c r="I519" s="263">
        <f t="shared" si="11"/>
        <v>0</v>
      </c>
    </row>
    <row r="520" spans="2:9" ht="15.75" hidden="1" customHeight="1" outlineLevel="1" thickBot="1" x14ac:dyDescent="0.3">
      <c r="B520" s="249">
        <f>IF(AND(F516&lt;&gt;"", B515&lt;&gt;""), B515+1, "")</f>
        <v>45903</v>
      </c>
      <c r="C520" s="416"/>
      <c r="D520" s="416"/>
      <c r="E520" s="250" t="s">
        <v>767</v>
      </c>
      <c r="F520" s="204">
        <v>298</v>
      </c>
      <c r="G520" s="205"/>
      <c r="H520" s="205"/>
      <c r="I520" s="264">
        <f t="shared" si="11"/>
        <v>298</v>
      </c>
    </row>
    <row r="521" spans="2:9" ht="15.75" hidden="1" customHeight="1" outlineLevel="1" thickBot="1" x14ac:dyDescent="0.3">
      <c r="B521" s="241">
        <f>IF(AND(F521&lt;&gt;"", B516&lt;&gt;""), B516+1, "")</f>
        <v>45904</v>
      </c>
      <c r="C521" s="442">
        <v>45904</v>
      </c>
      <c r="D521" s="443">
        <f>D516+1</f>
        <v>45904</v>
      </c>
      <c r="E521" s="246" t="s">
        <v>394</v>
      </c>
      <c r="F521" s="202">
        <v>750</v>
      </c>
      <c r="G521" s="203">
        <v>600</v>
      </c>
      <c r="H521" s="203">
        <v>300</v>
      </c>
      <c r="I521" s="263">
        <f t="shared" si="11"/>
        <v>1050</v>
      </c>
    </row>
    <row r="522" spans="2:9" ht="15.75" hidden="1" customHeight="1" outlineLevel="1" thickBot="1" x14ac:dyDescent="0.3">
      <c r="B522" s="245">
        <f>IF(AND(F521&lt;&gt;"", B517&lt;&gt;""), B517+1, "")</f>
        <v>45904</v>
      </c>
      <c r="C522" s="409"/>
      <c r="D522" s="409"/>
      <c r="E522" s="246" t="s">
        <v>764</v>
      </c>
      <c r="F522" s="202">
        <v>1389</v>
      </c>
      <c r="G522" s="203"/>
      <c r="H522" s="203">
        <v>620</v>
      </c>
      <c r="I522" s="263">
        <f t="shared" si="11"/>
        <v>769</v>
      </c>
    </row>
    <row r="523" spans="2:9" ht="15.75" hidden="1" customHeight="1" outlineLevel="1" thickBot="1" x14ac:dyDescent="0.3">
      <c r="B523" s="245">
        <f>IF(AND(F521&lt;&gt;"", B518&lt;&gt;""), B518+1, "")</f>
        <v>45904</v>
      </c>
      <c r="C523" s="409"/>
      <c r="D523" s="409"/>
      <c r="E523" s="246" t="s">
        <v>765</v>
      </c>
      <c r="F523" s="202">
        <v>0</v>
      </c>
      <c r="G523" s="203">
        <v>455</v>
      </c>
      <c r="H523" s="203"/>
      <c r="I523" s="263">
        <f t="shared" si="11"/>
        <v>455</v>
      </c>
    </row>
    <row r="524" spans="2:9" ht="15.75" hidden="1" customHeight="1" outlineLevel="1" thickBot="1" x14ac:dyDescent="0.3">
      <c r="B524" s="245">
        <f>IF(AND(F521&lt;&gt;"", B519&lt;&gt;""), B519+1, "")</f>
        <v>45904</v>
      </c>
      <c r="C524" s="409"/>
      <c r="D524" s="409"/>
      <c r="E524" s="246" t="s">
        <v>766</v>
      </c>
      <c r="F524" s="202">
        <v>0</v>
      </c>
      <c r="G524" s="203"/>
      <c r="H524" s="203"/>
      <c r="I524" s="263">
        <f t="shared" si="11"/>
        <v>0</v>
      </c>
    </row>
    <row r="525" spans="2:9" ht="15.75" hidden="1" customHeight="1" outlineLevel="1" thickBot="1" x14ac:dyDescent="0.3">
      <c r="B525" s="249">
        <f>IF(AND(F521&lt;&gt;"", B520&lt;&gt;""), B520+1, "")</f>
        <v>45904</v>
      </c>
      <c r="C525" s="416"/>
      <c r="D525" s="416"/>
      <c r="E525" s="250" t="s">
        <v>767</v>
      </c>
      <c r="F525" s="204">
        <v>298</v>
      </c>
      <c r="G525" s="205"/>
      <c r="H525" s="205"/>
      <c r="I525" s="264">
        <f t="shared" ref="I525:I556" si="12">F525+G525-H525</f>
        <v>298</v>
      </c>
    </row>
    <row r="526" spans="2:9" ht="15.75" hidden="1" customHeight="1" outlineLevel="1" thickBot="1" x14ac:dyDescent="0.3">
      <c r="B526" s="241">
        <f>IF(AND(F526&lt;&gt;"", B521&lt;&gt;""), B521+1, "")</f>
        <v>45905</v>
      </c>
      <c r="C526" s="442">
        <v>45905</v>
      </c>
      <c r="D526" s="443">
        <f>D521+1</f>
        <v>45905</v>
      </c>
      <c r="E526" s="246" t="s">
        <v>394</v>
      </c>
      <c r="F526" s="202">
        <v>0</v>
      </c>
      <c r="G526" s="203"/>
      <c r="H526" s="203"/>
      <c r="I526" s="263">
        <f t="shared" si="12"/>
        <v>0</v>
      </c>
    </row>
    <row r="527" spans="2:9" ht="15.75" hidden="1" customHeight="1" outlineLevel="1" thickBot="1" x14ac:dyDescent="0.3">
      <c r="B527" s="245">
        <f>IF(AND(F526&lt;&gt;"", B522&lt;&gt;""), B522+1, "")</f>
        <v>45905</v>
      </c>
      <c r="C527" s="409"/>
      <c r="D527" s="409"/>
      <c r="E527" s="246" t="s">
        <v>764</v>
      </c>
      <c r="F527" s="202">
        <v>0</v>
      </c>
      <c r="G527" s="203"/>
      <c r="H527" s="203"/>
      <c r="I527" s="263">
        <f t="shared" si="12"/>
        <v>0</v>
      </c>
    </row>
    <row r="528" spans="2:9" ht="15.75" hidden="1" customHeight="1" outlineLevel="1" thickBot="1" x14ac:dyDescent="0.3">
      <c r="B528" s="245">
        <f>IF(AND(F526&lt;&gt;"", B523&lt;&gt;""), B523+1, "")</f>
        <v>45905</v>
      </c>
      <c r="C528" s="409"/>
      <c r="D528" s="409"/>
      <c r="E528" s="246" t="s">
        <v>765</v>
      </c>
      <c r="F528" s="202">
        <v>0</v>
      </c>
      <c r="G528" s="203"/>
      <c r="H528" s="203"/>
      <c r="I528" s="263">
        <f t="shared" si="12"/>
        <v>0</v>
      </c>
    </row>
    <row r="529" spans="2:9" ht="15.75" hidden="1" customHeight="1" outlineLevel="1" thickBot="1" x14ac:dyDescent="0.3">
      <c r="B529" s="245">
        <f>IF(AND(F526&lt;&gt;"", B524&lt;&gt;""), B524+1, "")</f>
        <v>45905</v>
      </c>
      <c r="C529" s="409"/>
      <c r="D529" s="409"/>
      <c r="E529" s="246" t="s">
        <v>766</v>
      </c>
      <c r="F529" s="202">
        <v>0</v>
      </c>
      <c r="G529" s="203"/>
      <c r="H529" s="203"/>
      <c r="I529" s="263">
        <f t="shared" si="12"/>
        <v>0</v>
      </c>
    </row>
    <row r="530" spans="2:9" ht="15.75" hidden="1" customHeight="1" outlineLevel="1" thickBot="1" x14ac:dyDescent="0.3">
      <c r="B530" s="249">
        <f>IF(AND(F526&lt;&gt;"", B525&lt;&gt;""), B525+1, "")</f>
        <v>45905</v>
      </c>
      <c r="C530" s="416"/>
      <c r="D530" s="416"/>
      <c r="E530" s="250" t="s">
        <v>767</v>
      </c>
      <c r="F530" s="204">
        <v>0</v>
      </c>
      <c r="G530" s="205"/>
      <c r="H530" s="205"/>
      <c r="I530" s="264">
        <f t="shared" si="12"/>
        <v>0</v>
      </c>
    </row>
    <row r="531" spans="2:9" ht="15.75" hidden="1" customHeight="1" outlineLevel="1" thickBot="1" x14ac:dyDescent="0.3">
      <c r="B531" s="241">
        <f>IF(AND(F531&lt;&gt;"", B526&lt;&gt;""), B526+1, "")</f>
        <v>45906</v>
      </c>
      <c r="C531" s="442">
        <v>45906</v>
      </c>
      <c r="D531" s="443">
        <f>D526+1</f>
        <v>45906</v>
      </c>
      <c r="E531" s="246" t="s">
        <v>394</v>
      </c>
      <c r="F531" s="202">
        <v>1050</v>
      </c>
      <c r="G531" s="203">
        <v>600</v>
      </c>
      <c r="H531" s="203">
        <v>182</v>
      </c>
      <c r="I531" s="263">
        <f t="shared" si="12"/>
        <v>1468</v>
      </c>
    </row>
    <row r="532" spans="2:9" ht="15.75" hidden="1" customHeight="1" outlineLevel="1" thickBot="1" x14ac:dyDescent="0.3">
      <c r="B532" s="245">
        <f>IF(AND(F531&lt;&gt;"", B527&lt;&gt;""), B527+1, "")</f>
        <v>45906</v>
      </c>
      <c r="C532" s="409"/>
      <c r="D532" s="409"/>
      <c r="E532" s="246" t="s">
        <v>764</v>
      </c>
      <c r="F532" s="202">
        <v>769</v>
      </c>
      <c r="G532" s="203"/>
      <c r="H532" s="203"/>
      <c r="I532" s="263">
        <f t="shared" si="12"/>
        <v>769</v>
      </c>
    </row>
    <row r="533" spans="2:9" ht="15.75" hidden="1" customHeight="1" outlineLevel="1" thickBot="1" x14ac:dyDescent="0.3">
      <c r="B533" s="245">
        <f>IF(AND(F531&lt;&gt;"", B528&lt;&gt;""), B528+1, "")</f>
        <v>45906</v>
      </c>
      <c r="C533" s="409"/>
      <c r="D533" s="409"/>
      <c r="E533" s="246" t="s">
        <v>765</v>
      </c>
      <c r="F533" s="202">
        <v>455</v>
      </c>
      <c r="G533" s="203">
        <v>455</v>
      </c>
      <c r="H533" s="203"/>
      <c r="I533" s="263">
        <f t="shared" si="12"/>
        <v>910</v>
      </c>
    </row>
    <row r="534" spans="2:9" ht="15.75" hidden="1" customHeight="1" outlineLevel="1" thickBot="1" x14ac:dyDescent="0.3">
      <c r="B534" s="245">
        <f>IF(AND(F531&lt;&gt;"", B529&lt;&gt;""), B529+1, "")</f>
        <v>45906</v>
      </c>
      <c r="C534" s="409"/>
      <c r="D534" s="409"/>
      <c r="E534" s="246" t="s">
        <v>766</v>
      </c>
      <c r="F534" s="202">
        <v>0</v>
      </c>
      <c r="G534" s="203"/>
      <c r="H534" s="203"/>
      <c r="I534" s="263">
        <f t="shared" si="12"/>
        <v>0</v>
      </c>
    </row>
    <row r="535" spans="2:9" ht="15.75" hidden="1" customHeight="1" outlineLevel="1" thickBot="1" x14ac:dyDescent="0.3">
      <c r="B535" s="249">
        <f>IF(AND(F531&lt;&gt;"", B530&lt;&gt;""), B530+1, "")</f>
        <v>45906</v>
      </c>
      <c r="C535" s="416"/>
      <c r="D535" s="416"/>
      <c r="E535" s="250" t="s">
        <v>767</v>
      </c>
      <c r="F535" s="204">
        <v>298</v>
      </c>
      <c r="G535" s="205"/>
      <c r="H535" s="205"/>
      <c r="I535" s="264">
        <f t="shared" si="12"/>
        <v>298</v>
      </c>
    </row>
    <row r="536" spans="2:9" ht="15.75" hidden="1" customHeight="1" outlineLevel="1" thickBot="1" x14ac:dyDescent="0.3">
      <c r="B536" s="241">
        <f>IF(AND(F536&lt;&gt;"", B531&lt;&gt;""), B531+1, "")</f>
        <v>45907</v>
      </c>
      <c r="C536" s="442">
        <v>45907</v>
      </c>
      <c r="D536" s="443">
        <f>D531+1</f>
        <v>45907</v>
      </c>
      <c r="E536" s="246" t="s">
        <v>394</v>
      </c>
      <c r="F536" s="202">
        <v>1468</v>
      </c>
      <c r="G536" s="203">
        <v>300</v>
      </c>
      <c r="H536" s="203">
        <v>810</v>
      </c>
      <c r="I536" s="263">
        <f t="shared" si="12"/>
        <v>958</v>
      </c>
    </row>
    <row r="537" spans="2:9" ht="15.75" hidden="1" customHeight="1" outlineLevel="1" thickBot="1" x14ac:dyDescent="0.3">
      <c r="B537" s="245">
        <f>IF(AND(F536&lt;&gt;"", B532&lt;&gt;""), B532+1, "")</f>
        <v>45907</v>
      </c>
      <c r="C537" s="409"/>
      <c r="D537" s="409"/>
      <c r="E537" s="246" t="s">
        <v>764</v>
      </c>
      <c r="F537" s="202">
        <v>769</v>
      </c>
      <c r="G537" s="203"/>
      <c r="H537" s="203"/>
      <c r="I537" s="263">
        <f t="shared" si="12"/>
        <v>769</v>
      </c>
    </row>
    <row r="538" spans="2:9" ht="15.75" hidden="1" customHeight="1" outlineLevel="1" thickBot="1" x14ac:dyDescent="0.3">
      <c r="B538" s="245">
        <f>IF(AND(F536&lt;&gt;"", B533&lt;&gt;""), B533+1, "")</f>
        <v>45907</v>
      </c>
      <c r="C538" s="409"/>
      <c r="D538" s="409"/>
      <c r="E538" s="246" t="s">
        <v>765</v>
      </c>
      <c r="F538" s="202">
        <v>910</v>
      </c>
      <c r="G538" s="203">
        <v>460</v>
      </c>
      <c r="H538" s="203"/>
      <c r="I538" s="263">
        <f t="shared" si="12"/>
        <v>1370</v>
      </c>
    </row>
    <row r="539" spans="2:9" ht="15.75" hidden="1" customHeight="1" outlineLevel="1" thickBot="1" x14ac:dyDescent="0.3">
      <c r="B539" s="245">
        <f>IF(AND(F536&lt;&gt;"", B534&lt;&gt;""), B534+1, "")</f>
        <v>45907</v>
      </c>
      <c r="C539" s="409"/>
      <c r="D539" s="409"/>
      <c r="E539" s="246" t="s">
        <v>766</v>
      </c>
      <c r="F539" s="202">
        <v>0</v>
      </c>
      <c r="G539" s="203"/>
      <c r="H539" s="203"/>
      <c r="I539" s="263">
        <f t="shared" si="12"/>
        <v>0</v>
      </c>
    </row>
    <row r="540" spans="2:9" ht="15.75" hidden="1" customHeight="1" outlineLevel="1" thickBot="1" x14ac:dyDescent="0.3">
      <c r="B540" s="249">
        <f>IF(AND(F536&lt;&gt;"", B535&lt;&gt;""), B535+1, "")</f>
        <v>45907</v>
      </c>
      <c r="C540" s="416"/>
      <c r="D540" s="416"/>
      <c r="E540" s="250" t="s">
        <v>767</v>
      </c>
      <c r="F540" s="204">
        <v>298</v>
      </c>
      <c r="G540" s="205"/>
      <c r="H540" s="205"/>
      <c r="I540" s="264">
        <f t="shared" si="12"/>
        <v>298</v>
      </c>
    </row>
    <row r="541" spans="2:9" ht="15.75" hidden="1" customHeight="1" outlineLevel="1" thickBot="1" x14ac:dyDescent="0.3">
      <c r="B541" s="241">
        <f>IF(AND(F541&lt;&gt;"", B536&lt;&gt;""), B536+1, "")</f>
        <v>45908</v>
      </c>
      <c r="C541" s="442">
        <v>45908</v>
      </c>
      <c r="D541" s="443">
        <f>D536+1</f>
        <v>45908</v>
      </c>
      <c r="E541" s="246" t="s">
        <v>394</v>
      </c>
      <c r="F541" s="202">
        <v>958</v>
      </c>
      <c r="G541" s="203">
        <v>538</v>
      </c>
      <c r="H541" s="203">
        <v>770</v>
      </c>
      <c r="I541" s="263">
        <f t="shared" si="12"/>
        <v>726</v>
      </c>
    </row>
    <row r="542" spans="2:9" ht="15.75" hidden="1" customHeight="1" outlineLevel="1" thickBot="1" x14ac:dyDescent="0.3">
      <c r="B542" s="245">
        <f>IF(AND(F541&lt;&gt;"", B537&lt;&gt;""), B537+1, "")</f>
        <v>45908</v>
      </c>
      <c r="C542" s="409"/>
      <c r="D542" s="409"/>
      <c r="E542" s="246" t="s">
        <v>764</v>
      </c>
      <c r="F542" s="202">
        <v>769</v>
      </c>
      <c r="G542" s="203"/>
      <c r="H542" s="203"/>
      <c r="I542" s="263">
        <f t="shared" si="12"/>
        <v>769</v>
      </c>
    </row>
    <row r="543" spans="2:9" ht="15.75" hidden="1" customHeight="1" outlineLevel="1" thickBot="1" x14ac:dyDescent="0.3">
      <c r="B543" s="245">
        <f>IF(AND(F541&lt;&gt;"", B538&lt;&gt;""), B538+1, "")</f>
        <v>45908</v>
      </c>
      <c r="C543" s="409"/>
      <c r="D543" s="409"/>
      <c r="E543" s="246" t="s">
        <v>765</v>
      </c>
      <c r="F543" s="202">
        <v>1370</v>
      </c>
      <c r="G543" s="203">
        <v>0</v>
      </c>
      <c r="H543" s="203">
        <v>500</v>
      </c>
      <c r="I543" s="263">
        <f t="shared" si="12"/>
        <v>870</v>
      </c>
    </row>
    <row r="544" spans="2:9" ht="15.75" hidden="1" customHeight="1" outlineLevel="1" thickBot="1" x14ac:dyDescent="0.3">
      <c r="B544" s="245">
        <f>IF(AND(F541&lt;&gt;"", B539&lt;&gt;""), B539+1, "")</f>
        <v>45908</v>
      </c>
      <c r="C544" s="409"/>
      <c r="D544" s="409"/>
      <c r="E544" s="246" t="s">
        <v>766</v>
      </c>
      <c r="F544" s="202"/>
      <c r="G544" s="203">
        <v>22</v>
      </c>
      <c r="H544" s="203"/>
      <c r="I544" s="263">
        <f t="shared" si="12"/>
        <v>22</v>
      </c>
    </row>
    <row r="545" spans="2:9" ht="15.75" hidden="1" customHeight="1" outlineLevel="1" thickBot="1" x14ac:dyDescent="0.3">
      <c r="B545" s="249">
        <f>IF(AND(F541&lt;&gt;"", B540&lt;&gt;""), B540+1, "")</f>
        <v>45908</v>
      </c>
      <c r="C545" s="416"/>
      <c r="D545" s="416"/>
      <c r="E545" s="250" t="s">
        <v>767</v>
      </c>
      <c r="F545" s="204">
        <v>298</v>
      </c>
      <c r="G545" s="205"/>
      <c r="H545" s="205"/>
      <c r="I545" s="264">
        <f t="shared" si="12"/>
        <v>298</v>
      </c>
    </row>
    <row r="546" spans="2:9" ht="15.75" hidden="1" customHeight="1" outlineLevel="1" thickBot="1" x14ac:dyDescent="0.3">
      <c r="B546" s="241">
        <f>IF(AND(F546&lt;&gt;"", B541&lt;&gt;""), B541+1, "")</f>
        <v>45909</v>
      </c>
      <c r="C546" s="442">
        <v>45909</v>
      </c>
      <c r="D546" s="443">
        <f>D541+1</f>
        <v>45909</v>
      </c>
      <c r="E546" s="246" t="s">
        <v>394</v>
      </c>
      <c r="F546" s="202">
        <v>726</v>
      </c>
      <c r="G546" s="203"/>
      <c r="H546" s="203"/>
      <c r="I546" s="263">
        <f t="shared" si="12"/>
        <v>726</v>
      </c>
    </row>
    <row r="547" spans="2:9" ht="15.75" hidden="1" customHeight="1" outlineLevel="1" thickBot="1" x14ac:dyDescent="0.3">
      <c r="B547" s="245">
        <f>IF(AND(F546&lt;&gt;"", B542&lt;&gt;""), B542+1, "")</f>
        <v>45909</v>
      </c>
      <c r="C547" s="409"/>
      <c r="D547" s="409"/>
      <c r="E547" s="246" t="s">
        <v>764</v>
      </c>
      <c r="F547" s="202">
        <v>769</v>
      </c>
      <c r="G547" s="203"/>
      <c r="H547" s="203"/>
      <c r="I547" s="263">
        <f t="shared" si="12"/>
        <v>769</v>
      </c>
    </row>
    <row r="548" spans="2:9" ht="15.75" hidden="1" customHeight="1" outlineLevel="1" thickBot="1" x14ac:dyDescent="0.3">
      <c r="B548" s="245">
        <f>IF(AND(F546&lt;&gt;"", B543&lt;&gt;""), B543+1, "")</f>
        <v>45909</v>
      </c>
      <c r="C548" s="409"/>
      <c r="D548" s="409"/>
      <c r="E548" s="246" t="s">
        <v>765</v>
      </c>
      <c r="F548" s="202">
        <v>870</v>
      </c>
      <c r="G548" s="203">
        <v>470</v>
      </c>
      <c r="H548" s="203">
        <v>600</v>
      </c>
      <c r="I548" s="263">
        <f t="shared" si="12"/>
        <v>740</v>
      </c>
    </row>
    <row r="549" spans="2:9" ht="15.75" hidden="1" customHeight="1" outlineLevel="1" thickBot="1" x14ac:dyDescent="0.3">
      <c r="B549" s="245">
        <f>IF(AND(F546&lt;&gt;"", B544&lt;&gt;""), B544+1, "")</f>
        <v>45909</v>
      </c>
      <c r="C549" s="409"/>
      <c r="D549" s="409"/>
      <c r="E549" s="246" t="s">
        <v>766</v>
      </c>
      <c r="F549" s="202">
        <v>22</v>
      </c>
      <c r="G549" s="203"/>
      <c r="H549" s="203">
        <v>22</v>
      </c>
      <c r="I549" s="263">
        <f t="shared" si="12"/>
        <v>0</v>
      </c>
    </row>
    <row r="550" spans="2:9" ht="15.75" hidden="1" customHeight="1" outlineLevel="1" thickBot="1" x14ac:dyDescent="0.3">
      <c r="B550" s="249">
        <f>IF(AND(F546&lt;&gt;"", B545&lt;&gt;""), B545+1, "")</f>
        <v>45909</v>
      </c>
      <c r="C550" s="416"/>
      <c r="D550" s="416"/>
      <c r="E550" s="250" t="s">
        <v>767</v>
      </c>
      <c r="F550" s="204">
        <v>298</v>
      </c>
      <c r="G550" s="205"/>
      <c r="H550" s="205"/>
      <c r="I550" s="264">
        <f t="shared" si="12"/>
        <v>298</v>
      </c>
    </row>
    <row r="551" spans="2:9" ht="15.75" hidden="1" customHeight="1" outlineLevel="1" thickBot="1" x14ac:dyDescent="0.3">
      <c r="B551" s="241">
        <f>IF(AND(F551&lt;&gt;"", B546&lt;&gt;""), B546+1, "")</f>
        <v>45910</v>
      </c>
      <c r="C551" s="442">
        <v>45910</v>
      </c>
      <c r="D551" s="443">
        <f>D546+1</f>
        <v>45910</v>
      </c>
      <c r="E551" s="246" t="s">
        <v>394</v>
      </c>
      <c r="F551" s="202">
        <v>755</v>
      </c>
      <c r="G551" s="203"/>
      <c r="H551" s="203"/>
      <c r="I551" s="263">
        <f t="shared" si="12"/>
        <v>755</v>
      </c>
    </row>
    <row r="552" spans="2:9" ht="15.75" hidden="1" customHeight="1" outlineLevel="1" thickBot="1" x14ac:dyDescent="0.3">
      <c r="B552" s="245">
        <f>IF(AND(F551&lt;&gt;"", B547&lt;&gt;""), B547+1, "")</f>
        <v>45910</v>
      </c>
      <c r="C552" s="409"/>
      <c r="D552" s="409"/>
      <c r="E552" s="246" t="s">
        <v>764</v>
      </c>
      <c r="F552" s="202">
        <v>769</v>
      </c>
      <c r="G552" s="203"/>
      <c r="H552" s="203"/>
      <c r="I552" s="263">
        <f t="shared" si="12"/>
        <v>769</v>
      </c>
    </row>
    <row r="553" spans="2:9" ht="15.75" hidden="1" customHeight="1" outlineLevel="1" thickBot="1" x14ac:dyDescent="0.3">
      <c r="B553" s="245">
        <f>IF(AND(F551&lt;&gt;"", B548&lt;&gt;""), B548+1, "")</f>
        <v>45910</v>
      </c>
      <c r="C553" s="409"/>
      <c r="D553" s="409"/>
      <c r="E553" s="246" t="s">
        <v>765</v>
      </c>
      <c r="F553" s="202">
        <v>740</v>
      </c>
      <c r="G553" s="203">
        <v>470</v>
      </c>
      <c r="H553" s="203">
        <v>604</v>
      </c>
      <c r="I553" s="263">
        <f t="shared" si="12"/>
        <v>606</v>
      </c>
    </row>
    <row r="554" spans="2:9" ht="15.75" hidden="1" customHeight="1" outlineLevel="1" thickBot="1" x14ac:dyDescent="0.3">
      <c r="B554" s="245">
        <f>IF(AND(F551&lt;&gt;"", B549&lt;&gt;""), B549+1, "")</f>
        <v>45910</v>
      </c>
      <c r="C554" s="409"/>
      <c r="D554" s="409"/>
      <c r="E554" s="246" t="s">
        <v>766</v>
      </c>
      <c r="F554" s="202">
        <v>0</v>
      </c>
      <c r="G554" s="203"/>
      <c r="H554" s="203"/>
      <c r="I554" s="263">
        <f t="shared" si="12"/>
        <v>0</v>
      </c>
    </row>
    <row r="555" spans="2:9" ht="15.75" hidden="1" customHeight="1" outlineLevel="1" thickBot="1" x14ac:dyDescent="0.3">
      <c r="B555" s="249">
        <f>IF(AND(F551&lt;&gt;"", B550&lt;&gt;""), B550+1, "")</f>
        <v>45910</v>
      </c>
      <c r="C555" s="416"/>
      <c r="D555" s="416"/>
      <c r="E555" s="250" t="s">
        <v>767</v>
      </c>
      <c r="F555" s="204">
        <v>298</v>
      </c>
      <c r="G555" s="205"/>
      <c r="H555" s="205"/>
      <c r="I555" s="264">
        <f t="shared" si="12"/>
        <v>298</v>
      </c>
    </row>
    <row r="556" spans="2:9" ht="15.75" hidden="1" customHeight="1" outlineLevel="1" thickBot="1" x14ac:dyDescent="0.3">
      <c r="B556" s="241">
        <f>IF(AND(F556&lt;&gt;"", B551&lt;&gt;""), B551+1, "")</f>
        <v>45911</v>
      </c>
      <c r="C556" s="442">
        <v>45911</v>
      </c>
      <c r="D556" s="443">
        <f>D551+1</f>
        <v>45911</v>
      </c>
      <c r="E556" s="246" t="s">
        <v>394</v>
      </c>
      <c r="F556" s="202">
        <v>755</v>
      </c>
      <c r="G556" s="203"/>
      <c r="H556" s="203">
        <v>447</v>
      </c>
      <c r="I556" s="263">
        <f t="shared" si="12"/>
        <v>308</v>
      </c>
    </row>
    <row r="557" spans="2:9" ht="15.75" hidden="1" customHeight="1" outlineLevel="1" thickBot="1" x14ac:dyDescent="0.3">
      <c r="B557" s="245">
        <f>IF(AND(F556&lt;&gt;"", B552&lt;&gt;""), B552+1, "")</f>
        <v>45911</v>
      </c>
      <c r="C557" s="409"/>
      <c r="D557" s="409"/>
      <c r="E557" s="246" t="s">
        <v>764</v>
      </c>
      <c r="F557" s="202">
        <v>769</v>
      </c>
      <c r="G557" s="203"/>
      <c r="H557" s="203"/>
      <c r="I557" s="263">
        <f t="shared" ref="I557:I565" si="13">F557+G557-H557</f>
        <v>769</v>
      </c>
    </row>
    <row r="558" spans="2:9" ht="15.75" hidden="1" customHeight="1" outlineLevel="1" thickBot="1" x14ac:dyDescent="0.3">
      <c r="B558" s="245">
        <f>IF(AND(F556&lt;&gt;"", B553&lt;&gt;""), B553+1, "")</f>
        <v>45911</v>
      </c>
      <c r="C558" s="409"/>
      <c r="D558" s="409"/>
      <c r="E558" s="246" t="s">
        <v>765</v>
      </c>
      <c r="F558" s="202">
        <v>932</v>
      </c>
      <c r="G558" s="203">
        <v>470</v>
      </c>
      <c r="H558" s="203"/>
      <c r="I558" s="263">
        <f t="shared" si="13"/>
        <v>1402</v>
      </c>
    </row>
    <row r="559" spans="2:9" ht="15.75" hidden="1" customHeight="1" outlineLevel="1" thickBot="1" x14ac:dyDescent="0.3">
      <c r="B559" s="245">
        <f>IF(AND(F556&lt;&gt;"", B554&lt;&gt;""), B554+1, "")</f>
        <v>45911</v>
      </c>
      <c r="C559" s="409"/>
      <c r="D559" s="409"/>
      <c r="E559" s="246" t="s">
        <v>766</v>
      </c>
      <c r="F559" s="202">
        <v>0</v>
      </c>
      <c r="G559" s="203"/>
      <c r="H559" s="203"/>
      <c r="I559" s="263">
        <f t="shared" si="13"/>
        <v>0</v>
      </c>
    </row>
    <row r="560" spans="2:9" ht="15.75" hidden="1" customHeight="1" outlineLevel="1" thickBot="1" x14ac:dyDescent="0.3">
      <c r="B560" s="249">
        <f>IF(AND(F556&lt;&gt;"", B555&lt;&gt;""), B555+1, "")</f>
        <v>45911</v>
      </c>
      <c r="C560" s="416"/>
      <c r="D560" s="416"/>
      <c r="E560" s="250" t="s">
        <v>767</v>
      </c>
      <c r="F560" s="204">
        <v>298</v>
      </c>
      <c r="G560" s="205"/>
      <c r="H560" s="205"/>
      <c r="I560" s="264">
        <f t="shared" si="13"/>
        <v>298</v>
      </c>
    </row>
    <row r="561" spans="2:9" ht="15.75" hidden="1" customHeight="1" outlineLevel="1" thickBot="1" x14ac:dyDescent="0.3">
      <c r="B561" s="241">
        <f>IF(AND(F561&lt;&gt;"", B556&lt;&gt;""), B556+1, "")</f>
        <v>45912</v>
      </c>
      <c r="C561" s="442">
        <v>45912</v>
      </c>
      <c r="D561" s="443">
        <f>D556+1</f>
        <v>45912</v>
      </c>
      <c r="E561" s="246" t="s">
        <v>394</v>
      </c>
      <c r="F561" s="202">
        <v>293</v>
      </c>
      <c r="G561" s="203"/>
      <c r="H561" s="203"/>
      <c r="I561" s="263">
        <f t="shared" si="13"/>
        <v>293</v>
      </c>
    </row>
    <row r="562" spans="2:9" ht="15.75" hidden="1" customHeight="1" outlineLevel="1" thickBot="1" x14ac:dyDescent="0.3">
      <c r="B562" s="245">
        <f>IF(AND(F561&lt;&gt;"", B557&lt;&gt;""), B557+1, "")</f>
        <v>45912</v>
      </c>
      <c r="C562" s="409"/>
      <c r="D562" s="409"/>
      <c r="E562" s="246" t="s">
        <v>764</v>
      </c>
      <c r="F562" s="202">
        <v>769</v>
      </c>
      <c r="G562" s="203"/>
      <c r="H562" s="203"/>
      <c r="I562" s="263">
        <f t="shared" si="13"/>
        <v>769</v>
      </c>
    </row>
    <row r="563" spans="2:9" ht="15.75" hidden="1" customHeight="1" outlineLevel="1" thickBot="1" x14ac:dyDescent="0.3">
      <c r="B563" s="245">
        <f>IF(AND(F561&lt;&gt;"", B558&lt;&gt;""), B558+1, "")</f>
        <v>45912</v>
      </c>
      <c r="C563" s="409"/>
      <c r="D563" s="409"/>
      <c r="E563" s="246" t="s">
        <v>765</v>
      </c>
      <c r="F563" s="202">
        <v>1402</v>
      </c>
      <c r="G563" s="203">
        <v>440</v>
      </c>
      <c r="H563" s="203">
        <v>400</v>
      </c>
      <c r="I563" s="263">
        <f t="shared" si="13"/>
        <v>1442</v>
      </c>
    </row>
    <row r="564" spans="2:9" ht="15.75" hidden="1" customHeight="1" outlineLevel="1" thickBot="1" x14ac:dyDescent="0.3">
      <c r="B564" s="245">
        <f>IF(AND(F561&lt;&gt;"", B559&lt;&gt;""), B559+1, "")</f>
        <v>45912</v>
      </c>
      <c r="C564" s="409"/>
      <c r="D564" s="409"/>
      <c r="E564" s="246" t="s">
        <v>766</v>
      </c>
      <c r="F564" s="202">
        <v>0</v>
      </c>
      <c r="G564" s="203"/>
      <c r="H564" s="203"/>
      <c r="I564" s="263">
        <f t="shared" si="13"/>
        <v>0</v>
      </c>
    </row>
    <row r="565" spans="2:9" ht="15.75" hidden="1" customHeight="1" outlineLevel="1" thickBot="1" x14ac:dyDescent="0.3">
      <c r="B565" s="249">
        <f>IF(AND(F561&lt;&gt;"", B560&lt;&gt;""), B560+1, "")</f>
        <v>45912</v>
      </c>
      <c r="C565" s="416"/>
      <c r="D565" s="416"/>
      <c r="E565" s="250" t="s">
        <v>767</v>
      </c>
      <c r="F565" s="204">
        <v>298</v>
      </c>
      <c r="G565" s="205"/>
      <c r="H565" s="205">
        <v>20</v>
      </c>
      <c r="I565" s="264">
        <f t="shared" si="13"/>
        <v>278</v>
      </c>
    </row>
    <row r="566" spans="2:9" ht="15.75" hidden="1" customHeight="1" outlineLevel="1" thickBot="1" x14ac:dyDescent="0.3">
      <c r="B566" s="241">
        <f>IF(AND(F566&lt;&gt;"", B561&lt;&gt;""), B561+1, "")</f>
        <v>45913</v>
      </c>
      <c r="C566" s="442">
        <v>45913</v>
      </c>
      <c r="D566" s="443">
        <f>D561+1</f>
        <v>45913</v>
      </c>
      <c r="E566" s="246" t="s">
        <v>394</v>
      </c>
      <c r="F566" s="202">
        <v>293</v>
      </c>
      <c r="G566" s="203"/>
      <c r="H566" s="203" t="s">
        <v>768</v>
      </c>
      <c r="I566" s="263">
        <v>233</v>
      </c>
    </row>
    <row r="567" spans="2:9" ht="15.75" hidden="1" customHeight="1" outlineLevel="1" thickBot="1" x14ac:dyDescent="0.3">
      <c r="B567" s="245">
        <f>IF(AND(F566&lt;&gt;"", B562&lt;&gt;""), B562+1, "")</f>
        <v>45913</v>
      </c>
      <c r="C567" s="409"/>
      <c r="D567" s="409"/>
      <c r="E567" s="246" t="s">
        <v>764</v>
      </c>
      <c r="F567" s="202">
        <v>728</v>
      </c>
      <c r="G567" s="203">
        <v>0</v>
      </c>
      <c r="H567" s="203">
        <v>728</v>
      </c>
      <c r="I567" s="263">
        <f t="shared" ref="I567:I630" si="14">F567+G567-H567</f>
        <v>0</v>
      </c>
    </row>
    <row r="568" spans="2:9" ht="15.75" hidden="1" customHeight="1" outlineLevel="1" thickBot="1" x14ac:dyDescent="0.3">
      <c r="B568" s="245">
        <f>IF(AND(F566&lt;&gt;"", B563&lt;&gt;""), B563+1, "")</f>
        <v>45913</v>
      </c>
      <c r="C568" s="409"/>
      <c r="D568" s="409"/>
      <c r="E568" s="246" t="s">
        <v>765</v>
      </c>
      <c r="F568" s="202">
        <v>1402</v>
      </c>
      <c r="G568" s="203">
        <v>470</v>
      </c>
      <c r="H568" s="203">
        <v>0</v>
      </c>
      <c r="I568" s="263">
        <f t="shared" si="14"/>
        <v>1872</v>
      </c>
    </row>
    <row r="569" spans="2:9" ht="15.75" hidden="1" customHeight="1" outlineLevel="1" thickBot="1" x14ac:dyDescent="0.3">
      <c r="B569" s="245">
        <f>IF(AND(F566&lt;&gt;"", B564&lt;&gt;""), B564+1, "")</f>
        <v>45913</v>
      </c>
      <c r="C569" s="409"/>
      <c r="D569" s="409"/>
      <c r="E569" s="246" t="s">
        <v>766</v>
      </c>
      <c r="F569" s="202">
        <v>0</v>
      </c>
      <c r="G569" s="203"/>
      <c r="H569" s="203"/>
      <c r="I569" s="263">
        <f t="shared" si="14"/>
        <v>0</v>
      </c>
    </row>
    <row r="570" spans="2:9" ht="15.75" hidden="1" customHeight="1" outlineLevel="1" thickBot="1" x14ac:dyDescent="0.3">
      <c r="B570" s="249">
        <f>IF(AND(F566&lt;&gt;"", B565&lt;&gt;""), B565+1, "")</f>
        <v>45913</v>
      </c>
      <c r="C570" s="416"/>
      <c r="D570" s="416"/>
      <c r="E570" s="250" t="s">
        <v>767</v>
      </c>
      <c r="F570" s="204">
        <v>278</v>
      </c>
      <c r="G570" s="205"/>
      <c r="H570" s="205">
        <v>5</v>
      </c>
      <c r="I570" s="264">
        <f t="shared" si="14"/>
        <v>273</v>
      </c>
    </row>
    <row r="571" spans="2:9" ht="15.75" hidden="1" customHeight="1" outlineLevel="1" thickBot="1" x14ac:dyDescent="0.3">
      <c r="B571" s="241">
        <f>IF(AND(F571&lt;&gt;"", B566&lt;&gt;""), B566+1, "")</f>
        <v>45914</v>
      </c>
      <c r="C571" s="442">
        <v>45914</v>
      </c>
      <c r="D571" s="443">
        <f>D566+1</f>
        <v>45914</v>
      </c>
      <c r="E571" s="246" t="s">
        <v>394</v>
      </c>
      <c r="F571" s="202">
        <v>233</v>
      </c>
      <c r="G571" s="203"/>
      <c r="H571" s="203"/>
      <c r="I571" s="263">
        <f t="shared" si="14"/>
        <v>233</v>
      </c>
    </row>
    <row r="572" spans="2:9" ht="15.75" hidden="1" customHeight="1" outlineLevel="1" thickBot="1" x14ac:dyDescent="0.3">
      <c r="B572" s="245">
        <f>IF(AND(F571&lt;&gt;"", B567&lt;&gt;""), B567+1, "")</f>
        <v>45914</v>
      </c>
      <c r="C572" s="409"/>
      <c r="D572" s="409"/>
      <c r="E572" s="246" t="s">
        <v>764</v>
      </c>
      <c r="F572" s="202">
        <v>0</v>
      </c>
      <c r="G572" s="203"/>
      <c r="H572" s="203"/>
      <c r="I572" s="263">
        <f t="shared" si="14"/>
        <v>0</v>
      </c>
    </row>
    <row r="573" spans="2:9" ht="15.75" hidden="1" customHeight="1" outlineLevel="1" thickBot="1" x14ac:dyDescent="0.3">
      <c r="B573" s="245">
        <f>IF(AND(F571&lt;&gt;"", B568&lt;&gt;""), B568+1, "")</f>
        <v>45914</v>
      </c>
      <c r="C573" s="409"/>
      <c r="D573" s="409"/>
      <c r="E573" s="246" t="s">
        <v>765</v>
      </c>
      <c r="F573" s="202">
        <v>1872</v>
      </c>
      <c r="G573" s="203">
        <v>450</v>
      </c>
      <c r="H573" s="203">
        <v>770</v>
      </c>
      <c r="I573" s="263">
        <f t="shared" si="14"/>
        <v>1552</v>
      </c>
    </row>
    <row r="574" spans="2:9" ht="15.75" hidden="1" customHeight="1" outlineLevel="1" thickBot="1" x14ac:dyDescent="0.3">
      <c r="B574" s="245">
        <f>IF(AND(F571&lt;&gt;"", B569&lt;&gt;""), B569+1, "")</f>
        <v>45914</v>
      </c>
      <c r="C574" s="409"/>
      <c r="D574" s="409"/>
      <c r="E574" s="246" t="s">
        <v>766</v>
      </c>
      <c r="F574" s="202">
        <v>0</v>
      </c>
      <c r="G574" s="203"/>
      <c r="H574" s="203"/>
      <c r="I574" s="263">
        <f t="shared" si="14"/>
        <v>0</v>
      </c>
    </row>
    <row r="575" spans="2:9" ht="15.75" hidden="1" customHeight="1" outlineLevel="1" thickBot="1" x14ac:dyDescent="0.3">
      <c r="B575" s="249">
        <f>IF(AND(F571&lt;&gt;"", B570&lt;&gt;""), B570+1, "")</f>
        <v>45914</v>
      </c>
      <c r="C575" s="416"/>
      <c r="D575" s="416"/>
      <c r="E575" s="250" t="s">
        <v>767</v>
      </c>
      <c r="F575" s="204">
        <v>278</v>
      </c>
      <c r="G575" s="205"/>
      <c r="H575" s="205">
        <v>30</v>
      </c>
      <c r="I575" s="264">
        <f t="shared" si="14"/>
        <v>248</v>
      </c>
    </row>
    <row r="576" spans="2:9" ht="15.75" hidden="1" customHeight="1" outlineLevel="1" thickBot="1" x14ac:dyDescent="0.3">
      <c r="B576" s="241">
        <f>IF(AND(F576&lt;&gt;"", B571&lt;&gt;""), B571+1, "")</f>
        <v>45915</v>
      </c>
      <c r="C576" s="442">
        <v>45915</v>
      </c>
      <c r="D576" s="443">
        <f>D571+1</f>
        <v>45915</v>
      </c>
      <c r="E576" s="246" t="s">
        <v>394</v>
      </c>
      <c r="F576" s="202">
        <v>200</v>
      </c>
      <c r="G576" s="203"/>
      <c r="H576" s="203"/>
      <c r="I576" s="263">
        <f t="shared" si="14"/>
        <v>200</v>
      </c>
    </row>
    <row r="577" spans="2:9" ht="15.75" hidden="1" customHeight="1" outlineLevel="1" thickBot="1" x14ac:dyDescent="0.3">
      <c r="B577" s="245">
        <f>IF(AND(F576&lt;&gt;"", B572&lt;&gt;""), B572+1, "")</f>
        <v>45915</v>
      </c>
      <c r="C577" s="409"/>
      <c r="D577" s="409"/>
      <c r="E577" s="246" t="s">
        <v>764</v>
      </c>
      <c r="F577" s="202">
        <v>0</v>
      </c>
      <c r="G577" s="203"/>
      <c r="H577" s="203"/>
      <c r="I577" s="263">
        <f t="shared" si="14"/>
        <v>0</v>
      </c>
    </row>
    <row r="578" spans="2:9" ht="15.75" hidden="1" customHeight="1" outlineLevel="1" thickBot="1" x14ac:dyDescent="0.3">
      <c r="B578" s="245">
        <f>IF(AND(F576&lt;&gt;"", B573&lt;&gt;""), B573+1, "")</f>
        <v>45915</v>
      </c>
      <c r="C578" s="409"/>
      <c r="D578" s="409"/>
      <c r="E578" s="246" t="s">
        <v>765</v>
      </c>
      <c r="F578" s="202">
        <v>1872</v>
      </c>
      <c r="G578" s="203">
        <v>470</v>
      </c>
      <c r="H578" s="203">
        <v>712</v>
      </c>
      <c r="I578" s="263">
        <f t="shared" si="14"/>
        <v>1630</v>
      </c>
    </row>
    <row r="579" spans="2:9" ht="15.75" hidden="1" customHeight="1" outlineLevel="1" thickBot="1" x14ac:dyDescent="0.3">
      <c r="B579" s="245">
        <f>IF(AND(F576&lt;&gt;"", B574&lt;&gt;""), B574+1, "")</f>
        <v>45915</v>
      </c>
      <c r="C579" s="409"/>
      <c r="D579" s="409"/>
      <c r="E579" s="246" t="s">
        <v>766</v>
      </c>
      <c r="F579" s="202">
        <v>0</v>
      </c>
      <c r="G579" s="203"/>
      <c r="H579" s="203"/>
      <c r="I579" s="263">
        <f t="shared" si="14"/>
        <v>0</v>
      </c>
    </row>
    <row r="580" spans="2:9" ht="15.75" hidden="1" customHeight="1" outlineLevel="1" thickBot="1" x14ac:dyDescent="0.3">
      <c r="B580" s="249">
        <f>IF(AND(F576&lt;&gt;"", B575&lt;&gt;""), B575+1, "")</f>
        <v>45915</v>
      </c>
      <c r="C580" s="416"/>
      <c r="D580" s="416"/>
      <c r="E580" s="250" t="s">
        <v>767</v>
      </c>
      <c r="F580" s="204">
        <v>248</v>
      </c>
      <c r="G580" s="205"/>
      <c r="H580" s="205"/>
      <c r="I580" s="264">
        <f t="shared" si="14"/>
        <v>248</v>
      </c>
    </row>
    <row r="581" spans="2:9" ht="15.75" hidden="1" customHeight="1" outlineLevel="1" thickBot="1" x14ac:dyDescent="0.3">
      <c r="B581" s="241">
        <f>IF(AND(F581&lt;&gt;"", B576&lt;&gt;""), B576+1, "")</f>
        <v>45916</v>
      </c>
      <c r="C581" s="442">
        <v>45916</v>
      </c>
      <c r="D581" s="443">
        <f>D576+1</f>
        <v>45916</v>
      </c>
      <c r="E581" s="246" t="s">
        <v>394</v>
      </c>
      <c r="F581" s="202">
        <v>200</v>
      </c>
      <c r="G581" s="203"/>
      <c r="H581" s="203"/>
      <c r="I581" s="263">
        <f t="shared" si="14"/>
        <v>200</v>
      </c>
    </row>
    <row r="582" spans="2:9" ht="15.75" hidden="1" customHeight="1" outlineLevel="1" thickBot="1" x14ac:dyDescent="0.3">
      <c r="B582" s="245">
        <f>IF(AND(F581&lt;&gt;"", B577&lt;&gt;""), B577+1, "")</f>
        <v>45916</v>
      </c>
      <c r="C582" s="409"/>
      <c r="D582" s="409"/>
      <c r="E582" s="246" t="s">
        <v>764</v>
      </c>
      <c r="F582" s="202">
        <v>0</v>
      </c>
      <c r="G582" s="203"/>
      <c r="H582" s="203"/>
      <c r="I582" s="263">
        <f t="shared" si="14"/>
        <v>0</v>
      </c>
    </row>
    <row r="583" spans="2:9" ht="15.75" hidden="1" customHeight="1" outlineLevel="1" thickBot="1" x14ac:dyDescent="0.3">
      <c r="B583" s="245">
        <f>IF(AND(F581&lt;&gt;"", B578&lt;&gt;""), B578+1, "")</f>
        <v>45916</v>
      </c>
      <c r="C583" s="409"/>
      <c r="D583" s="409"/>
      <c r="E583" s="246" t="s">
        <v>765</v>
      </c>
      <c r="F583" s="202">
        <v>1630</v>
      </c>
      <c r="G583" s="203">
        <v>470</v>
      </c>
      <c r="H583" s="203">
        <v>786</v>
      </c>
      <c r="I583" s="263">
        <f t="shared" si="14"/>
        <v>1314</v>
      </c>
    </row>
    <row r="584" spans="2:9" ht="15.75" hidden="1" customHeight="1" outlineLevel="1" thickBot="1" x14ac:dyDescent="0.3">
      <c r="B584" s="245">
        <f>IF(AND(F581&lt;&gt;"", B579&lt;&gt;""), B579+1, "")</f>
        <v>45916</v>
      </c>
      <c r="C584" s="409"/>
      <c r="D584" s="409"/>
      <c r="E584" s="246" t="s">
        <v>766</v>
      </c>
      <c r="F584" s="202">
        <v>0</v>
      </c>
      <c r="G584" s="203"/>
      <c r="H584" s="203"/>
      <c r="I584" s="263">
        <f t="shared" si="14"/>
        <v>0</v>
      </c>
    </row>
    <row r="585" spans="2:9" ht="15.75" hidden="1" customHeight="1" outlineLevel="1" thickBot="1" x14ac:dyDescent="0.3">
      <c r="B585" s="249">
        <f>IF(AND(F581&lt;&gt;"", B580&lt;&gt;""), B580+1, "")</f>
        <v>45916</v>
      </c>
      <c r="C585" s="416"/>
      <c r="D585" s="416"/>
      <c r="E585" s="250" t="s">
        <v>767</v>
      </c>
      <c r="F585" s="204">
        <v>248</v>
      </c>
      <c r="G585" s="205"/>
      <c r="H585" s="205"/>
      <c r="I585" s="264">
        <f t="shared" si="14"/>
        <v>248</v>
      </c>
    </row>
    <row r="586" spans="2:9" ht="15.75" hidden="1" customHeight="1" outlineLevel="1" thickBot="1" x14ac:dyDescent="0.3">
      <c r="B586" s="241">
        <f>IF(AND(F586&lt;&gt;"", B581&lt;&gt;""), B581+1, "")</f>
        <v>45917</v>
      </c>
      <c r="C586" s="442">
        <v>45917</v>
      </c>
      <c r="D586" s="443">
        <f>D581+1</f>
        <v>45917</v>
      </c>
      <c r="E586" s="246" t="s">
        <v>394</v>
      </c>
      <c r="F586" s="202">
        <v>200</v>
      </c>
      <c r="G586" s="203"/>
      <c r="H586" s="203"/>
      <c r="I586" s="263">
        <f t="shared" si="14"/>
        <v>200</v>
      </c>
    </row>
    <row r="587" spans="2:9" ht="15.75" hidden="1" customHeight="1" outlineLevel="1" thickBot="1" x14ac:dyDescent="0.3">
      <c r="B587" s="245">
        <f>IF(AND(F586&lt;&gt;"", B582&lt;&gt;""), B582+1, "")</f>
        <v>45917</v>
      </c>
      <c r="C587" s="409"/>
      <c r="D587" s="409"/>
      <c r="E587" s="246" t="s">
        <v>764</v>
      </c>
      <c r="F587" s="202">
        <v>0</v>
      </c>
      <c r="G587" s="203"/>
      <c r="H587" s="203"/>
      <c r="I587" s="263">
        <f t="shared" si="14"/>
        <v>0</v>
      </c>
    </row>
    <row r="588" spans="2:9" ht="15.75" hidden="1" customHeight="1" outlineLevel="1" thickBot="1" x14ac:dyDescent="0.3">
      <c r="B588" s="245">
        <f>IF(AND(F586&lt;&gt;"", B583&lt;&gt;""), B583+1, "")</f>
        <v>45917</v>
      </c>
      <c r="C588" s="409"/>
      <c r="D588" s="409"/>
      <c r="E588" s="246" t="s">
        <v>765</v>
      </c>
      <c r="F588" s="202">
        <v>962</v>
      </c>
      <c r="G588" s="203">
        <v>445</v>
      </c>
      <c r="H588" s="203">
        <v>490</v>
      </c>
      <c r="I588" s="263">
        <f t="shared" si="14"/>
        <v>917</v>
      </c>
    </row>
    <row r="589" spans="2:9" ht="15.75" hidden="1" customHeight="1" outlineLevel="1" thickBot="1" x14ac:dyDescent="0.3">
      <c r="B589" s="245">
        <f>IF(AND(F586&lt;&gt;"", B584&lt;&gt;""), B584+1, "")</f>
        <v>45917</v>
      </c>
      <c r="C589" s="409"/>
      <c r="D589" s="409"/>
      <c r="E589" s="246" t="s">
        <v>766</v>
      </c>
      <c r="F589" s="202">
        <v>0</v>
      </c>
      <c r="G589" s="203"/>
      <c r="H589" s="203"/>
      <c r="I589" s="263">
        <f t="shared" si="14"/>
        <v>0</v>
      </c>
    </row>
    <row r="590" spans="2:9" ht="15.75" hidden="1" customHeight="1" outlineLevel="1" thickBot="1" x14ac:dyDescent="0.3">
      <c r="B590" s="249">
        <f>IF(AND(F586&lt;&gt;"", B585&lt;&gt;""), B585+1, "")</f>
        <v>45917</v>
      </c>
      <c r="C590" s="416"/>
      <c r="D590" s="416"/>
      <c r="E590" s="250" t="s">
        <v>767</v>
      </c>
      <c r="F590" s="204">
        <v>248</v>
      </c>
      <c r="G590" s="205"/>
      <c r="H590" s="205">
        <v>50</v>
      </c>
      <c r="I590" s="264">
        <f t="shared" si="14"/>
        <v>198</v>
      </c>
    </row>
    <row r="591" spans="2:9" ht="15.75" hidden="1" customHeight="1" outlineLevel="1" thickBot="1" x14ac:dyDescent="0.3">
      <c r="B591" s="241">
        <f>IF(AND(F591&lt;&gt;"", B586&lt;&gt;""), B586+1, "")</f>
        <v>45918</v>
      </c>
      <c r="C591" s="442">
        <v>45918</v>
      </c>
      <c r="D591" s="443">
        <f>D586+1</f>
        <v>45918</v>
      </c>
      <c r="E591" s="246" t="s">
        <v>394</v>
      </c>
      <c r="F591" s="202">
        <v>0</v>
      </c>
      <c r="G591" s="203"/>
      <c r="H591" s="203"/>
      <c r="I591" s="263">
        <f t="shared" si="14"/>
        <v>0</v>
      </c>
    </row>
    <row r="592" spans="2:9" ht="15.75" hidden="1" customHeight="1" outlineLevel="1" thickBot="1" x14ac:dyDescent="0.3">
      <c r="B592" s="245">
        <f>IF(AND(F591&lt;&gt;"", B587&lt;&gt;""), B587+1, "")</f>
        <v>45918</v>
      </c>
      <c r="C592" s="409"/>
      <c r="D592" s="409"/>
      <c r="E592" s="246" t="s">
        <v>764</v>
      </c>
      <c r="F592" s="202"/>
      <c r="G592" s="203"/>
      <c r="H592" s="203"/>
      <c r="I592" s="263">
        <f t="shared" si="14"/>
        <v>0</v>
      </c>
    </row>
    <row r="593" spans="2:9" ht="15.75" hidden="1" customHeight="1" outlineLevel="1" thickBot="1" x14ac:dyDescent="0.3">
      <c r="B593" s="245">
        <f>IF(AND(F591&lt;&gt;"", B588&lt;&gt;""), B588+1, "")</f>
        <v>45918</v>
      </c>
      <c r="C593" s="409"/>
      <c r="D593" s="409"/>
      <c r="E593" s="246" t="s">
        <v>765</v>
      </c>
      <c r="F593" s="202"/>
      <c r="G593" s="203"/>
      <c r="H593" s="203"/>
      <c r="I593" s="263">
        <f t="shared" si="14"/>
        <v>0</v>
      </c>
    </row>
    <row r="594" spans="2:9" ht="15.75" hidden="1" customHeight="1" outlineLevel="1" thickBot="1" x14ac:dyDescent="0.3">
      <c r="B594" s="245">
        <f>IF(AND(F591&lt;&gt;"", B589&lt;&gt;""), B589+1, "")</f>
        <v>45918</v>
      </c>
      <c r="C594" s="409"/>
      <c r="D594" s="409"/>
      <c r="E594" s="246" t="s">
        <v>766</v>
      </c>
      <c r="F594" s="202"/>
      <c r="G594" s="203"/>
      <c r="H594" s="203"/>
      <c r="I594" s="263">
        <f t="shared" si="14"/>
        <v>0</v>
      </c>
    </row>
    <row r="595" spans="2:9" ht="15.75" hidden="1" customHeight="1" outlineLevel="1" thickBot="1" x14ac:dyDescent="0.3">
      <c r="B595" s="249">
        <f>IF(AND(F591&lt;&gt;"", B590&lt;&gt;""), B590+1, "")</f>
        <v>45918</v>
      </c>
      <c r="C595" s="416"/>
      <c r="D595" s="416"/>
      <c r="E595" s="250" t="s">
        <v>767</v>
      </c>
      <c r="F595" s="204"/>
      <c r="G595" s="205"/>
      <c r="H595" s="205"/>
      <c r="I595" s="264">
        <f t="shared" si="14"/>
        <v>0</v>
      </c>
    </row>
    <row r="596" spans="2:9" ht="15.75" hidden="1" customHeight="1" outlineLevel="1" thickBot="1" x14ac:dyDescent="0.3">
      <c r="B596" s="241">
        <f>IF(AND(F596&lt;&gt;"", B591&lt;&gt;""), B591+1, "")</f>
        <v>45919</v>
      </c>
      <c r="C596" s="442">
        <v>45919</v>
      </c>
      <c r="D596" s="443">
        <f>D591+1</f>
        <v>45919</v>
      </c>
      <c r="E596" s="246" t="s">
        <v>394</v>
      </c>
      <c r="F596" s="202">
        <v>0</v>
      </c>
      <c r="G596" s="203"/>
      <c r="H596" s="203"/>
      <c r="I596" s="263">
        <f t="shared" si="14"/>
        <v>0</v>
      </c>
    </row>
    <row r="597" spans="2:9" ht="15.75" hidden="1" customHeight="1" outlineLevel="1" thickBot="1" x14ac:dyDescent="0.3">
      <c r="B597" s="245">
        <f>IF(AND(F596&lt;&gt;"", B592&lt;&gt;""), B592+1, "")</f>
        <v>45919</v>
      </c>
      <c r="C597" s="409"/>
      <c r="D597" s="409"/>
      <c r="E597" s="246" t="s">
        <v>764</v>
      </c>
      <c r="F597" s="202">
        <v>0</v>
      </c>
      <c r="G597" s="203"/>
      <c r="H597" s="203"/>
      <c r="I597" s="263">
        <f t="shared" si="14"/>
        <v>0</v>
      </c>
    </row>
    <row r="598" spans="2:9" ht="15.75" hidden="1" customHeight="1" outlineLevel="1" thickBot="1" x14ac:dyDescent="0.3">
      <c r="B598" s="245">
        <f>IF(AND(F596&lt;&gt;"", B593&lt;&gt;""), B593+1, "")</f>
        <v>45919</v>
      </c>
      <c r="C598" s="409"/>
      <c r="D598" s="409"/>
      <c r="E598" s="246" t="s">
        <v>765</v>
      </c>
      <c r="F598" s="202"/>
      <c r="G598" s="203"/>
      <c r="H598" s="203"/>
      <c r="I598" s="263">
        <f t="shared" si="14"/>
        <v>0</v>
      </c>
    </row>
    <row r="599" spans="2:9" ht="15.75" hidden="1" customHeight="1" outlineLevel="1" thickBot="1" x14ac:dyDescent="0.3">
      <c r="B599" s="245">
        <f>IF(AND(F596&lt;&gt;"", B594&lt;&gt;""), B594+1, "")</f>
        <v>45919</v>
      </c>
      <c r="C599" s="409"/>
      <c r="D599" s="409"/>
      <c r="E599" s="246" t="s">
        <v>766</v>
      </c>
      <c r="F599" s="202"/>
      <c r="G599" s="203"/>
      <c r="H599" s="203"/>
      <c r="I599" s="263">
        <f t="shared" si="14"/>
        <v>0</v>
      </c>
    </row>
    <row r="600" spans="2:9" ht="15.75" hidden="1" customHeight="1" outlineLevel="1" thickBot="1" x14ac:dyDescent="0.3">
      <c r="B600" s="249">
        <f>IF(AND(F596&lt;&gt;"", B595&lt;&gt;""), B595+1, "")</f>
        <v>45919</v>
      </c>
      <c r="C600" s="416"/>
      <c r="D600" s="416"/>
      <c r="E600" s="250" t="s">
        <v>767</v>
      </c>
      <c r="F600" s="204"/>
      <c r="G600" s="205"/>
      <c r="H600" s="205"/>
      <c r="I600" s="264">
        <f t="shared" si="14"/>
        <v>0</v>
      </c>
    </row>
    <row r="601" spans="2:9" ht="15.75" hidden="1" customHeight="1" outlineLevel="1" thickBot="1" x14ac:dyDescent="0.3">
      <c r="B601" s="241">
        <f>IF(AND(F601&lt;&gt;"", B596&lt;&gt;""), B596+1, "")</f>
        <v>45920</v>
      </c>
      <c r="C601" s="442">
        <v>45920</v>
      </c>
      <c r="D601" s="443">
        <f>D596+1</f>
        <v>45920</v>
      </c>
      <c r="E601" s="246" t="s">
        <v>394</v>
      </c>
      <c r="F601" s="202">
        <v>200</v>
      </c>
      <c r="G601" s="203"/>
      <c r="H601" s="203"/>
      <c r="I601" s="263">
        <f t="shared" si="14"/>
        <v>200</v>
      </c>
    </row>
    <row r="602" spans="2:9" ht="15.75" hidden="1" customHeight="1" outlineLevel="1" thickBot="1" x14ac:dyDescent="0.3">
      <c r="B602" s="245">
        <f>IF(AND(F601&lt;&gt;"", B597&lt;&gt;""), B597+1, "")</f>
        <v>45920</v>
      </c>
      <c r="C602" s="409"/>
      <c r="D602" s="409"/>
      <c r="E602" s="246" t="s">
        <v>764</v>
      </c>
      <c r="F602" s="202">
        <v>0</v>
      </c>
      <c r="G602" s="203"/>
      <c r="H602" s="203"/>
      <c r="I602" s="263">
        <f t="shared" si="14"/>
        <v>0</v>
      </c>
    </row>
    <row r="603" spans="2:9" ht="15.75" hidden="1" customHeight="1" outlineLevel="1" thickBot="1" x14ac:dyDescent="0.3">
      <c r="B603" s="245">
        <f>IF(AND(F601&lt;&gt;"", B598&lt;&gt;""), B598+1, "")</f>
        <v>45920</v>
      </c>
      <c r="C603" s="409"/>
      <c r="D603" s="409"/>
      <c r="E603" s="246" t="s">
        <v>765</v>
      </c>
      <c r="F603" s="202">
        <v>962</v>
      </c>
      <c r="G603" s="203">
        <v>445</v>
      </c>
      <c r="H603" s="203">
        <v>490</v>
      </c>
      <c r="I603" s="263">
        <f t="shared" si="14"/>
        <v>917</v>
      </c>
    </row>
    <row r="604" spans="2:9" ht="15.75" hidden="1" customHeight="1" outlineLevel="1" thickBot="1" x14ac:dyDescent="0.3">
      <c r="B604" s="245">
        <f>IF(AND(F601&lt;&gt;"", B599&lt;&gt;""), B599+1, "")</f>
        <v>45920</v>
      </c>
      <c r="C604" s="409"/>
      <c r="D604" s="409"/>
      <c r="E604" s="246" t="s">
        <v>766</v>
      </c>
      <c r="F604" s="202">
        <v>0</v>
      </c>
      <c r="G604" s="203"/>
      <c r="H604" s="203"/>
      <c r="I604" s="263">
        <f t="shared" si="14"/>
        <v>0</v>
      </c>
    </row>
    <row r="605" spans="2:9" ht="15.75" hidden="1" customHeight="1" outlineLevel="1" thickBot="1" x14ac:dyDescent="0.3">
      <c r="B605" s="249">
        <f>IF(AND(F601&lt;&gt;"", B600&lt;&gt;""), B600+1, "")</f>
        <v>45920</v>
      </c>
      <c r="C605" s="416"/>
      <c r="D605" s="416"/>
      <c r="E605" s="250" t="s">
        <v>767</v>
      </c>
      <c r="F605" s="204">
        <v>248</v>
      </c>
      <c r="G605" s="205"/>
      <c r="H605" s="205">
        <v>50</v>
      </c>
      <c r="I605" s="264">
        <f t="shared" si="14"/>
        <v>198</v>
      </c>
    </row>
    <row r="606" spans="2:9" ht="15.75" hidden="1" customHeight="1" outlineLevel="1" thickBot="1" x14ac:dyDescent="0.3">
      <c r="B606" s="241">
        <f>IF(AND(F606&lt;&gt;"", B601&lt;&gt;""), B601+1, "")</f>
        <v>45921</v>
      </c>
      <c r="C606" s="442">
        <v>45921</v>
      </c>
      <c r="D606" s="443">
        <f>D601+1</f>
        <v>45921</v>
      </c>
      <c r="E606" s="246" t="s">
        <v>394</v>
      </c>
      <c r="F606" s="202">
        <v>200</v>
      </c>
      <c r="G606" s="203"/>
      <c r="H606" s="203"/>
      <c r="I606" s="263">
        <f t="shared" si="14"/>
        <v>200</v>
      </c>
    </row>
    <row r="607" spans="2:9" ht="15.75" hidden="1" customHeight="1" outlineLevel="1" thickBot="1" x14ac:dyDescent="0.3">
      <c r="B607" s="245">
        <f>IF(AND(F606&lt;&gt;"", B602&lt;&gt;""), B602+1, "")</f>
        <v>45921</v>
      </c>
      <c r="C607" s="409"/>
      <c r="D607" s="409"/>
      <c r="E607" s="246" t="s">
        <v>764</v>
      </c>
      <c r="F607" s="202">
        <v>0</v>
      </c>
      <c r="G607" s="203"/>
      <c r="H607" s="203"/>
      <c r="I607" s="263">
        <f t="shared" si="14"/>
        <v>0</v>
      </c>
    </row>
    <row r="608" spans="2:9" ht="15.75" hidden="1" customHeight="1" outlineLevel="1" thickBot="1" x14ac:dyDescent="0.3">
      <c r="B608" s="245">
        <f>IF(AND(F606&lt;&gt;"", B603&lt;&gt;""), B603+1, "")</f>
        <v>45921</v>
      </c>
      <c r="C608" s="409"/>
      <c r="D608" s="409"/>
      <c r="E608" s="246" t="s">
        <v>765</v>
      </c>
      <c r="F608" s="202">
        <v>917</v>
      </c>
      <c r="G608" s="203">
        <v>470</v>
      </c>
      <c r="H608" s="203">
        <v>460</v>
      </c>
      <c r="I608" s="263">
        <f t="shared" si="14"/>
        <v>927</v>
      </c>
    </row>
    <row r="609" spans="2:9" ht="15.75" hidden="1" customHeight="1" outlineLevel="1" thickBot="1" x14ac:dyDescent="0.3">
      <c r="B609" s="245">
        <f>IF(AND(F606&lt;&gt;"", B604&lt;&gt;""), B604+1, "")</f>
        <v>45921</v>
      </c>
      <c r="C609" s="409"/>
      <c r="D609" s="409"/>
      <c r="E609" s="246" t="s">
        <v>766</v>
      </c>
      <c r="F609" s="202">
        <v>0</v>
      </c>
      <c r="G609" s="203"/>
      <c r="H609" s="203"/>
      <c r="I609" s="263">
        <f t="shared" si="14"/>
        <v>0</v>
      </c>
    </row>
    <row r="610" spans="2:9" ht="15.75" hidden="1" customHeight="1" outlineLevel="1" thickBot="1" x14ac:dyDescent="0.3">
      <c r="B610" s="249">
        <f>IF(AND(F606&lt;&gt;"", B605&lt;&gt;""), B605+1, "")</f>
        <v>45921</v>
      </c>
      <c r="C610" s="416"/>
      <c r="D610" s="416"/>
      <c r="E610" s="250" t="s">
        <v>767</v>
      </c>
      <c r="F610" s="204">
        <v>198</v>
      </c>
      <c r="G610" s="205"/>
      <c r="H610" s="205"/>
      <c r="I610" s="264">
        <f t="shared" si="14"/>
        <v>198</v>
      </c>
    </row>
    <row r="611" spans="2:9" ht="15.75" hidden="1" customHeight="1" outlineLevel="1" thickBot="1" x14ac:dyDescent="0.3">
      <c r="B611" s="241">
        <f>IF(AND(F611&lt;&gt;"", B606&lt;&gt;""), B606+1, "")</f>
        <v>45922</v>
      </c>
      <c r="C611" s="442">
        <v>45922</v>
      </c>
      <c r="D611" s="443">
        <f>D606+1</f>
        <v>45922</v>
      </c>
      <c r="E611" s="246" t="s">
        <v>394</v>
      </c>
      <c r="F611" s="202">
        <v>200</v>
      </c>
      <c r="G611" s="203"/>
      <c r="H611" s="203"/>
      <c r="I611" s="263">
        <f t="shared" si="14"/>
        <v>200</v>
      </c>
    </row>
    <row r="612" spans="2:9" ht="15.75" hidden="1" customHeight="1" outlineLevel="1" thickBot="1" x14ac:dyDescent="0.3">
      <c r="B612" s="245">
        <f>IF(AND(F611&lt;&gt;"", B607&lt;&gt;""), B607+1, "")</f>
        <v>45922</v>
      </c>
      <c r="C612" s="409"/>
      <c r="D612" s="409"/>
      <c r="E612" s="246" t="s">
        <v>764</v>
      </c>
      <c r="F612" s="202">
        <v>0</v>
      </c>
      <c r="G612" s="203"/>
      <c r="H612" s="203"/>
      <c r="I612" s="263">
        <f t="shared" si="14"/>
        <v>0</v>
      </c>
    </row>
    <row r="613" spans="2:9" ht="15.75" hidden="1" customHeight="1" outlineLevel="1" thickBot="1" x14ac:dyDescent="0.3">
      <c r="B613" s="245">
        <f>IF(AND(F611&lt;&gt;"", B608&lt;&gt;""), B608+1, "")</f>
        <v>45922</v>
      </c>
      <c r="C613" s="409"/>
      <c r="D613" s="409"/>
      <c r="E613" s="246" t="s">
        <v>765</v>
      </c>
      <c r="F613" s="202">
        <v>927</v>
      </c>
      <c r="G613" s="203">
        <v>470</v>
      </c>
      <c r="H613" s="203">
        <v>439</v>
      </c>
      <c r="I613" s="263">
        <f t="shared" si="14"/>
        <v>958</v>
      </c>
    </row>
    <row r="614" spans="2:9" ht="15.75" hidden="1" customHeight="1" outlineLevel="1" thickBot="1" x14ac:dyDescent="0.3">
      <c r="B614" s="245">
        <f>IF(AND(F611&lt;&gt;"", B609&lt;&gt;""), B609+1, "")</f>
        <v>45922</v>
      </c>
      <c r="C614" s="409"/>
      <c r="D614" s="409"/>
      <c r="E614" s="246" t="s">
        <v>766</v>
      </c>
      <c r="F614" s="202">
        <v>0</v>
      </c>
      <c r="G614" s="203"/>
      <c r="H614" s="203"/>
      <c r="I614" s="263">
        <f t="shared" si="14"/>
        <v>0</v>
      </c>
    </row>
    <row r="615" spans="2:9" ht="15.75" hidden="1" customHeight="1" outlineLevel="1" thickBot="1" x14ac:dyDescent="0.3">
      <c r="B615" s="249">
        <f>IF(AND(F611&lt;&gt;"", B610&lt;&gt;""), B610+1, "")</f>
        <v>45922</v>
      </c>
      <c r="C615" s="416"/>
      <c r="D615" s="416"/>
      <c r="E615" s="250" t="s">
        <v>767</v>
      </c>
      <c r="F615" s="204">
        <v>198</v>
      </c>
      <c r="G615" s="205"/>
      <c r="H615" s="205">
        <v>50</v>
      </c>
      <c r="I615" s="264">
        <f t="shared" si="14"/>
        <v>148</v>
      </c>
    </row>
    <row r="616" spans="2:9" ht="15.75" hidden="1" customHeight="1" outlineLevel="1" thickBot="1" x14ac:dyDescent="0.3">
      <c r="B616" s="241">
        <f>IF(AND(F616&lt;&gt;"", B611&lt;&gt;""), B611+1, "")</f>
        <v>45923</v>
      </c>
      <c r="C616" s="442">
        <v>45923</v>
      </c>
      <c r="D616" s="443">
        <f>D611+1</f>
        <v>45923</v>
      </c>
      <c r="E616" s="246" t="s">
        <v>394</v>
      </c>
      <c r="F616" s="202">
        <v>200</v>
      </c>
      <c r="G616" s="203"/>
      <c r="H616" s="203"/>
      <c r="I616" s="263">
        <f t="shared" si="14"/>
        <v>200</v>
      </c>
    </row>
    <row r="617" spans="2:9" ht="15.75" hidden="1" customHeight="1" outlineLevel="1" thickBot="1" x14ac:dyDescent="0.3">
      <c r="B617" s="245">
        <f>IF(AND(F616&lt;&gt;"", B612&lt;&gt;""), B612+1, "")</f>
        <v>45923</v>
      </c>
      <c r="C617" s="409"/>
      <c r="D617" s="409"/>
      <c r="E617" s="246" t="s">
        <v>764</v>
      </c>
      <c r="F617" s="202">
        <v>0</v>
      </c>
      <c r="G617" s="203"/>
      <c r="H617" s="203"/>
      <c r="I617" s="263">
        <f t="shared" si="14"/>
        <v>0</v>
      </c>
    </row>
    <row r="618" spans="2:9" ht="15.75" hidden="1" customHeight="1" outlineLevel="1" thickBot="1" x14ac:dyDescent="0.3">
      <c r="B618" s="245">
        <f>IF(AND(F616&lt;&gt;"", B613&lt;&gt;""), B613+1, "")</f>
        <v>45923</v>
      </c>
      <c r="C618" s="409"/>
      <c r="D618" s="409"/>
      <c r="E618" s="246" t="s">
        <v>765</v>
      </c>
      <c r="F618" s="202">
        <v>958</v>
      </c>
      <c r="G618" s="203">
        <v>471</v>
      </c>
      <c r="H618" s="203">
        <v>501</v>
      </c>
      <c r="I618" s="263">
        <f t="shared" si="14"/>
        <v>928</v>
      </c>
    </row>
    <row r="619" spans="2:9" ht="15.75" hidden="1" customHeight="1" outlineLevel="1" thickBot="1" x14ac:dyDescent="0.3">
      <c r="B619" s="245">
        <f>IF(AND(F616&lt;&gt;"", B614&lt;&gt;""), B614+1, "")</f>
        <v>45923</v>
      </c>
      <c r="C619" s="409"/>
      <c r="D619" s="409"/>
      <c r="E619" s="246" t="s">
        <v>766</v>
      </c>
      <c r="F619" s="202">
        <v>0</v>
      </c>
      <c r="G619" s="203"/>
      <c r="H619" s="203"/>
      <c r="I619" s="263">
        <f t="shared" si="14"/>
        <v>0</v>
      </c>
    </row>
    <row r="620" spans="2:9" ht="15.75" hidden="1" customHeight="1" outlineLevel="1" thickBot="1" x14ac:dyDescent="0.3">
      <c r="B620" s="249">
        <f>IF(AND(F616&lt;&gt;"", B615&lt;&gt;""), B615+1, "")</f>
        <v>45923</v>
      </c>
      <c r="C620" s="416"/>
      <c r="D620" s="416"/>
      <c r="E620" s="250" t="s">
        <v>767</v>
      </c>
      <c r="F620" s="204">
        <v>148</v>
      </c>
      <c r="G620" s="205"/>
      <c r="H620" s="205"/>
      <c r="I620" s="264">
        <f t="shared" si="14"/>
        <v>148</v>
      </c>
    </row>
    <row r="621" spans="2:9" ht="15.75" hidden="1" customHeight="1" outlineLevel="1" thickBot="1" x14ac:dyDescent="0.3">
      <c r="B621" s="241">
        <f>IF(AND(F621&lt;&gt;"", B616&lt;&gt;""), B616+1, "")</f>
        <v>45924</v>
      </c>
      <c r="C621" s="442">
        <v>45924</v>
      </c>
      <c r="D621" s="443">
        <f>D616+1</f>
        <v>45924</v>
      </c>
      <c r="E621" s="246" t="s">
        <v>394</v>
      </c>
      <c r="F621" s="202">
        <v>200</v>
      </c>
      <c r="G621" s="203"/>
      <c r="H621" s="203"/>
      <c r="I621" s="263">
        <f t="shared" si="14"/>
        <v>200</v>
      </c>
    </row>
    <row r="622" spans="2:9" ht="15.75" hidden="1" customHeight="1" outlineLevel="1" thickBot="1" x14ac:dyDescent="0.3">
      <c r="B622" s="245">
        <f>IF(AND(F621&lt;&gt;"", B617&lt;&gt;""), B617+1, "")</f>
        <v>45924</v>
      </c>
      <c r="C622" s="409"/>
      <c r="D622" s="409"/>
      <c r="E622" s="246" t="s">
        <v>764</v>
      </c>
      <c r="F622" s="202">
        <v>0</v>
      </c>
      <c r="G622" s="203"/>
      <c r="H622" s="203"/>
      <c r="I622" s="263">
        <f t="shared" si="14"/>
        <v>0</v>
      </c>
    </row>
    <row r="623" spans="2:9" ht="15.75" hidden="1" customHeight="1" outlineLevel="1" thickBot="1" x14ac:dyDescent="0.3">
      <c r="B623" s="245">
        <f>IF(AND(F621&lt;&gt;"", B618&lt;&gt;""), B618+1, "")</f>
        <v>45924</v>
      </c>
      <c r="C623" s="409"/>
      <c r="D623" s="409"/>
      <c r="E623" s="246" t="s">
        <v>765</v>
      </c>
      <c r="F623" s="202">
        <v>958</v>
      </c>
      <c r="G623" s="203">
        <v>460</v>
      </c>
      <c r="H623" s="203">
        <v>440</v>
      </c>
      <c r="I623" s="263">
        <f t="shared" si="14"/>
        <v>978</v>
      </c>
    </row>
    <row r="624" spans="2:9" ht="15.75" hidden="1" customHeight="1" outlineLevel="1" thickBot="1" x14ac:dyDescent="0.3">
      <c r="B624" s="245">
        <f>IF(AND(F621&lt;&gt;"", B619&lt;&gt;""), B619+1, "")</f>
        <v>45924</v>
      </c>
      <c r="C624" s="409"/>
      <c r="D624" s="409"/>
      <c r="E624" s="246" t="s">
        <v>766</v>
      </c>
      <c r="F624" s="202">
        <v>0</v>
      </c>
      <c r="G624" s="203"/>
      <c r="H624" s="203"/>
      <c r="I624" s="263">
        <f t="shared" si="14"/>
        <v>0</v>
      </c>
    </row>
    <row r="625" spans="2:9" ht="15.75" hidden="1" customHeight="1" outlineLevel="1" thickBot="1" x14ac:dyDescent="0.3">
      <c r="B625" s="249">
        <f>IF(AND(F621&lt;&gt;"", B620&lt;&gt;""), B620+1, "")</f>
        <v>45924</v>
      </c>
      <c r="C625" s="416"/>
      <c r="D625" s="416"/>
      <c r="E625" s="250" t="s">
        <v>767</v>
      </c>
      <c r="F625" s="204">
        <v>148</v>
      </c>
      <c r="G625" s="205"/>
      <c r="H625" s="205">
        <v>50</v>
      </c>
      <c r="I625" s="264">
        <f t="shared" si="14"/>
        <v>98</v>
      </c>
    </row>
    <row r="626" spans="2:9" ht="15.75" hidden="1" customHeight="1" outlineLevel="1" thickBot="1" x14ac:dyDescent="0.3">
      <c r="B626" s="241">
        <f>IF(AND(F626&lt;&gt;"", B621&lt;&gt;""), B621+1, "")</f>
        <v>45925</v>
      </c>
      <c r="C626" s="442">
        <v>45925</v>
      </c>
      <c r="D626" s="443">
        <f>D621+1</f>
        <v>45925</v>
      </c>
      <c r="E626" s="246" t="s">
        <v>394</v>
      </c>
      <c r="F626" s="202">
        <v>200</v>
      </c>
      <c r="G626" s="203"/>
      <c r="H626" s="203"/>
      <c r="I626" s="263">
        <f t="shared" si="14"/>
        <v>200</v>
      </c>
    </row>
    <row r="627" spans="2:9" ht="15.75" hidden="1" customHeight="1" outlineLevel="1" thickBot="1" x14ac:dyDescent="0.3">
      <c r="B627" s="245">
        <f>IF(AND(F626&lt;&gt;"", B622&lt;&gt;""), B622+1, "")</f>
        <v>45925</v>
      </c>
      <c r="C627" s="409"/>
      <c r="D627" s="409"/>
      <c r="E627" s="246" t="s">
        <v>764</v>
      </c>
      <c r="F627" s="202">
        <v>0</v>
      </c>
      <c r="G627" s="203"/>
      <c r="H627" s="203"/>
      <c r="I627" s="263">
        <f t="shared" si="14"/>
        <v>0</v>
      </c>
    </row>
    <row r="628" spans="2:9" ht="15.75" hidden="1" customHeight="1" outlineLevel="1" thickBot="1" x14ac:dyDescent="0.3">
      <c r="B628" s="245">
        <f>IF(AND(F626&lt;&gt;"", B623&lt;&gt;""), B623+1, "")</f>
        <v>45925</v>
      </c>
      <c r="C628" s="409"/>
      <c r="D628" s="409"/>
      <c r="E628" s="246" t="s">
        <v>765</v>
      </c>
      <c r="F628" s="202">
        <v>978</v>
      </c>
      <c r="G628" s="203">
        <v>472</v>
      </c>
      <c r="H628" s="203">
        <v>485</v>
      </c>
      <c r="I628" s="263">
        <f t="shared" si="14"/>
        <v>965</v>
      </c>
    </row>
    <row r="629" spans="2:9" ht="15.75" hidden="1" customHeight="1" outlineLevel="1" thickBot="1" x14ac:dyDescent="0.3">
      <c r="B629" s="245">
        <f>IF(AND(F626&lt;&gt;"", B624&lt;&gt;""), B624+1, "")</f>
        <v>45925</v>
      </c>
      <c r="C629" s="409"/>
      <c r="D629" s="409"/>
      <c r="E629" s="246" t="s">
        <v>766</v>
      </c>
      <c r="F629" s="202">
        <v>0</v>
      </c>
      <c r="G629" s="203"/>
      <c r="H629" s="203"/>
      <c r="I629" s="263">
        <f t="shared" si="14"/>
        <v>0</v>
      </c>
    </row>
    <row r="630" spans="2:9" ht="15.75" hidden="1" customHeight="1" outlineLevel="1" thickBot="1" x14ac:dyDescent="0.3">
      <c r="B630" s="249">
        <f>IF(AND(F626&lt;&gt;"", B625&lt;&gt;""), B625+1, "")</f>
        <v>45925</v>
      </c>
      <c r="C630" s="416"/>
      <c r="D630" s="416"/>
      <c r="E630" s="250" t="s">
        <v>767</v>
      </c>
      <c r="F630" s="204">
        <v>98</v>
      </c>
      <c r="G630" s="205"/>
      <c r="H630" s="205"/>
      <c r="I630" s="264">
        <f t="shared" si="14"/>
        <v>98</v>
      </c>
    </row>
    <row r="631" spans="2:9" ht="15.75" hidden="1" customHeight="1" outlineLevel="1" thickBot="1" x14ac:dyDescent="0.3">
      <c r="B631" s="241">
        <f>IF(AND(F631&lt;&gt;"", B626&lt;&gt;""), B626+1, "")</f>
        <v>45926</v>
      </c>
      <c r="C631" s="442">
        <v>45926</v>
      </c>
      <c r="D631" s="443">
        <f>D626+1</f>
        <v>45926</v>
      </c>
      <c r="E631" s="246" t="s">
        <v>394</v>
      </c>
      <c r="F631" s="202">
        <v>200</v>
      </c>
      <c r="G631" s="203"/>
      <c r="H631" s="203"/>
      <c r="I631" s="263">
        <f t="shared" ref="I631:I694" si="15">F631+G631-H631</f>
        <v>200</v>
      </c>
    </row>
    <row r="632" spans="2:9" ht="15.75" hidden="1" customHeight="1" outlineLevel="1" thickBot="1" x14ac:dyDescent="0.3">
      <c r="B632" s="245">
        <f>IF(AND(F631&lt;&gt;"", B627&lt;&gt;""), B627+1, "")</f>
        <v>45926</v>
      </c>
      <c r="C632" s="409"/>
      <c r="D632" s="409"/>
      <c r="E632" s="246" t="s">
        <v>764</v>
      </c>
      <c r="F632" s="202">
        <v>0</v>
      </c>
      <c r="G632" s="203"/>
      <c r="H632" s="203"/>
      <c r="I632" s="263">
        <f t="shared" si="15"/>
        <v>0</v>
      </c>
    </row>
    <row r="633" spans="2:9" ht="15.75" hidden="1" customHeight="1" outlineLevel="1" thickBot="1" x14ac:dyDescent="0.3">
      <c r="B633" s="245">
        <f>IF(AND(F631&lt;&gt;"", B628&lt;&gt;""), B628+1, "")</f>
        <v>45926</v>
      </c>
      <c r="C633" s="409"/>
      <c r="D633" s="409"/>
      <c r="E633" s="246" t="s">
        <v>765</v>
      </c>
      <c r="F633" s="202">
        <v>965</v>
      </c>
      <c r="G633" s="203">
        <v>489</v>
      </c>
      <c r="H633" s="203">
        <v>475</v>
      </c>
      <c r="I633" s="263">
        <f t="shared" si="15"/>
        <v>979</v>
      </c>
    </row>
    <row r="634" spans="2:9" ht="15.75" hidden="1" customHeight="1" outlineLevel="1" thickBot="1" x14ac:dyDescent="0.3">
      <c r="B634" s="245">
        <f>IF(AND(F631&lt;&gt;"", B629&lt;&gt;""), B629+1, "")</f>
        <v>45926</v>
      </c>
      <c r="C634" s="409"/>
      <c r="D634" s="409"/>
      <c r="E634" s="246" t="s">
        <v>766</v>
      </c>
      <c r="F634" s="202">
        <v>0</v>
      </c>
      <c r="G634" s="203"/>
      <c r="H634" s="203"/>
      <c r="I634" s="263">
        <f t="shared" si="15"/>
        <v>0</v>
      </c>
    </row>
    <row r="635" spans="2:9" ht="15.75" hidden="1" customHeight="1" outlineLevel="1" thickBot="1" x14ac:dyDescent="0.3">
      <c r="B635" s="249">
        <f>IF(AND(F631&lt;&gt;"", B630&lt;&gt;""), B630+1, "")</f>
        <v>45926</v>
      </c>
      <c r="C635" s="416"/>
      <c r="D635" s="416"/>
      <c r="E635" s="250" t="s">
        <v>767</v>
      </c>
      <c r="F635" s="204">
        <v>98</v>
      </c>
      <c r="G635" s="205"/>
      <c r="H635" s="205"/>
      <c r="I635" s="264">
        <f t="shared" si="15"/>
        <v>98</v>
      </c>
    </row>
    <row r="636" spans="2:9" ht="15.75" hidden="1" customHeight="1" outlineLevel="1" thickBot="1" x14ac:dyDescent="0.3">
      <c r="B636" s="241">
        <f>IF(AND(F636&lt;&gt;"", B631&lt;&gt;""), B631+1, "")</f>
        <v>45927</v>
      </c>
      <c r="C636" s="442">
        <v>45927</v>
      </c>
      <c r="D636" s="443">
        <f>D631+1</f>
        <v>45927</v>
      </c>
      <c r="E636" s="246" t="s">
        <v>394</v>
      </c>
      <c r="F636" s="202">
        <v>200</v>
      </c>
      <c r="G636" s="203"/>
      <c r="H636" s="203"/>
      <c r="I636" s="263">
        <f t="shared" si="15"/>
        <v>200</v>
      </c>
    </row>
    <row r="637" spans="2:9" ht="15.75" hidden="1" customHeight="1" outlineLevel="1" thickBot="1" x14ac:dyDescent="0.3">
      <c r="B637" s="245">
        <f>IF(AND(F636&lt;&gt;"", B632&lt;&gt;""), B632+1, "")</f>
        <v>45927</v>
      </c>
      <c r="C637" s="409"/>
      <c r="D637" s="409"/>
      <c r="E637" s="246" t="s">
        <v>764</v>
      </c>
      <c r="F637" s="202">
        <v>0</v>
      </c>
      <c r="G637" s="203"/>
      <c r="H637" s="203"/>
      <c r="I637" s="263">
        <f t="shared" si="15"/>
        <v>0</v>
      </c>
    </row>
    <row r="638" spans="2:9" ht="15.75" hidden="1" customHeight="1" outlineLevel="1" thickBot="1" x14ac:dyDescent="0.3">
      <c r="B638" s="245">
        <f>IF(AND(F636&lt;&gt;"", B633&lt;&gt;""), B633+1, "")</f>
        <v>45927</v>
      </c>
      <c r="C638" s="409"/>
      <c r="D638" s="409"/>
      <c r="E638" s="246" t="s">
        <v>765</v>
      </c>
      <c r="F638" s="202">
        <v>979</v>
      </c>
      <c r="G638" s="203">
        <v>369</v>
      </c>
      <c r="H638" s="203">
        <v>462</v>
      </c>
      <c r="I638" s="263">
        <f t="shared" si="15"/>
        <v>886</v>
      </c>
    </row>
    <row r="639" spans="2:9" ht="15.75" hidden="1" customHeight="1" outlineLevel="1" thickBot="1" x14ac:dyDescent="0.3">
      <c r="B639" s="245">
        <f>IF(AND(F636&lt;&gt;"", B634&lt;&gt;""), B634+1, "")</f>
        <v>45927</v>
      </c>
      <c r="C639" s="409"/>
      <c r="D639" s="409"/>
      <c r="E639" s="246" t="s">
        <v>766</v>
      </c>
      <c r="F639" s="202">
        <v>0</v>
      </c>
      <c r="G639" s="203"/>
      <c r="H639" s="203"/>
      <c r="I639" s="263">
        <f t="shared" si="15"/>
        <v>0</v>
      </c>
    </row>
    <row r="640" spans="2:9" ht="15.75" hidden="1" customHeight="1" outlineLevel="1" thickBot="1" x14ac:dyDescent="0.3">
      <c r="B640" s="249">
        <f>IF(AND(F636&lt;&gt;"", B635&lt;&gt;""), B635+1, "")</f>
        <v>45927</v>
      </c>
      <c r="C640" s="416"/>
      <c r="D640" s="416"/>
      <c r="E640" s="250" t="s">
        <v>767</v>
      </c>
      <c r="F640" s="204">
        <v>78</v>
      </c>
      <c r="G640" s="205"/>
      <c r="H640" s="205"/>
      <c r="I640" s="264">
        <f t="shared" si="15"/>
        <v>78</v>
      </c>
    </row>
    <row r="641" spans="2:9" ht="15.75" hidden="1" customHeight="1" outlineLevel="1" thickBot="1" x14ac:dyDescent="0.3">
      <c r="B641" s="241">
        <f>IF(AND(F641&lt;&gt;"", B636&lt;&gt;""), B636+1, "")</f>
        <v>45928</v>
      </c>
      <c r="C641" s="442">
        <v>45928</v>
      </c>
      <c r="D641" s="443">
        <f>D636+1</f>
        <v>45928</v>
      </c>
      <c r="E641" s="246" t="s">
        <v>394</v>
      </c>
      <c r="F641" s="202">
        <v>200</v>
      </c>
      <c r="G641" s="203"/>
      <c r="H641" s="203"/>
      <c r="I641" s="263">
        <f t="shared" si="15"/>
        <v>200</v>
      </c>
    </row>
    <row r="642" spans="2:9" ht="15.75" hidden="1" customHeight="1" outlineLevel="1" thickBot="1" x14ac:dyDescent="0.3">
      <c r="B642" s="245">
        <f>IF(AND(F641&lt;&gt;"", B637&lt;&gt;""), B637+1, "")</f>
        <v>45928</v>
      </c>
      <c r="C642" s="409"/>
      <c r="D642" s="409"/>
      <c r="E642" s="246" t="s">
        <v>764</v>
      </c>
      <c r="F642" s="202">
        <v>0</v>
      </c>
      <c r="G642" s="203"/>
      <c r="H642" s="203"/>
      <c r="I642" s="263">
        <f t="shared" si="15"/>
        <v>0</v>
      </c>
    </row>
    <row r="643" spans="2:9" ht="15.75" hidden="1" customHeight="1" outlineLevel="1" thickBot="1" x14ac:dyDescent="0.3">
      <c r="B643" s="245">
        <f>IF(AND(F641&lt;&gt;"", B638&lt;&gt;""), B638+1, "")</f>
        <v>45928</v>
      </c>
      <c r="C643" s="409"/>
      <c r="D643" s="409"/>
      <c r="E643" s="246" t="s">
        <v>765</v>
      </c>
      <c r="F643" s="202">
        <v>886</v>
      </c>
      <c r="G643" s="203"/>
      <c r="H643" s="203">
        <v>454</v>
      </c>
      <c r="I643" s="263">
        <f t="shared" si="15"/>
        <v>432</v>
      </c>
    </row>
    <row r="644" spans="2:9" ht="15.75" hidden="1" customHeight="1" outlineLevel="1" thickBot="1" x14ac:dyDescent="0.3">
      <c r="B644" s="245">
        <f>IF(AND(F641&lt;&gt;"", B639&lt;&gt;""), B639+1, "")</f>
        <v>45928</v>
      </c>
      <c r="C644" s="409"/>
      <c r="D644" s="409"/>
      <c r="E644" s="246" t="s">
        <v>766</v>
      </c>
      <c r="F644" s="202">
        <v>0</v>
      </c>
      <c r="G644" s="203"/>
      <c r="H644" s="203"/>
      <c r="I644" s="263">
        <f t="shared" si="15"/>
        <v>0</v>
      </c>
    </row>
    <row r="645" spans="2:9" ht="15.75" hidden="1" customHeight="1" outlineLevel="1" thickBot="1" x14ac:dyDescent="0.3">
      <c r="B645" s="249">
        <f>IF(AND(F641&lt;&gt;"", B640&lt;&gt;""), B640+1, "")</f>
        <v>45928</v>
      </c>
      <c r="C645" s="416"/>
      <c r="D645" s="416"/>
      <c r="E645" s="250" t="s">
        <v>767</v>
      </c>
      <c r="F645" s="204">
        <v>78</v>
      </c>
      <c r="G645" s="205"/>
      <c r="H645" s="205"/>
      <c r="I645" s="264">
        <f t="shared" si="15"/>
        <v>78</v>
      </c>
    </row>
    <row r="646" spans="2:9" ht="15.75" hidden="1" customHeight="1" outlineLevel="1" thickBot="1" x14ac:dyDescent="0.3">
      <c r="B646" s="241">
        <f>IF(AND(F646&lt;&gt;"", B641&lt;&gt;""), B641+1, "")</f>
        <v>45929</v>
      </c>
      <c r="C646" s="442">
        <v>45929</v>
      </c>
      <c r="D646" s="443">
        <f>D641+1</f>
        <v>45929</v>
      </c>
      <c r="E646" s="246" t="s">
        <v>394</v>
      </c>
      <c r="F646" s="202">
        <v>200</v>
      </c>
      <c r="G646" s="203"/>
      <c r="H646" s="203"/>
      <c r="I646" s="263">
        <f t="shared" si="15"/>
        <v>200</v>
      </c>
    </row>
    <row r="647" spans="2:9" ht="15.75" hidden="1" customHeight="1" outlineLevel="1" thickBot="1" x14ac:dyDescent="0.3">
      <c r="B647" s="245">
        <f>IF(AND(F646&lt;&gt;"", B642&lt;&gt;""), B642+1, "")</f>
        <v>45929</v>
      </c>
      <c r="C647" s="409"/>
      <c r="D647" s="409"/>
      <c r="E647" s="246" t="s">
        <v>764</v>
      </c>
      <c r="F647" s="202">
        <v>0</v>
      </c>
      <c r="G647" s="203"/>
      <c r="H647" s="203"/>
      <c r="I647" s="263">
        <f t="shared" si="15"/>
        <v>0</v>
      </c>
    </row>
    <row r="648" spans="2:9" ht="15.75" hidden="1" customHeight="1" outlineLevel="1" thickBot="1" x14ac:dyDescent="0.3">
      <c r="B648" s="245">
        <f>IF(AND(F646&lt;&gt;"", B643&lt;&gt;""), B643+1, "")</f>
        <v>45929</v>
      </c>
      <c r="C648" s="409"/>
      <c r="D648" s="409"/>
      <c r="E648" s="246" t="s">
        <v>765</v>
      </c>
      <c r="F648" s="202">
        <v>432</v>
      </c>
      <c r="G648" s="203"/>
      <c r="H648" s="203">
        <v>432</v>
      </c>
      <c r="I648" s="263">
        <f t="shared" si="15"/>
        <v>0</v>
      </c>
    </row>
    <row r="649" spans="2:9" ht="15.75" hidden="1" customHeight="1" outlineLevel="1" thickBot="1" x14ac:dyDescent="0.3">
      <c r="B649" s="245">
        <f>IF(AND(F646&lt;&gt;"", B644&lt;&gt;""), B644+1, "")</f>
        <v>45929</v>
      </c>
      <c r="C649" s="409"/>
      <c r="D649" s="409"/>
      <c r="E649" s="246" t="s">
        <v>766</v>
      </c>
      <c r="F649" s="202">
        <v>0</v>
      </c>
      <c r="G649" s="203"/>
      <c r="H649" s="203"/>
      <c r="I649" s="263">
        <f t="shared" si="15"/>
        <v>0</v>
      </c>
    </row>
    <row r="650" spans="2:9" ht="15.75" hidden="1" customHeight="1" outlineLevel="1" thickBot="1" x14ac:dyDescent="0.3">
      <c r="B650" s="249">
        <f>IF(AND(F646&lt;&gt;"", B645&lt;&gt;""), B645+1, "")</f>
        <v>45929</v>
      </c>
      <c r="C650" s="416"/>
      <c r="D650" s="416"/>
      <c r="E650" s="250" t="s">
        <v>767</v>
      </c>
      <c r="F650" s="204">
        <v>78</v>
      </c>
      <c r="G650" s="205"/>
      <c r="H650" s="205"/>
      <c r="I650" s="264">
        <f t="shared" si="15"/>
        <v>78</v>
      </c>
    </row>
    <row r="651" spans="2:9" ht="15.75" hidden="1" customHeight="1" outlineLevel="1" thickBot="1" x14ac:dyDescent="0.3">
      <c r="B651" s="241">
        <f>IF(AND(F651&lt;&gt;"", B646&lt;&gt;""), B646+1, "")</f>
        <v>45930</v>
      </c>
      <c r="C651" s="442">
        <v>45930</v>
      </c>
      <c r="D651" s="443">
        <f>D646+1</f>
        <v>45930</v>
      </c>
      <c r="E651" s="246" t="s">
        <v>394</v>
      </c>
      <c r="F651" s="202">
        <v>0</v>
      </c>
      <c r="G651" s="203"/>
      <c r="H651" s="203"/>
      <c r="I651" s="263">
        <f t="shared" si="15"/>
        <v>0</v>
      </c>
    </row>
    <row r="652" spans="2:9" ht="15.75" hidden="1" customHeight="1" outlineLevel="1" thickBot="1" x14ac:dyDescent="0.3">
      <c r="B652" s="245">
        <f>IF(AND(F651&lt;&gt;"", B647&lt;&gt;""), B647+1, "")</f>
        <v>45930</v>
      </c>
      <c r="C652" s="409"/>
      <c r="D652" s="409"/>
      <c r="E652" s="246" t="s">
        <v>764</v>
      </c>
      <c r="F652" s="202">
        <v>0</v>
      </c>
      <c r="G652" s="203"/>
      <c r="H652" s="203"/>
      <c r="I652" s="263">
        <f t="shared" si="15"/>
        <v>0</v>
      </c>
    </row>
    <row r="653" spans="2:9" ht="15.75" hidden="1" customHeight="1" outlineLevel="1" thickBot="1" x14ac:dyDescent="0.3">
      <c r="B653" s="245">
        <f>IF(AND(F651&lt;&gt;"", B648&lt;&gt;""), B648+1, "")</f>
        <v>45930</v>
      </c>
      <c r="C653" s="409"/>
      <c r="D653" s="409"/>
      <c r="E653" s="246" t="s">
        <v>765</v>
      </c>
      <c r="F653" s="202">
        <v>0</v>
      </c>
      <c r="G653" s="203"/>
      <c r="H653" s="203"/>
      <c r="I653" s="263">
        <f t="shared" si="15"/>
        <v>0</v>
      </c>
    </row>
    <row r="654" spans="2:9" ht="15.75" hidden="1" customHeight="1" outlineLevel="1" thickBot="1" x14ac:dyDescent="0.3">
      <c r="B654" s="245">
        <f>IF(AND(F651&lt;&gt;"", B649&lt;&gt;""), B649+1, "")</f>
        <v>45930</v>
      </c>
      <c r="C654" s="409"/>
      <c r="D654" s="409"/>
      <c r="E654" s="246" t="s">
        <v>766</v>
      </c>
      <c r="F654" s="202">
        <v>0</v>
      </c>
      <c r="G654" s="203"/>
      <c r="H654" s="203"/>
      <c r="I654" s="263">
        <f t="shared" si="15"/>
        <v>0</v>
      </c>
    </row>
    <row r="655" spans="2:9" ht="15.75" hidden="1" customHeight="1" outlineLevel="1" thickBot="1" x14ac:dyDescent="0.3">
      <c r="B655" s="249">
        <f>IF(AND(F651&lt;&gt;"", B650&lt;&gt;""), B650+1, "")</f>
        <v>45930</v>
      </c>
      <c r="C655" s="416"/>
      <c r="D655" s="416"/>
      <c r="E655" s="250" t="s">
        <v>767</v>
      </c>
      <c r="F655" s="204">
        <v>0</v>
      </c>
      <c r="G655" s="205"/>
      <c r="H655" s="205"/>
      <c r="I655" s="264">
        <f t="shared" si="15"/>
        <v>0</v>
      </c>
    </row>
    <row r="656" spans="2:9" ht="15.75" hidden="1" customHeight="1" outlineLevel="1" thickBot="1" x14ac:dyDescent="0.3">
      <c r="B656" s="241">
        <f>IF(AND(F656&lt;&gt;"", B651&lt;&gt;""), B651+1, "")</f>
        <v>45931</v>
      </c>
      <c r="C656" s="442">
        <v>45931</v>
      </c>
      <c r="D656" s="443">
        <f>D651+1</f>
        <v>45931</v>
      </c>
      <c r="E656" s="246" t="s">
        <v>394</v>
      </c>
      <c r="F656" s="202">
        <v>0</v>
      </c>
      <c r="G656" s="203"/>
      <c r="H656" s="203"/>
      <c r="I656" s="263">
        <f t="shared" si="15"/>
        <v>0</v>
      </c>
    </row>
    <row r="657" spans="2:9" ht="15.75" hidden="1" customHeight="1" outlineLevel="1" thickBot="1" x14ac:dyDescent="0.3">
      <c r="B657" s="245">
        <f>IF(AND(F656&lt;&gt;"", B652&lt;&gt;""), B652+1, "")</f>
        <v>45931</v>
      </c>
      <c r="C657" s="409"/>
      <c r="D657" s="409"/>
      <c r="E657" s="246" t="s">
        <v>764</v>
      </c>
      <c r="F657" s="202">
        <v>0</v>
      </c>
      <c r="G657" s="203"/>
      <c r="H657" s="203"/>
      <c r="I657" s="263">
        <f t="shared" si="15"/>
        <v>0</v>
      </c>
    </row>
    <row r="658" spans="2:9" ht="15.75" hidden="1" customHeight="1" outlineLevel="1" thickBot="1" x14ac:dyDescent="0.3">
      <c r="B658" s="245">
        <f>IF(AND(F656&lt;&gt;"", B653&lt;&gt;""), B653+1, "")</f>
        <v>45931</v>
      </c>
      <c r="C658" s="409"/>
      <c r="D658" s="409"/>
      <c r="E658" s="246" t="s">
        <v>765</v>
      </c>
      <c r="F658" s="202">
        <v>0</v>
      </c>
      <c r="G658" s="203"/>
      <c r="H658" s="203"/>
      <c r="I658" s="263">
        <f t="shared" si="15"/>
        <v>0</v>
      </c>
    </row>
    <row r="659" spans="2:9" ht="15.75" hidden="1" customHeight="1" outlineLevel="1" thickBot="1" x14ac:dyDescent="0.3">
      <c r="B659" s="245">
        <f>IF(AND(F656&lt;&gt;"", B654&lt;&gt;""), B654+1, "")</f>
        <v>45931</v>
      </c>
      <c r="C659" s="409"/>
      <c r="D659" s="409"/>
      <c r="E659" s="246" t="s">
        <v>766</v>
      </c>
      <c r="F659" s="202">
        <v>0</v>
      </c>
      <c r="G659" s="203"/>
      <c r="H659" s="203"/>
      <c r="I659" s="263">
        <f t="shared" si="15"/>
        <v>0</v>
      </c>
    </row>
    <row r="660" spans="2:9" ht="15.75" hidden="1" customHeight="1" outlineLevel="1" thickBot="1" x14ac:dyDescent="0.3">
      <c r="B660" s="249">
        <f>IF(AND(F656&lt;&gt;"", B655&lt;&gt;""), B655+1, "")</f>
        <v>45931</v>
      </c>
      <c r="C660" s="416"/>
      <c r="D660" s="416"/>
      <c r="E660" s="250" t="s">
        <v>767</v>
      </c>
      <c r="F660" s="204">
        <v>0</v>
      </c>
      <c r="G660" s="205"/>
      <c r="H660" s="205"/>
      <c r="I660" s="264">
        <f t="shared" si="15"/>
        <v>0</v>
      </c>
    </row>
    <row r="661" spans="2:9" ht="15.75" hidden="1" customHeight="1" outlineLevel="1" thickBot="1" x14ac:dyDescent="0.3">
      <c r="B661" s="241">
        <f>IF(AND(F661&lt;&gt;"", B656&lt;&gt;""), B656+1, "")</f>
        <v>45932</v>
      </c>
      <c r="C661" s="442">
        <v>45932</v>
      </c>
      <c r="D661" s="443">
        <f>D656+1</f>
        <v>45932</v>
      </c>
      <c r="E661" s="246" t="s">
        <v>394</v>
      </c>
      <c r="F661" s="202">
        <v>0</v>
      </c>
      <c r="G661" s="203"/>
      <c r="H661" s="203"/>
      <c r="I661" s="263">
        <f t="shared" si="15"/>
        <v>0</v>
      </c>
    </row>
    <row r="662" spans="2:9" ht="15.75" hidden="1" customHeight="1" outlineLevel="1" thickBot="1" x14ac:dyDescent="0.3">
      <c r="B662" s="245">
        <f>IF(AND(F661&lt;&gt;"", B657&lt;&gt;""), B657+1, "")</f>
        <v>45932</v>
      </c>
      <c r="C662" s="409"/>
      <c r="D662" s="409"/>
      <c r="E662" s="246" t="s">
        <v>764</v>
      </c>
      <c r="F662" s="202">
        <v>0</v>
      </c>
      <c r="G662" s="203"/>
      <c r="H662" s="203"/>
      <c r="I662" s="263">
        <f t="shared" si="15"/>
        <v>0</v>
      </c>
    </row>
    <row r="663" spans="2:9" ht="15.75" hidden="1" customHeight="1" outlineLevel="1" thickBot="1" x14ac:dyDescent="0.3">
      <c r="B663" s="245">
        <f>IF(AND(F661&lt;&gt;"", B658&lt;&gt;""), B658+1, "")</f>
        <v>45932</v>
      </c>
      <c r="C663" s="409"/>
      <c r="D663" s="409"/>
      <c r="E663" s="246" t="s">
        <v>765</v>
      </c>
      <c r="F663" s="202">
        <v>0</v>
      </c>
      <c r="G663" s="203"/>
      <c r="H663" s="203"/>
      <c r="I663" s="263">
        <f t="shared" si="15"/>
        <v>0</v>
      </c>
    </row>
    <row r="664" spans="2:9" ht="15.75" hidden="1" customHeight="1" outlineLevel="1" thickBot="1" x14ac:dyDescent="0.3">
      <c r="B664" s="245">
        <f>IF(AND(F661&lt;&gt;"", B659&lt;&gt;""), B659+1, "")</f>
        <v>45932</v>
      </c>
      <c r="C664" s="409"/>
      <c r="D664" s="409"/>
      <c r="E664" s="246" t="s">
        <v>766</v>
      </c>
      <c r="F664" s="202">
        <v>0</v>
      </c>
      <c r="G664" s="203"/>
      <c r="H664" s="203"/>
      <c r="I664" s="263">
        <f t="shared" si="15"/>
        <v>0</v>
      </c>
    </row>
    <row r="665" spans="2:9" ht="15.75" hidden="1" customHeight="1" outlineLevel="1" thickBot="1" x14ac:dyDescent="0.3">
      <c r="B665" s="249">
        <f>IF(AND(F661&lt;&gt;"", B660&lt;&gt;""), B660+1, "")</f>
        <v>45932</v>
      </c>
      <c r="C665" s="416"/>
      <c r="D665" s="416"/>
      <c r="E665" s="250" t="s">
        <v>767</v>
      </c>
      <c r="F665" s="204">
        <v>0</v>
      </c>
      <c r="G665" s="205"/>
      <c r="H665" s="205"/>
      <c r="I665" s="264">
        <f t="shared" si="15"/>
        <v>0</v>
      </c>
    </row>
    <row r="666" spans="2:9" ht="15.75" hidden="1" customHeight="1" outlineLevel="1" thickBot="1" x14ac:dyDescent="0.3">
      <c r="B666" s="241">
        <f>IF(AND(F666&lt;&gt;"", B661&lt;&gt;""), B661+1, "")</f>
        <v>45933</v>
      </c>
      <c r="C666" s="442">
        <v>45933</v>
      </c>
      <c r="D666" s="443">
        <f>D661+1</f>
        <v>45933</v>
      </c>
      <c r="E666" s="246" t="s">
        <v>394</v>
      </c>
      <c r="F666" s="202">
        <v>0</v>
      </c>
      <c r="G666" s="203"/>
      <c r="H666" s="203"/>
      <c r="I666" s="263">
        <f t="shared" si="15"/>
        <v>0</v>
      </c>
    </row>
    <row r="667" spans="2:9" ht="15.75" hidden="1" customHeight="1" outlineLevel="1" thickBot="1" x14ac:dyDescent="0.3">
      <c r="B667" s="245">
        <f>IF(AND(F666&lt;&gt;"", B662&lt;&gt;""), B662+1, "")</f>
        <v>45933</v>
      </c>
      <c r="C667" s="409"/>
      <c r="D667" s="409"/>
      <c r="E667" s="246" t="s">
        <v>764</v>
      </c>
      <c r="F667" s="202">
        <v>0</v>
      </c>
      <c r="G667" s="203"/>
      <c r="H667" s="203"/>
      <c r="I667" s="263">
        <f t="shared" si="15"/>
        <v>0</v>
      </c>
    </row>
    <row r="668" spans="2:9" ht="15.75" hidden="1" customHeight="1" outlineLevel="1" thickBot="1" x14ac:dyDescent="0.3">
      <c r="B668" s="245">
        <f>IF(AND(F666&lt;&gt;"", B663&lt;&gt;""), B663+1, "")</f>
        <v>45933</v>
      </c>
      <c r="C668" s="409"/>
      <c r="D668" s="409"/>
      <c r="E668" s="246" t="s">
        <v>765</v>
      </c>
      <c r="F668" s="202">
        <v>0</v>
      </c>
      <c r="G668" s="203"/>
      <c r="H668" s="203"/>
      <c r="I668" s="263">
        <f t="shared" si="15"/>
        <v>0</v>
      </c>
    </row>
    <row r="669" spans="2:9" ht="15.75" hidden="1" customHeight="1" outlineLevel="1" thickBot="1" x14ac:dyDescent="0.3">
      <c r="B669" s="245">
        <f>IF(AND(F666&lt;&gt;"", B664&lt;&gt;""), B664+1, "")</f>
        <v>45933</v>
      </c>
      <c r="C669" s="409"/>
      <c r="D669" s="409"/>
      <c r="E669" s="246" t="s">
        <v>766</v>
      </c>
      <c r="F669" s="202">
        <v>0</v>
      </c>
      <c r="G669" s="203"/>
      <c r="H669" s="203"/>
      <c r="I669" s="263">
        <f t="shared" si="15"/>
        <v>0</v>
      </c>
    </row>
    <row r="670" spans="2:9" ht="15.75" hidden="1" customHeight="1" outlineLevel="1" thickBot="1" x14ac:dyDescent="0.3">
      <c r="B670" s="249">
        <f>IF(AND(F666&lt;&gt;"", B665&lt;&gt;""), B665+1, "")</f>
        <v>45933</v>
      </c>
      <c r="C670" s="416"/>
      <c r="D670" s="416"/>
      <c r="E670" s="250" t="s">
        <v>767</v>
      </c>
      <c r="F670" s="204">
        <v>0</v>
      </c>
      <c r="G670" s="205"/>
      <c r="H670" s="205"/>
      <c r="I670" s="264">
        <f t="shared" si="15"/>
        <v>0</v>
      </c>
    </row>
    <row r="671" spans="2:9" ht="15.75" hidden="1" customHeight="1" outlineLevel="1" thickBot="1" x14ac:dyDescent="0.3">
      <c r="B671" s="241">
        <f>IF(AND(F671&lt;&gt;"", B666&lt;&gt;""), B666+1, "")</f>
        <v>45934</v>
      </c>
      <c r="C671" s="442">
        <v>45934</v>
      </c>
      <c r="D671" s="443">
        <f>D666+1</f>
        <v>45934</v>
      </c>
      <c r="E671" s="246" t="s">
        <v>394</v>
      </c>
      <c r="F671" s="202">
        <v>200</v>
      </c>
      <c r="G671" s="203"/>
      <c r="H671" s="203">
        <v>200</v>
      </c>
      <c r="I671" s="263">
        <f t="shared" si="15"/>
        <v>0</v>
      </c>
    </row>
    <row r="672" spans="2:9" ht="15.75" hidden="1" customHeight="1" outlineLevel="1" thickBot="1" x14ac:dyDescent="0.3">
      <c r="B672" s="245">
        <f>IF(AND(F671&lt;&gt;"", B667&lt;&gt;""), B667+1, "")</f>
        <v>45934</v>
      </c>
      <c r="C672" s="409"/>
      <c r="D672" s="409"/>
      <c r="E672" s="246" t="s">
        <v>764</v>
      </c>
      <c r="F672" s="202">
        <v>0</v>
      </c>
      <c r="G672" s="203"/>
      <c r="H672" s="203"/>
      <c r="I672" s="263">
        <f t="shared" si="15"/>
        <v>0</v>
      </c>
    </row>
    <row r="673" spans="2:9" ht="15.75" hidden="1" customHeight="1" outlineLevel="1" thickBot="1" x14ac:dyDescent="0.3">
      <c r="B673" s="245">
        <f>IF(AND(F671&lt;&gt;"", B668&lt;&gt;""), B668+1, "")</f>
        <v>45934</v>
      </c>
      <c r="C673" s="409"/>
      <c r="D673" s="409"/>
      <c r="E673" s="246" t="s">
        <v>765</v>
      </c>
      <c r="F673" s="202">
        <v>0</v>
      </c>
      <c r="G673" s="203"/>
      <c r="H673" s="203"/>
      <c r="I673" s="263">
        <f t="shared" si="15"/>
        <v>0</v>
      </c>
    </row>
    <row r="674" spans="2:9" ht="15.75" hidden="1" customHeight="1" outlineLevel="1" thickBot="1" x14ac:dyDescent="0.3">
      <c r="B674" s="245">
        <f>IF(AND(F671&lt;&gt;"", B669&lt;&gt;""), B669+1, "")</f>
        <v>45934</v>
      </c>
      <c r="C674" s="409"/>
      <c r="D674" s="409"/>
      <c r="E674" s="246" t="s">
        <v>766</v>
      </c>
      <c r="F674" s="202">
        <v>0</v>
      </c>
      <c r="G674" s="203"/>
      <c r="H674" s="203"/>
      <c r="I674" s="263">
        <f t="shared" si="15"/>
        <v>0</v>
      </c>
    </row>
    <row r="675" spans="2:9" ht="15.75" hidden="1" customHeight="1" outlineLevel="1" thickBot="1" x14ac:dyDescent="0.3">
      <c r="B675" s="249">
        <f>IF(AND(F671&lt;&gt;"", B670&lt;&gt;""), B670+1, "")</f>
        <v>45934</v>
      </c>
      <c r="C675" s="416"/>
      <c r="D675" s="416"/>
      <c r="E675" s="250" t="s">
        <v>767</v>
      </c>
      <c r="F675" s="204">
        <v>78</v>
      </c>
      <c r="G675" s="205"/>
      <c r="H675" s="205"/>
      <c r="I675" s="264">
        <f t="shared" si="15"/>
        <v>78</v>
      </c>
    </row>
    <row r="676" spans="2:9" ht="15.75" hidden="1" customHeight="1" outlineLevel="1" thickBot="1" x14ac:dyDescent="0.3">
      <c r="B676" s="241">
        <f>IF(AND(F676&lt;&gt;"", B671&lt;&gt;""), B671+1, "")</f>
        <v>45935</v>
      </c>
      <c r="C676" s="442">
        <v>45935</v>
      </c>
      <c r="D676" s="443">
        <f>D671+1</f>
        <v>45935</v>
      </c>
      <c r="E676" s="246" t="s">
        <v>394</v>
      </c>
      <c r="F676" s="202">
        <v>0</v>
      </c>
      <c r="G676" s="203"/>
      <c r="H676" s="203"/>
      <c r="I676" s="263">
        <f t="shared" si="15"/>
        <v>0</v>
      </c>
    </row>
    <row r="677" spans="2:9" ht="15.75" hidden="1" customHeight="1" outlineLevel="1" thickBot="1" x14ac:dyDescent="0.3">
      <c r="B677" s="245">
        <f>IF(AND(F676&lt;&gt;"", B672&lt;&gt;""), B672+1, "")</f>
        <v>45935</v>
      </c>
      <c r="C677" s="409"/>
      <c r="D677" s="409"/>
      <c r="E677" s="246" t="s">
        <v>764</v>
      </c>
      <c r="F677" s="202">
        <v>0</v>
      </c>
      <c r="G677" s="203"/>
      <c r="H677" s="203"/>
      <c r="I677" s="263">
        <f t="shared" si="15"/>
        <v>0</v>
      </c>
    </row>
    <row r="678" spans="2:9" ht="15.75" hidden="1" customHeight="1" outlineLevel="1" thickBot="1" x14ac:dyDescent="0.3">
      <c r="B678" s="245">
        <f>IF(AND(F676&lt;&gt;"", B673&lt;&gt;""), B673+1, "")</f>
        <v>45935</v>
      </c>
      <c r="C678" s="409"/>
      <c r="D678" s="409"/>
      <c r="E678" s="246" t="s">
        <v>765</v>
      </c>
      <c r="F678" s="202">
        <v>0</v>
      </c>
      <c r="G678" s="203"/>
      <c r="H678" s="203"/>
      <c r="I678" s="263">
        <f t="shared" si="15"/>
        <v>0</v>
      </c>
    </row>
    <row r="679" spans="2:9" ht="15.75" hidden="1" customHeight="1" outlineLevel="1" thickBot="1" x14ac:dyDescent="0.3">
      <c r="B679" s="245">
        <f>IF(AND(F676&lt;&gt;"", B674&lt;&gt;""), B674+1, "")</f>
        <v>45935</v>
      </c>
      <c r="C679" s="409"/>
      <c r="D679" s="409"/>
      <c r="E679" s="246" t="s">
        <v>766</v>
      </c>
      <c r="F679" s="202">
        <v>0</v>
      </c>
      <c r="G679" s="203"/>
      <c r="H679" s="203"/>
      <c r="I679" s="263">
        <f t="shared" si="15"/>
        <v>0</v>
      </c>
    </row>
    <row r="680" spans="2:9" ht="15.75" hidden="1" customHeight="1" outlineLevel="1" thickBot="1" x14ac:dyDescent="0.3">
      <c r="B680" s="249">
        <f>IF(AND(F676&lt;&gt;"", B675&lt;&gt;""), B675+1, "")</f>
        <v>45935</v>
      </c>
      <c r="C680" s="416"/>
      <c r="D680" s="416"/>
      <c r="E680" s="250" t="s">
        <v>767</v>
      </c>
      <c r="F680" s="204">
        <v>0</v>
      </c>
      <c r="G680" s="205"/>
      <c r="H680" s="205"/>
      <c r="I680" s="264">
        <f t="shared" si="15"/>
        <v>0</v>
      </c>
    </row>
    <row r="681" spans="2:9" ht="15.75" hidden="1" customHeight="1" outlineLevel="1" thickBot="1" x14ac:dyDescent="0.3">
      <c r="B681" s="241">
        <f>IF(AND(F681&lt;&gt;"", B676&lt;&gt;""), B676+1, "")</f>
        <v>45936</v>
      </c>
      <c r="C681" s="442">
        <v>45936</v>
      </c>
      <c r="D681" s="443">
        <f>D676+1</f>
        <v>45936</v>
      </c>
      <c r="E681" s="246" t="s">
        <v>394</v>
      </c>
      <c r="F681" s="202">
        <v>0</v>
      </c>
      <c r="G681" s="203"/>
      <c r="H681" s="203"/>
      <c r="I681" s="263">
        <f t="shared" si="15"/>
        <v>0</v>
      </c>
    </row>
    <row r="682" spans="2:9" ht="15.75" hidden="1" customHeight="1" outlineLevel="1" thickBot="1" x14ac:dyDescent="0.3">
      <c r="B682" s="245">
        <f>IF(AND(F681&lt;&gt;"", B677&lt;&gt;""), B677+1, "")</f>
        <v>45936</v>
      </c>
      <c r="C682" s="409"/>
      <c r="D682" s="409"/>
      <c r="E682" s="246" t="s">
        <v>764</v>
      </c>
      <c r="F682" s="202">
        <v>0</v>
      </c>
      <c r="G682" s="203"/>
      <c r="H682" s="203"/>
      <c r="I682" s="263">
        <f t="shared" si="15"/>
        <v>0</v>
      </c>
    </row>
    <row r="683" spans="2:9" ht="15.75" hidden="1" customHeight="1" outlineLevel="1" thickBot="1" x14ac:dyDescent="0.3">
      <c r="B683" s="245">
        <f>IF(AND(F681&lt;&gt;"", B678&lt;&gt;""), B678+1, "")</f>
        <v>45936</v>
      </c>
      <c r="C683" s="409"/>
      <c r="D683" s="409"/>
      <c r="E683" s="246" t="s">
        <v>765</v>
      </c>
      <c r="F683" s="202">
        <v>0</v>
      </c>
      <c r="G683" s="203"/>
      <c r="H683" s="203"/>
      <c r="I683" s="263">
        <f t="shared" si="15"/>
        <v>0</v>
      </c>
    </row>
    <row r="684" spans="2:9" ht="15.75" hidden="1" customHeight="1" outlineLevel="1" thickBot="1" x14ac:dyDescent="0.3">
      <c r="B684" s="245">
        <f>IF(AND(F681&lt;&gt;"", B679&lt;&gt;""), B679+1, "")</f>
        <v>45936</v>
      </c>
      <c r="C684" s="409"/>
      <c r="D684" s="409"/>
      <c r="E684" s="246" t="s">
        <v>766</v>
      </c>
      <c r="F684" s="202">
        <v>0</v>
      </c>
      <c r="G684" s="203"/>
      <c r="H684" s="203"/>
      <c r="I684" s="263">
        <f t="shared" si="15"/>
        <v>0</v>
      </c>
    </row>
    <row r="685" spans="2:9" ht="15.75" hidden="1" customHeight="1" outlineLevel="1" thickBot="1" x14ac:dyDescent="0.3">
      <c r="B685" s="249">
        <f>IF(AND(F681&lt;&gt;"", B680&lt;&gt;""), B680+1, "")</f>
        <v>45936</v>
      </c>
      <c r="C685" s="416"/>
      <c r="D685" s="416"/>
      <c r="E685" s="250" t="s">
        <v>767</v>
      </c>
      <c r="F685" s="204">
        <v>0</v>
      </c>
      <c r="G685" s="205"/>
      <c r="H685" s="205"/>
      <c r="I685" s="264">
        <f t="shared" si="15"/>
        <v>0</v>
      </c>
    </row>
    <row r="686" spans="2:9" ht="15.75" hidden="1" customHeight="1" outlineLevel="1" thickBot="1" x14ac:dyDescent="0.3">
      <c r="B686" s="241">
        <f>IF(AND(F686&lt;&gt;"", B681&lt;&gt;""), B681+1, "")</f>
        <v>45937</v>
      </c>
      <c r="C686" s="442">
        <v>45937</v>
      </c>
      <c r="D686" s="443">
        <f>D681+1</f>
        <v>45937</v>
      </c>
      <c r="E686" s="246" t="s">
        <v>394</v>
      </c>
      <c r="F686" s="202">
        <v>0</v>
      </c>
      <c r="G686" s="203"/>
      <c r="H686" s="203"/>
      <c r="I686" s="263">
        <f t="shared" si="15"/>
        <v>0</v>
      </c>
    </row>
    <row r="687" spans="2:9" ht="15.75" hidden="1" customHeight="1" outlineLevel="1" thickBot="1" x14ac:dyDescent="0.3">
      <c r="B687" s="245">
        <f>IF(AND(F686&lt;&gt;"", B682&lt;&gt;""), B682+1, "")</f>
        <v>45937</v>
      </c>
      <c r="C687" s="409"/>
      <c r="D687" s="409"/>
      <c r="E687" s="246" t="s">
        <v>764</v>
      </c>
      <c r="F687" s="202">
        <v>0</v>
      </c>
      <c r="G687" s="203"/>
      <c r="H687" s="203"/>
      <c r="I687" s="263">
        <f t="shared" si="15"/>
        <v>0</v>
      </c>
    </row>
    <row r="688" spans="2:9" ht="15.75" hidden="1" customHeight="1" outlineLevel="1" thickBot="1" x14ac:dyDescent="0.3">
      <c r="B688" s="245">
        <f>IF(AND(F686&lt;&gt;"", B683&lt;&gt;""), B683+1, "")</f>
        <v>45937</v>
      </c>
      <c r="C688" s="409"/>
      <c r="D688" s="409"/>
      <c r="E688" s="246" t="s">
        <v>765</v>
      </c>
      <c r="F688" s="202">
        <v>0</v>
      </c>
      <c r="G688" s="203"/>
      <c r="H688" s="203"/>
      <c r="I688" s="263">
        <f t="shared" si="15"/>
        <v>0</v>
      </c>
    </row>
    <row r="689" spans="2:9" ht="15.75" hidden="1" customHeight="1" outlineLevel="1" thickBot="1" x14ac:dyDescent="0.3">
      <c r="B689" s="245">
        <f>IF(AND(F686&lt;&gt;"", B684&lt;&gt;""), B684+1, "")</f>
        <v>45937</v>
      </c>
      <c r="C689" s="409"/>
      <c r="D689" s="409"/>
      <c r="E689" s="246" t="s">
        <v>766</v>
      </c>
      <c r="F689" s="202">
        <v>0</v>
      </c>
      <c r="G689" s="203"/>
      <c r="H689" s="203"/>
      <c r="I689" s="263">
        <f t="shared" si="15"/>
        <v>0</v>
      </c>
    </row>
    <row r="690" spans="2:9" ht="15.75" hidden="1" customHeight="1" outlineLevel="1" thickBot="1" x14ac:dyDescent="0.3">
      <c r="B690" s="249">
        <f>IF(AND(F686&lt;&gt;"", B685&lt;&gt;""), B685+1, "")</f>
        <v>45937</v>
      </c>
      <c r="C690" s="416"/>
      <c r="D690" s="416"/>
      <c r="E690" s="250" t="s">
        <v>767</v>
      </c>
      <c r="F690" s="204">
        <v>0</v>
      </c>
      <c r="G690" s="205"/>
      <c r="H690" s="205"/>
      <c r="I690" s="264">
        <f t="shared" si="15"/>
        <v>0</v>
      </c>
    </row>
    <row r="691" spans="2:9" ht="15.75" hidden="1" customHeight="1" outlineLevel="1" thickBot="1" x14ac:dyDescent="0.3">
      <c r="B691" s="241">
        <f>IF(AND(F691&lt;&gt;"", B686&lt;&gt;""), B686+1, "")</f>
        <v>45938</v>
      </c>
      <c r="C691" s="442">
        <v>45938</v>
      </c>
      <c r="D691" s="443">
        <f>D686+1</f>
        <v>45938</v>
      </c>
      <c r="E691" s="246" t="s">
        <v>394</v>
      </c>
      <c r="F691" s="202">
        <v>0</v>
      </c>
      <c r="G691" s="203">
        <v>161</v>
      </c>
      <c r="H691" s="203"/>
      <c r="I691" s="263">
        <f t="shared" si="15"/>
        <v>161</v>
      </c>
    </row>
    <row r="692" spans="2:9" ht="15.75" hidden="1" customHeight="1" outlineLevel="1" thickBot="1" x14ac:dyDescent="0.3">
      <c r="B692" s="245">
        <f>IF(AND(F691&lt;&gt;"", B687&lt;&gt;""), B687+1, "")</f>
        <v>45938</v>
      </c>
      <c r="C692" s="409"/>
      <c r="D692" s="409"/>
      <c r="E692" s="246" t="s">
        <v>764</v>
      </c>
      <c r="F692" s="202">
        <v>0</v>
      </c>
      <c r="G692" s="203"/>
      <c r="H692" s="203"/>
      <c r="I692" s="263">
        <f t="shared" si="15"/>
        <v>0</v>
      </c>
    </row>
    <row r="693" spans="2:9" ht="15.75" hidden="1" customHeight="1" outlineLevel="1" thickBot="1" x14ac:dyDescent="0.3">
      <c r="B693" s="245">
        <f>IF(AND(F691&lt;&gt;"", B688&lt;&gt;""), B688+1, "")</f>
        <v>45938</v>
      </c>
      <c r="C693" s="409"/>
      <c r="D693" s="409"/>
      <c r="E693" s="246" t="s">
        <v>765</v>
      </c>
      <c r="F693" s="202">
        <v>0</v>
      </c>
      <c r="G693" s="203"/>
      <c r="H693" s="203"/>
      <c r="I693" s="263">
        <f t="shared" si="15"/>
        <v>0</v>
      </c>
    </row>
    <row r="694" spans="2:9" ht="15.75" hidden="1" customHeight="1" outlineLevel="1" thickBot="1" x14ac:dyDescent="0.3">
      <c r="B694" s="245">
        <f>IF(AND(F691&lt;&gt;"", B689&lt;&gt;""), B689+1, "")</f>
        <v>45938</v>
      </c>
      <c r="C694" s="409"/>
      <c r="D694" s="409"/>
      <c r="E694" s="246" t="s">
        <v>766</v>
      </c>
      <c r="F694" s="202">
        <v>0</v>
      </c>
      <c r="G694" s="203"/>
      <c r="H694" s="203"/>
      <c r="I694" s="263">
        <f t="shared" si="15"/>
        <v>0</v>
      </c>
    </row>
    <row r="695" spans="2:9" ht="15.75" hidden="1" customHeight="1" outlineLevel="1" thickBot="1" x14ac:dyDescent="0.3">
      <c r="B695" s="249">
        <f>IF(AND(F691&lt;&gt;"", B690&lt;&gt;""), B690+1, "")</f>
        <v>45938</v>
      </c>
      <c r="C695" s="416"/>
      <c r="D695" s="416"/>
      <c r="E695" s="250" t="s">
        <v>767</v>
      </c>
      <c r="F695" s="204">
        <v>78</v>
      </c>
      <c r="G695" s="205"/>
      <c r="H695" s="205"/>
      <c r="I695" s="264">
        <f t="shared" ref="I695:I758" si="16">F695+G695-H695</f>
        <v>78</v>
      </c>
    </row>
    <row r="696" spans="2:9" ht="15.75" hidden="1" customHeight="1" outlineLevel="1" thickBot="1" x14ac:dyDescent="0.3">
      <c r="B696" s="241">
        <f>IF(AND(F696&lt;&gt;"", B691&lt;&gt;""), B691+1, "")</f>
        <v>45939</v>
      </c>
      <c r="C696" s="442">
        <v>45939</v>
      </c>
      <c r="D696" s="443">
        <f>D691+1</f>
        <v>45939</v>
      </c>
      <c r="E696" s="246" t="s">
        <v>394</v>
      </c>
      <c r="F696" s="202">
        <v>161</v>
      </c>
      <c r="G696" s="203">
        <v>610</v>
      </c>
      <c r="H696" s="203"/>
      <c r="I696" s="263">
        <f t="shared" si="16"/>
        <v>771</v>
      </c>
    </row>
    <row r="697" spans="2:9" ht="15.75" hidden="1" customHeight="1" outlineLevel="1" thickBot="1" x14ac:dyDescent="0.3">
      <c r="B697" s="245">
        <f>IF(AND(F696&lt;&gt;"", B692&lt;&gt;""), B692+1, "")</f>
        <v>45939</v>
      </c>
      <c r="C697" s="409"/>
      <c r="D697" s="409"/>
      <c r="E697" s="246" t="s">
        <v>764</v>
      </c>
      <c r="F697" s="202"/>
      <c r="G697" s="203"/>
      <c r="H697" s="203"/>
      <c r="I697" s="263">
        <f t="shared" si="16"/>
        <v>0</v>
      </c>
    </row>
    <row r="698" spans="2:9" ht="15.75" hidden="1" customHeight="1" outlineLevel="1" thickBot="1" x14ac:dyDescent="0.3">
      <c r="B698" s="245">
        <f>IF(AND(F696&lt;&gt;"", B693&lt;&gt;""), B693+1, "")</f>
        <v>45939</v>
      </c>
      <c r="C698" s="409"/>
      <c r="D698" s="409"/>
      <c r="E698" s="246" t="s">
        <v>765</v>
      </c>
      <c r="F698" s="202">
        <v>370</v>
      </c>
      <c r="G698" s="203"/>
      <c r="H698" s="203"/>
      <c r="I698" s="263">
        <f t="shared" si="16"/>
        <v>370</v>
      </c>
    </row>
    <row r="699" spans="2:9" ht="15.75" hidden="1" customHeight="1" outlineLevel="1" thickBot="1" x14ac:dyDescent="0.3">
      <c r="B699" s="245">
        <f>IF(AND(F696&lt;&gt;"", B694&lt;&gt;""), B694+1, "")</f>
        <v>45939</v>
      </c>
      <c r="C699" s="409"/>
      <c r="D699" s="409"/>
      <c r="E699" s="246" t="s">
        <v>766</v>
      </c>
      <c r="F699" s="202"/>
      <c r="G699" s="203"/>
      <c r="H699" s="203"/>
      <c r="I699" s="263">
        <f t="shared" si="16"/>
        <v>0</v>
      </c>
    </row>
    <row r="700" spans="2:9" ht="15.75" hidden="1" customHeight="1" outlineLevel="1" thickBot="1" x14ac:dyDescent="0.3">
      <c r="B700" s="249">
        <f>IF(AND(F696&lt;&gt;"", B695&lt;&gt;""), B695+1, "")</f>
        <v>45939</v>
      </c>
      <c r="C700" s="416"/>
      <c r="D700" s="416"/>
      <c r="E700" s="250" t="s">
        <v>767</v>
      </c>
      <c r="F700" s="204">
        <v>78</v>
      </c>
      <c r="G700" s="205"/>
      <c r="H700" s="205"/>
      <c r="I700" s="264">
        <f t="shared" si="16"/>
        <v>78</v>
      </c>
    </row>
    <row r="701" spans="2:9" ht="15.75" hidden="1" customHeight="1" outlineLevel="1" thickBot="1" x14ac:dyDescent="0.3">
      <c r="B701" s="241">
        <f>IF(AND(F701&lt;&gt;"", B696&lt;&gt;""), B696+1, "")</f>
        <v>45940</v>
      </c>
      <c r="C701" s="442">
        <v>45940</v>
      </c>
      <c r="D701" s="443">
        <f>D696+1</f>
        <v>45940</v>
      </c>
      <c r="E701" s="246" t="s">
        <v>394</v>
      </c>
      <c r="F701" s="202">
        <v>0</v>
      </c>
      <c r="G701" s="203"/>
      <c r="H701" s="203"/>
      <c r="I701" s="263">
        <f t="shared" si="16"/>
        <v>0</v>
      </c>
    </row>
    <row r="702" spans="2:9" ht="15.75" hidden="1" customHeight="1" outlineLevel="1" thickBot="1" x14ac:dyDescent="0.3">
      <c r="B702" s="245">
        <f>IF(AND(F701&lt;&gt;"", B697&lt;&gt;""), B697+1, "")</f>
        <v>45940</v>
      </c>
      <c r="C702" s="409"/>
      <c r="D702" s="409"/>
      <c r="E702" s="246" t="s">
        <v>764</v>
      </c>
      <c r="F702" s="202">
        <v>0</v>
      </c>
      <c r="G702" s="203"/>
      <c r="H702" s="203"/>
      <c r="I702" s="263">
        <f t="shared" si="16"/>
        <v>0</v>
      </c>
    </row>
    <row r="703" spans="2:9" ht="15.75" hidden="1" customHeight="1" outlineLevel="1" thickBot="1" x14ac:dyDescent="0.3">
      <c r="B703" s="245">
        <f>IF(AND(F701&lt;&gt;"", B698&lt;&gt;""), B698+1, "")</f>
        <v>45940</v>
      </c>
      <c r="C703" s="409"/>
      <c r="D703" s="409"/>
      <c r="E703" s="246" t="s">
        <v>765</v>
      </c>
      <c r="F703" s="202">
        <v>0</v>
      </c>
      <c r="G703" s="203"/>
      <c r="H703" s="203"/>
      <c r="I703" s="263">
        <f t="shared" si="16"/>
        <v>0</v>
      </c>
    </row>
    <row r="704" spans="2:9" ht="15.75" hidden="1" customHeight="1" outlineLevel="1" thickBot="1" x14ac:dyDescent="0.3">
      <c r="B704" s="245">
        <f>IF(AND(F701&lt;&gt;"", B699&lt;&gt;""), B699+1, "")</f>
        <v>45940</v>
      </c>
      <c r="C704" s="409"/>
      <c r="D704" s="409"/>
      <c r="E704" s="246" t="s">
        <v>766</v>
      </c>
      <c r="F704" s="202">
        <v>0</v>
      </c>
      <c r="G704" s="203"/>
      <c r="H704" s="203"/>
      <c r="I704" s="263">
        <f t="shared" si="16"/>
        <v>0</v>
      </c>
    </row>
    <row r="705" spans="2:9" ht="15.75" hidden="1" customHeight="1" outlineLevel="1" thickBot="1" x14ac:dyDescent="0.3">
      <c r="B705" s="249">
        <f>IF(AND(F701&lt;&gt;"", B700&lt;&gt;""), B700+1, "")</f>
        <v>45940</v>
      </c>
      <c r="C705" s="416"/>
      <c r="D705" s="416"/>
      <c r="E705" s="250" t="s">
        <v>767</v>
      </c>
      <c r="F705" s="204">
        <v>0</v>
      </c>
      <c r="G705" s="205"/>
      <c r="H705" s="205"/>
      <c r="I705" s="264">
        <f t="shared" si="16"/>
        <v>0</v>
      </c>
    </row>
    <row r="706" spans="2:9" ht="15.75" hidden="1" customHeight="1" outlineLevel="1" thickBot="1" x14ac:dyDescent="0.3">
      <c r="B706" s="241">
        <f>IF(AND(F706&lt;&gt;"", B701&lt;&gt;""), B701+1, "")</f>
        <v>45941</v>
      </c>
      <c r="C706" s="442">
        <v>45941</v>
      </c>
      <c r="D706" s="443">
        <f>D701+1</f>
        <v>45941</v>
      </c>
      <c r="E706" s="246" t="s">
        <v>394</v>
      </c>
      <c r="F706" s="202">
        <v>771</v>
      </c>
      <c r="G706" s="203">
        <v>630</v>
      </c>
      <c r="H706" s="203"/>
      <c r="I706" s="263">
        <f t="shared" si="16"/>
        <v>1401</v>
      </c>
    </row>
    <row r="707" spans="2:9" ht="15.75" hidden="1" customHeight="1" outlineLevel="1" thickBot="1" x14ac:dyDescent="0.3">
      <c r="B707" s="245">
        <f>IF(AND(F706&lt;&gt;"", B702&lt;&gt;""), B702+1, "")</f>
        <v>45941</v>
      </c>
      <c r="C707" s="409"/>
      <c r="D707" s="409"/>
      <c r="E707" s="246" t="s">
        <v>764</v>
      </c>
      <c r="F707" s="202"/>
      <c r="G707" s="203"/>
      <c r="H707" s="203"/>
      <c r="I707" s="263">
        <f t="shared" si="16"/>
        <v>0</v>
      </c>
    </row>
    <row r="708" spans="2:9" ht="15.75" hidden="1" customHeight="1" outlineLevel="1" thickBot="1" x14ac:dyDescent="0.3">
      <c r="B708" s="245">
        <f>IF(AND(F706&lt;&gt;"", B703&lt;&gt;""), B703+1, "")</f>
        <v>45941</v>
      </c>
      <c r="C708" s="409"/>
      <c r="D708" s="409"/>
      <c r="E708" s="246" t="s">
        <v>765</v>
      </c>
      <c r="F708" s="202">
        <v>370</v>
      </c>
      <c r="G708" s="203">
        <v>460</v>
      </c>
      <c r="H708" s="203"/>
      <c r="I708" s="263">
        <f t="shared" si="16"/>
        <v>830</v>
      </c>
    </row>
    <row r="709" spans="2:9" ht="15.75" hidden="1" customHeight="1" outlineLevel="1" thickBot="1" x14ac:dyDescent="0.3">
      <c r="B709" s="245">
        <f>IF(AND(F706&lt;&gt;"", B704&lt;&gt;""), B704+1, "")</f>
        <v>45941</v>
      </c>
      <c r="C709" s="409"/>
      <c r="D709" s="409"/>
      <c r="E709" s="246" t="s">
        <v>766</v>
      </c>
      <c r="F709" s="202"/>
      <c r="G709" s="203"/>
      <c r="H709" s="203"/>
      <c r="I709" s="263">
        <f t="shared" si="16"/>
        <v>0</v>
      </c>
    </row>
    <row r="710" spans="2:9" ht="15.75" hidden="1" customHeight="1" outlineLevel="1" thickBot="1" x14ac:dyDescent="0.3">
      <c r="B710" s="249">
        <f>IF(AND(F706&lt;&gt;"", B705&lt;&gt;""), B705+1, "")</f>
        <v>45941</v>
      </c>
      <c r="C710" s="416"/>
      <c r="D710" s="416"/>
      <c r="E710" s="250" t="s">
        <v>767</v>
      </c>
      <c r="F710" s="204">
        <v>78</v>
      </c>
      <c r="G710" s="205"/>
      <c r="H710" s="205"/>
      <c r="I710" s="264">
        <f t="shared" si="16"/>
        <v>78</v>
      </c>
    </row>
    <row r="711" spans="2:9" ht="15.75" hidden="1" customHeight="1" outlineLevel="1" thickBot="1" x14ac:dyDescent="0.3">
      <c r="B711" s="241">
        <f>IF(AND(F711&lt;&gt;"", B706&lt;&gt;""), B706+1, "")</f>
        <v>45942</v>
      </c>
      <c r="C711" s="442">
        <v>45942</v>
      </c>
      <c r="D711" s="443">
        <f>D706+1</f>
        <v>45942</v>
      </c>
      <c r="E711" s="246" t="s">
        <v>394</v>
      </c>
      <c r="F711" s="202">
        <v>1401</v>
      </c>
      <c r="G711" s="203">
        <v>630</v>
      </c>
      <c r="H711" s="203">
        <v>700</v>
      </c>
      <c r="I711" s="263">
        <f t="shared" si="16"/>
        <v>1331</v>
      </c>
    </row>
    <row r="712" spans="2:9" ht="15.75" hidden="1" customHeight="1" outlineLevel="1" thickBot="1" x14ac:dyDescent="0.3">
      <c r="B712" s="245">
        <f>IF(AND(F711&lt;&gt;"", B707&lt;&gt;""), B707+1, "")</f>
        <v>45942</v>
      </c>
      <c r="C712" s="409"/>
      <c r="D712" s="409"/>
      <c r="E712" s="246" t="s">
        <v>764</v>
      </c>
      <c r="F712" s="202">
        <v>0</v>
      </c>
      <c r="G712" s="203"/>
      <c r="H712" s="203"/>
      <c r="I712" s="263">
        <f t="shared" si="16"/>
        <v>0</v>
      </c>
    </row>
    <row r="713" spans="2:9" ht="15.75" hidden="1" customHeight="1" outlineLevel="1" thickBot="1" x14ac:dyDescent="0.3">
      <c r="B713" s="245">
        <f>IF(AND(F711&lt;&gt;"", B708&lt;&gt;""), B708+1, "")</f>
        <v>45942</v>
      </c>
      <c r="C713" s="409"/>
      <c r="D713" s="409"/>
      <c r="E713" s="246" t="s">
        <v>765</v>
      </c>
      <c r="F713" s="202">
        <v>830</v>
      </c>
      <c r="G713" s="203">
        <v>470</v>
      </c>
      <c r="H713" s="203"/>
      <c r="I713" s="263">
        <f t="shared" si="16"/>
        <v>1300</v>
      </c>
    </row>
    <row r="714" spans="2:9" ht="15.75" hidden="1" customHeight="1" outlineLevel="1" thickBot="1" x14ac:dyDescent="0.3">
      <c r="B714" s="245">
        <f>IF(AND(F711&lt;&gt;"", B709&lt;&gt;""), B709+1, "")</f>
        <v>45942</v>
      </c>
      <c r="C714" s="409"/>
      <c r="D714" s="409"/>
      <c r="E714" s="246" t="s">
        <v>766</v>
      </c>
      <c r="F714" s="202"/>
      <c r="G714" s="203"/>
      <c r="H714" s="203"/>
      <c r="I714" s="263">
        <f t="shared" si="16"/>
        <v>0</v>
      </c>
    </row>
    <row r="715" spans="2:9" ht="15.75" hidden="1" customHeight="1" outlineLevel="1" thickBot="1" x14ac:dyDescent="0.3">
      <c r="B715" s="249">
        <f>IF(AND(F711&lt;&gt;"", B710&lt;&gt;""), B710+1, "")</f>
        <v>45942</v>
      </c>
      <c r="C715" s="416"/>
      <c r="D715" s="416"/>
      <c r="E715" s="250" t="s">
        <v>767</v>
      </c>
      <c r="F715" s="204">
        <v>78</v>
      </c>
      <c r="G715" s="205"/>
      <c r="H715" s="205"/>
      <c r="I715" s="264">
        <f t="shared" si="16"/>
        <v>78</v>
      </c>
    </row>
    <row r="716" spans="2:9" ht="15.75" hidden="1" customHeight="1" outlineLevel="1" thickBot="1" x14ac:dyDescent="0.3">
      <c r="B716" s="241">
        <f>IF(AND(F716&lt;&gt;"", B711&lt;&gt;""), B711+1, "")</f>
        <v>45943</v>
      </c>
      <c r="C716" s="442">
        <v>45943</v>
      </c>
      <c r="D716" s="443">
        <f>D711+1</f>
        <v>45943</v>
      </c>
      <c r="E716" s="246" t="s">
        <v>394</v>
      </c>
      <c r="F716" s="202">
        <v>1331</v>
      </c>
      <c r="G716" s="203">
        <v>640</v>
      </c>
      <c r="H716" s="203">
        <v>700</v>
      </c>
      <c r="I716" s="263">
        <f t="shared" si="16"/>
        <v>1271</v>
      </c>
    </row>
    <row r="717" spans="2:9" ht="15.75" hidden="1" customHeight="1" outlineLevel="1" thickBot="1" x14ac:dyDescent="0.3">
      <c r="B717" s="245">
        <f>IF(AND(F716&lt;&gt;"", B712&lt;&gt;""), B712+1, "")</f>
        <v>45943</v>
      </c>
      <c r="C717" s="409"/>
      <c r="D717" s="409"/>
      <c r="E717" s="246" t="s">
        <v>764</v>
      </c>
      <c r="F717" s="202">
        <v>0</v>
      </c>
      <c r="G717" s="203"/>
      <c r="H717" s="203"/>
      <c r="I717" s="263">
        <f t="shared" si="16"/>
        <v>0</v>
      </c>
    </row>
    <row r="718" spans="2:9" ht="15.75" hidden="1" customHeight="1" outlineLevel="1" thickBot="1" x14ac:dyDescent="0.3">
      <c r="B718" s="245">
        <f>IF(AND(F716&lt;&gt;"", B713&lt;&gt;""), B713+1, "")</f>
        <v>45943</v>
      </c>
      <c r="C718" s="409"/>
      <c r="D718" s="409"/>
      <c r="E718" s="246" t="s">
        <v>765</v>
      </c>
      <c r="F718" s="202">
        <v>1300</v>
      </c>
      <c r="G718" s="203">
        <v>475</v>
      </c>
      <c r="H718" s="203"/>
      <c r="I718" s="263">
        <f t="shared" si="16"/>
        <v>1775</v>
      </c>
    </row>
    <row r="719" spans="2:9" ht="15.75" hidden="1" customHeight="1" outlineLevel="1" thickBot="1" x14ac:dyDescent="0.3">
      <c r="B719" s="245">
        <f>IF(AND(F716&lt;&gt;"", B714&lt;&gt;""), B714+1, "")</f>
        <v>45943</v>
      </c>
      <c r="C719" s="409"/>
      <c r="D719" s="409"/>
      <c r="E719" s="246" t="s">
        <v>766</v>
      </c>
      <c r="F719" s="202">
        <v>0</v>
      </c>
      <c r="G719" s="203"/>
      <c r="H719" s="203"/>
      <c r="I719" s="263">
        <f t="shared" si="16"/>
        <v>0</v>
      </c>
    </row>
    <row r="720" spans="2:9" ht="15.75" hidden="1" customHeight="1" outlineLevel="1" thickBot="1" x14ac:dyDescent="0.3">
      <c r="B720" s="249">
        <f>IF(AND(F716&lt;&gt;"", B715&lt;&gt;""), B715+1, "")</f>
        <v>45943</v>
      </c>
      <c r="C720" s="416"/>
      <c r="D720" s="416"/>
      <c r="E720" s="250" t="s">
        <v>767</v>
      </c>
      <c r="F720" s="204">
        <v>78</v>
      </c>
      <c r="G720" s="205"/>
      <c r="H720" s="205"/>
      <c r="I720" s="264">
        <f t="shared" si="16"/>
        <v>78</v>
      </c>
    </row>
    <row r="721" spans="2:9" ht="15.75" hidden="1" customHeight="1" outlineLevel="1" thickBot="1" x14ac:dyDescent="0.3">
      <c r="B721" s="241">
        <f>IF(AND(F721&lt;&gt;"", B716&lt;&gt;""), B716+1, "")</f>
        <v>45944</v>
      </c>
      <c r="C721" s="442">
        <v>45944</v>
      </c>
      <c r="D721" s="443">
        <f>D716+1</f>
        <v>45944</v>
      </c>
      <c r="E721" s="246" t="s">
        <v>394</v>
      </c>
      <c r="F721" s="202">
        <v>1271</v>
      </c>
      <c r="G721" s="203">
        <v>605</v>
      </c>
      <c r="H721" s="203">
        <v>308</v>
      </c>
      <c r="I721" s="263">
        <f t="shared" si="16"/>
        <v>1568</v>
      </c>
    </row>
    <row r="722" spans="2:9" ht="15.75" hidden="1" customHeight="1" outlineLevel="1" thickBot="1" x14ac:dyDescent="0.3">
      <c r="B722" s="245">
        <f>IF(AND(F721&lt;&gt;"", B717&lt;&gt;""), B717+1, "")</f>
        <v>45944</v>
      </c>
      <c r="C722" s="409"/>
      <c r="D722" s="409"/>
      <c r="E722" s="246" t="s">
        <v>764</v>
      </c>
      <c r="F722" s="202">
        <v>0</v>
      </c>
      <c r="G722" s="203"/>
      <c r="H722" s="203"/>
      <c r="I722" s="263">
        <f t="shared" si="16"/>
        <v>0</v>
      </c>
    </row>
    <row r="723" spans="2:9" ht="15.75" hidden="1" customHeight="1" outlineLevel="1" thickBot="1" x14ac:dyDescent="0.3">
      <c r="B723" s="245">
        <f>IF(AND(F721&lt;&gt;"", B718&lt;&gt;""), B718+1, "")</f>
        <v>45944</v>
      </c>
      <c r="C723" s="409"/>
      <c r="D723" s="409"/>
      <c r="E723" s="246" t="s">
        <v>765</v>
      </c>
      <c r="F723" s="202">
        <v>1755</v>
      </c>
      <c r="G723" s="203">
        <v>450</v>
      </c>
      <c r="H723" s="203"/>
      <c r="I723" s="263">
        <f t="shared" si="16"/>
        <v>2205</v>
      </c>
    </row>
    <row r="724" spans="2:9" ht="15.75" hidden="1" customHeight="1" outlineLevel="1" thickBot="1" x14ac:dyDescent="0.3">
      <c r="B724" s="245">
        <f>IF(AND(F721&lt;&gt;"", B719&lt;&gt;""), B719+1, "")</f>
        <v>45944</v>
      </c>
      <c r="C724" s="409"/>
      <c r="D724" s="409"/>
      <c r="E724" s="246" t="s">
        <v>766</v>
      </c>
      <c r="F724" s="202">
        <v>0</v>
      </c>
      <c r="G724" s="203"/>
      <c r="H724" s="203"/>
      <c r="I724" s="263">
        <f t="shared" si="16"/>
        <v>0</v>
      </c>
    </row>
    <row r="725" spans="2:9" ht="15.75" hidden="1" customHeight="1" outlineLevel="1" thickBot="1" x14ac:dyDescent="0.3">
      <c r="B725" s="249">
        <f>IF(AND(F721&lt;&gt;"", B720&lt;&gt;""), B720+1, "")</f>
        <v>45944</v>
      </c>
      <c r="C725" s="416"/>
      <c r="D725" s="416"/>
      <c r="E725" s="250" t="s">
        <v>767</v>
      </c>
      <c r="F725" s="204">
        <v>78</v>
      </c>
      <c r="G725" s="205"/>
      <c r="H725" s="205"/>
      <c r="I725" s="264">
        <f t="shared" si="16"/>
        <v>78</v>
      </c>
    </row>
    <row r="726" spans="2:9" ht="15.75" hidden="1" customHeight="1" outlineLevel="1" thickBot="1" x14ac:dyDescent="0.3">
      <c r="B726" s="241">
        <f>IF(AND(F726&lt;&gt;"", B721&lt;&gt;""), B721+1, "")</f>
        <v>45945</v>
      </c>
      <c r="C726" s="442">
        <v>45945</v>
      </c>
      <c r="D726" s="443">
        <f>D721+1</f>
        <v>45945</v>
      </c>
      <c r="E726" s="246" t="s">
        <v>394</v>
      </c>
      <c r="F726" s="202">
        <v>1568</v>
      </c>
      <c r="G726" s="203">
        <v>900</v>
      </c>
      <c r="H726" s="203">
        <v>800</v>
      </c>
      <c r="I726" s="263">
        <f t="shared" si="16"/>
        <v>1668</v>
      </c>
    </row>
    <row r="727" spans="2:9" ht="15.75" hidden="1" customHeight="1" outlineLevel="1" thickBot="1" x14ac:dyDescent="0.3">
      <c r="B727" s="245">
        <f>IF(AND(F726&lt;&gt;"", B722&lt;&gt;""), B722+1, "")</f>
        <v>45945</v>
      </c>
      <c r="C727" s="409"/>
      <c r="D727" s="409"/>
      <c r="E727" s="246" t="s">
        <v>764</v>
      </c>
      <c r="F727" s="202">
        <v>0</v>
      </c>
      <c r="G727" s="203"/>
      <c r="H727" s="203"/>
      <c r="I727" s="263">
        <f t="shared" si="16"/>
        <v>0</v>
      </c>
    </row>
    <row r="728" spans="2:9" ht="15.75" hidden="1" customHeight="1" outlineLevel="1" thickBot="1" x14ac:dyDescent="0.3">
      <c r="B728" s="245">
        <f>IF(AND(F726&lt;&gt;"", B723&lt;&gt;""), B723+1, "")</f>
        <v>45945</v>
      </c>
      <c r="C728" s="409"/>
      <c r="D728" s="409"/>
      <c r="E728" s="246" t="s">
        <v>765</v>
      </c>
      <c r="F728" s="202">
        <v>2205</v>
      </c>
      <c r="G728" s="203">
        <v>660</v>
      </c>
      <c r="H728" s="203">
        <v>0</v>
      </c>
      <c r="I728" s="263">
        <f t="shared" si="16"/>
        <v>2865</v>
      </c>
    </row>
    <row r="729" spans="2:9" ht="15.75" hidden="1" customHeight="1" outlineLevel="1" thickBot="1" x14ac:dyDescent="0.3">
      <c r="B729" s="245">
        <f>IF(AND(F726&lt;&gt;"", B724&lt;&gt;""), B724+1, "")</f>
        <v>45945</v>
      </c>
      <c r="C729" s="409"/>
      <c r="D729" s="409"/>
      <c r="E729" s="246" t="s">
        <v>766</v>
      </c>
      <c r="F729" s="202">
        <v>0</v>
      </c>
      <c r="G729" s="203"/>
      <c r="H729" s="203"/>
      <c r="I729" s="263">
        <f t="shared" si="16"/>
        <v>0</v>
      </c>
    </row>
    <row r="730" spans="2:9" ht="15.75" hidden="1" customHeight="1" outlineLevel="1" thickBot="1" x14ac:dyDescent="0.3">
      <c r="B730" s="249">
        <f>IF(AND(F726&lt;&gt;"", B725&lt;&gt;""), B725+1, "")</f>
        <v>45945</v>
      </c>
      <c r="C730" s="416"/>
      <c r="D730" s="416"/>
      <c r="E730" s="250" t="s">
        <v>767</v>
      </c>
      <c r="F730" s="204">
        <v>78</v>
      </c>
      <c r="G730" s="205"/>
      <c r="H730" s="205"/>
      <c r="I730" s="264">
        <f t="shared" si="16"/>
        <v>78</v>
      </c>
    </row>
    <row r="731" spans="2:9" ht="15.75" hidden="1" customHeight="1" outlineLevel="1" thickBot="1" x14ac:dyDescent="0.3">
      <c r="B731" s="241">
        <f>IF(AND(F731&lt;&gt;"", B726&lt;&gt;""), B726+1, "")</f>
        <v>45946</v>
      </c>
      <c r="C731" s="442">
        <v>45946</v>
      </c>
      <c r="D731" s="443">
        <f>D726+1</f>
        <v>45946</v>
      </c>
      <c r="E731" s="246" t="s">
        <v>394</v>
      </c>
      <c r="F731" s="202">
        <v>1668</v>
      </c>
      <c r="G731" s="203">
        <v>882</v>
      </c>
      <c r="H731" s="203">
        <v>750</v>
      </c>
      <c r="I731" s="263">
        <f t="shared" si="16"/>
        <v>1800</v>
      </c>
    </row>
    <row r="732" spans="2:9" ht="15.75" hidden="1" customHeight="1" outlineLevel="1" thickBot="1" x14ac:dyDescent="0.3">
      <c r="B732" s="245">
        <f>IF(AND(F731&lt;&gt;"", B727&lt;&gt;""), B727+1, "")</f>
        <v>45946</v>
      </c>
      <c r="C732" s="409"/>
      <c r="D732" s="409"/>
      <c r="E732" s="246" t="s">
        <v>764</v>
      </c>
      <c r="F732" s="202">
        <v>0</v>
      </c>
      <c r="G732" s="203"/>
      <c r="H732" s="203"/>
      <c r="I732" s="263">
        <f t="shared" si="16"/>
        <v>0</v>
      </c>
    </row>
    <row r="733" spans="2:9" ht="15.75" hidden="1" customHeight="1" outlineLevel="1" thickBot="1" x14ac:dyDescent="0.3">
      <c r="B733" s="245">
        <f>IF(AND(F731&lt;&gt;"", B728&lt;&gt;""), B728+1, "")</f>
        <v>45946</v>
      </c>
      <c r="C733" s="409"/>
      <c r="D733" s="409"/>
      <c r="E733" s="246" t="s">
        <v>765</v>
      </c>
      <c r="F733" s="202">
        <v>2865</v>
      </c>
      <c r="G733" s="203">
        <v>640</v>
      </c>
      <c r="H733" s="203"/>
      <c r="I733" s="263">
        <f t="shared" si="16"/>
        <v>3505</v>
      </c>
    </row>
    <row r="734" spans="2:9" ht="15.75" hidden="1" customHeight="1" outlineLevel="1" thickBot="1" x14ac:dyDescent="0.3">
      <c r="B734" s="245">
        <f>IF(AND(F731&lt;&gt;"", B729&lt;&gt;""), B729+1, "")</f>
        <v>45946</v>
      </c>
      <c r="C734" s="409"/>
      <c r="D734" s="409"/>
      <c r="E734" s="246" t="s">
        <v>766</v>
      </c>
      <c r="F734" s="202">
        <v>0</v>
      </c>
      <c r="G734" s="203"/>
      <c r="H734" s="203"/>
      <c r="I734" s="263">
        <f t="shared" si="16"/>
        <v>0</v>
      </c>
    </row>
    <row r="735" spans="2:9" ht="15.75" hidden="1" customHeight="1" outlineLevel="1" thickBot="1" x14ac:dyDescent="0.3">
      <c r="B735" s="249">
        <f>IF(AND(F731&lt;&gt;"", B730&lt;&gt;""), B730+1, "")</f>
        <v>45946</v>
      </c>
      <c r="C735" s="416"/>
      <c r="D735" s="416"/>
      <c r="E735" s="250" t="s">
        <v>767</v>
      </c>
      <c r="F735" s="204">
        <v>78</v>
      </c>
      <c r="G735" s="205"/>
      <c r="H735" s="205"/>
      <c r="I735" s="264">
        <f t="shared" si="16"/>
        <v>78</v>
      </c>
    </row>
    <row r="736" spans="2:9" ht="15.75" hidden="1" customHeight="1" outlineLevel="1" thickBot="1" x14ac:dyDescent="0.3">
      <c r="B736" s="241">
        <f>IF(AND(F736&lt;&gt;"", B731&lt;&gt;""), B731+1, "")</f>
        <v>45947</v>
      </c>
      <c r="C736" s="442">
        <v>45947</v>
      </c>
      <c r="D736" s="443">
        <f>D731+1</f>
        <v>45947</v>
      </c>
      <c r="E736" s="246" t="s">
        <v>394</v>
      </c>
      <c r="F736" s="202">
        <v>0</v>
      </c>
      <c r="G736" s="203"/>
      <c r="H736" s="203"/>
      <c r="I736" s="263">
        <f t="shared" si="16"/>
        <v>0</v>
      </c>
    </row>
    <row r="737" spans="2:9" ht="15.75" hidden="1" customHeight="1" outlineLevel="1" thickBot="1" x14ac:dyDescent="0.3">
      <c r="B737" s="245">
        <f>IF(AND(F736&lt;&gt;"", B732&lt;&gt;""), B732+1, "")</f>
        <v>45947</v>
      </c>
      <c r="C737" s="409"/>
      <c r="D737" s="409"/>
      <c r="E737" s="246" t="s">
        <v>764</v>
      </c>
      <c r="F737" s="202">
        <v>0</v>
      </c>
      <c r="G737" s="203"/>
      <c r="H737" s="203"/>
      <c r="I737" s="263">
        <f t="shared" si="16"/>
        <v>0</v>
      </c>
    </row>
    <row r="738" spans="2:9" ht="15.75" hidden="1" customHeight="1" outlineLevel="1" thickBot="1" x14ac:dyDescent="0.3">
      <c r="B738" s="245">
        <f>IF(AND(F736&lt;&gt;"", B733&lt;&gt;""), B733+1, "")</f>
        <v>45947</v>
      </c>
      <c r="C738" s="409"/>
      <c r="D738" s="409"/>
      <c r="E738" s="246" t="s">
        <v>765</v>
      </c>
      <c r="F738" s="202">
        <v>0</v>
      </c>
      <c r="G738" s="203"/>
      <c r="H738" s="203"/>
      <c r="I738" s="263">
        <f t="shared" si="16"/>
        <v>0</v>
      </c>
    </row>
    <row r="739" spans="2:9" ht="15.75" hidden="1" customHeight="1" outlineLevel="1" thickBot="1" x14ac:dyDescent="0.3">
      <c r="B739" s="245">
        <f>IF(AND(F736&lt;&gt;"", B734&lt;&gt;""), B734+1, "")</f>
        <v>45947</v>
      </c>
      <c r="C739" s="409"/>
      <c r="D739" s="409"/>
      <c r="E739" s="246" t="s">
        <v>766</v>
      </c>
      <c r="F739" s="202">
        <v>0</v>
      </c>
      <c r="G739" s="203"/>
      <c r="H739" s="203"/>
      <c r="I739" s="263">
        <f t="shared" si="16"/>
        <v>0</v>
      </c>
    </row>
    <row r="740" spans="2:9" ht="15.75" hidden="1" customHeight="1" outlineLevel="1" thickBot="1" x14ac:dyDescent="0.3">
      <c r="B740" s="249">
        <f>IF(AND(F736&lt;&gt;"", B735&lt;&gt;""), B735+1, "")</f>
        <v>45947</v>
      </c>
      <c r="C740" s="416"/>
      <c r="D740" s="416"/>
      <c r="E740" s="250" t="s">
        <v>767</v>
      </c>
      <c r="F740" s="204">
        <v>0</v>
      </c>
      <c r="G740" s="205"/>
      <c r="H740" s="205"/>
      <c r="I740" s="264">
        <f t="shared" si="16"/>
        <v>0</v>
      </c>
    </row>
    <row r="741" spans="2:9" ht="15.75" hidden="1" customHeight="1" outlineLevel="1" thickBot="1" x14ac:dyDescent="0.3">
      <c r="B741" s="241">
        <f>IF(AND(F741&lt;&gt;"", B736&lt;&gt;""), B736+1, "")</f>
        <v>45948</v>
      </c>
      <c r="C741" s="442">
        <v>45948</v>
      </c>
      <c r="D741" s="443">
        <f>D736+1</f>
        <v>45948</v>
      </c>
      <c r="E741" s="246" t="s">
        <v>394</v>
      </c>
      <c r="F741" s="202">
        <v>1800</v>
      </c>
      <c r="G741" s="203">
        <v>908</v>
      </c>
      <c r="H741" s="203">
        <v>50</v>
      </c>
      <c r="I741" s="263">
        <f t="shared" si="16"/>
        <v>2658</v>
      </c>
    </row>
    <row r="742" spans="2:9" ht="15.75" hidden="1" customHeight="1" outlineLevel="1" thickBot="1" x14ac:dyDescent="0.3">
      <c r="B742" s="245">
        <f>IF(AND(F741&lt;&gt;"", B737&lt;&gt;""), B737+1, "")</f>
        <v>45948</v>
      </c>
      <c r="C742" s="409"/>
      <c r="D742" s="409"/>
      <c r="E742" s="246" t="s">
        <v>764</v>
      </c>
      <c r="F742" s="202">
        <v>0</v>
      </c>
      <c r="G742" s="203"/>
      <c r="H742" s="203"/>
      <c r="I742" s="263">
        <f t="shared" si="16"/>
        <v>0</v>
      </c>
    </row>
    <row r="743" spans="2:9" ht="15.75" hidden="1" customHeight="1" outlineLevel="1" thickBot="1" x14ac:dyDescent="0.3">
      <c r="B743" s="245">
        <f>IF(AND(F741&lt;&gt;"", B738&lt;&gt;""), B738+1, "")</f>
        <v>45948</v>
      </c>
      <c r="C743" s="409"/>
      <c r="D743" s="409"/>
      <c r="E743" s="246" t="s">
        <v>765</v>
      </c>
      <c r="F743" s="202">
        <v>3505</v>
      </c>
      <c r="G743" s="203">
        <v>610</v>
      </c>
      <c r="H743" s="203">
        <v>620</v>
      </c>
      <c r="I743" s="263">
        <f t="shared" si="16"/>
        <v>3495</v>
      </c>
    </row>
    <row r="744" spans="2:9" ht="15.75" hidden="1" customHeight="1" outlineLevel="1" thickBot="1" x14ac:dyDescent="0.3">
      <c r="B744" s="245">
        <f>IF(AND(F741&lt;&gt;"", B739&lt;&gt;""), B739+1, "")</f>
        <v>45948</v>
      </c>
      <c r="C744" s="409"/>
      <c r="D744" s="409"/>
      <c r="E744" s="246" t="s">
        <v>766</v>
      </c>
      <c r="F744" s="202">
        <v>0</v>
      </c>
      <c r="G744" s="203"/>
      <c r="H744" s="203"/>
      <c r="I744" s="263">
        <f t="shared" si="16"/>
        <v>0</v>
      </c>
    </row>
    <row r="745" spans="2:9" ht="15.75" hidden="1" customHeight="1" outlineLevel="1" thickBot="1" x14ac:dyDescent="0.3">
      <c r="B745" s="249">
        <f>IF(AND(F741&lt;&gt;"", B740&lt;&gt;""), B740+1, "")</f>
        <v>45948</v>
      </c>
      <c r="C745" s="416"/>
      <c r="D745" s="416"/>
      <c r="E745" s="250" t="s">
        <v>767</v>
      </c>
      <c r="F745" s="204">
        <v>78</v>
      </c>
      <c r="G745" s="205"/>
      <c r="H745" s="205"/>
      <c r="I745" s="264">
        <f t="shared" si="16"/>
        <v>78</v>
      </c>
    </row>
    <row r="746" spans="2:9" ht="15.75" hidden="1" customHeight="1" outlineLevel="1" thickBot="1" x14ac:dyDescent="0.3">
      <c r="B746" s="241">
        <f>IF(AND(F746&lt;&gt;"", B741&lt;&gt;""), B741+1, "")</f>
        <v>45949</v>
      </c>
      <c r="C746" s="442">
        <v>45949</v>
      </c>
      <c r="D746" s="443">
        <f>D741+1</f>
        <v>45949</v>
      </c>
      <c r="E746" s="246" t="s">
        <v>394</v>
      </c>
      <c r="F746" s="202">
        <v>2648</v>
      </c>
      <c r="G746" s="203">
        <v>900</v>
      </c>
      <c r="H746" s="203"/>
      <c r="I746" s="263">
        <f t="shared" si="16"/>
        <v>3548</v>
      </c>
    </row>
    <row r="747" spans="2:9" ht="15.75" hidden="1" customHeight="1" outlineLevel="1" thickBot="1" x14ac:dyDescent="0.3">
      <c r="B747" s="245">
        <f>IF(AND(F746&lt;&gt;"", B742&lt;&gt;""), B742+1, "")</f>
        <v>45949</v>
      </c>
      <c r="C747" s="409"/>
      <c r="D747" s="409"/>
      <c r="E747" s="246" t="s">
        <v>764</v>
      </c>
      <c r="F747" s="202">
        <v>0</v>
      </c>
      <c r="G747" s="203"/>
      <c r="H747" s="203"/>
      <c r="I747" s="263">
        <f t="shared" si="16"/>
        <v>0</v>
      </c>
    </row>
    <row r="748" spans="2:9" ht="15.75" hidden="1" customHeight="1" outlineLevel="1" thickBot="1" x14ac:dyDescent="0.3">
      <c r="B748" s="245">
        <f>IF(AND(F746&lt;&gt;"", B743&lt;&gt;""), B743+1, "")</f>
        <v>45949</v>
      </c>
      <c r="C748" s="409"/>
      <c r="D748" s="409"/>
      <c r="E748" s="246" t="s">
        <v>765</v>
      </c>
      <c r="F748" s="202">
        <v>3495</v>
      </c>
      <c r="G748" s="203">
        <v>472</v>
      </c>
      <c r="H748" s="203">
        <v>1120</v>
      </c>
      <c r="I748" s="263">
        <f t="shared" si="16"/>
        <v>2847</v>
      </c>
    </row>
    <row r="749" spans="2:9" ht="15.75" hidden="1" customHeight="1" outlineLevel="1" thickBot="1" x14ac:dyDescent="0.3">
      <c r="B749" s="245">
        <f>IF(AND(F746&lt;&gt;"", B744&lt;&gt;""), B744+1, "")</f>
        <v>45949</v>
      </c>
      <c r="C749" s="409"/>
      <c r="D749" s="409"/>
      <c r="E749" s="246" t="s">
        <v>766</v>
      </c>
      <c r="F749" s="202">
        <v>0</v>
      </c>
      <c r="G749" s="203"/>
      <c r="H749" s="203"/>
      <c r="I749" s="263">
        <f t="shared" si="16"/>
        <v>0</v>
      </c>
    </row>
    <row r="750" spans="2:9" ht="15.75" hidden="1" customHeight="1" outlineLevel="1" thickBot="1" x14ac:dyDescent="0.3">
      <c r="B750" s="249">
        <f>IF(AND(F746&lt;&gt;"", B745&lt;&gt;""), B745+1, "")</f>
        <v>45949</v>
      </c>
      <c r="C750" s="416"/>
      <c r="D750" s="416"/>
      <c r="E750" s="250" t="s">
        <v>767</v>
      </c>
      <c r="F750" s="204">
        <v>78</v>
      </c>
      <c r="G750" s="205"/>
      <c r="H750" s="205"/>
      <c r="I750" s="264">
        <f t="shared" si="16"/>
        <v>78</v>
      </c>
    </row>
    <row r="751" spans="2:9" ht="15.75" hidden="1" customHeight="1" outlineLevel="1" thickBot="1" x14ac:dyDescent="0.3">
      <c r="B751" s="241">
        <f>IF(AND(F751&lt;&gt;"", B746&lt;&gt;""), B746+1, "")</f>
        <v>45950</v>
      </c>
      <c r="C751" s="442">
        <v>45950</v>
      </c>
      <c r="D751" s="443">
        <f>D746+1</f>
        <v>45950</v>
      </c>
      <c r="E751" s="246" t="s">
        <v>394</v>
      </c>
      <c r="F751" s="202">
        <v>3523</v>
      </c>
      <c r="G751" s="203">
        <v>890</v>
      </c>
      <c r="H751" s="203"/>
      <c r="I751" s="263">
        <f t="shared" si="16"/>
        <v>4413</v>
      </c>
    </row>
    <row r="752" spans="2:9" ht="15.75" hidden="1" customHeight="1" outlineLevel="1" thickBot="1" x14ac:dyDescent="0.3">
      <c r="B752" s="245">
        <f>IF(AND(F751&lt;&gt;"", B747&lt;&gt;""), B747+1, "")</f>
        <v>45950</v>
      </c>
      <c r="C752" s="409"/>
      <c r="D752" s="409"/>
      <c r="E752" s="246" t="s">
        <v>764</v>
      </c>
      <c r="F752" s="202">
        <v>0</v>
      </c>
      <c r="G752" s="203"/>
      <c r="H752" s="203"/>
      <c r="I752" s="263">
        <f t="shared" si="16"/>
        <v>0</v>
      </c>
    </row>
    <row r="753" spans="2:9" ht="15.75" hidden="1" customHeight="1" outlineLevel="1" thickBot="1" x14ac:dyDescent="0.3">
      <c r="B753" s="245">
        <f>IF(AND(F751&lt;&gt;"", B748&lt;&gt;""), B748+1, "")</f>
        <v>45950</v>
      </c>
      <c r="C753" s="409"/>
      <c r="D753" s="409"/>
      <c r="E753" s="246" t="s">
        <v>765</v>
      </c>
      <c r="F753" s="202">
        <v>2847</v>
      </c>
      <c r="G753" s="203">
        <v>641</v>
      </c>
      <c r="H753" s="203">
        <v>1200</v>
      </c>
      <c r="I753" s="263">
        <f t="shared" si="16"/>
        <v>2288</v>
      </c>
    </row>
    <row r="754" spans="2:9" ht="15.75" hidden="1" customHeight="1" outlineLevel="1" thickBot="1" x14ac:dyDescent="0.3">
      <c r="B754" s="245">
        <f>IF(AND(F751&lt;&gt;"", B749&lt;&gt;""), B749+1, "")</f>
        <v>45950</v>
      </c>
      <c r="C754" s="409"/>
      <c r="D754" s="409"/>
      <c r="E754" s="246" t="s">
        <v>766</v>
      </c>
      <c r="F754" s="202">
        <v>0</v>
      </c>
      <c r="G754" s="203"/>
      <c r="H754" s="203"/>
      <c r="I754" s="263">
        <f t="shared" si="16"/>
        <v>0</v>
      </c>
    </row>
    <row r="755" spans="2:9" ht="15.75" hidden="1" customHeight="1" outlineLevel="1" thickBot="1" x14ac:dyDescent="0.3">
      <c r="B755" s="249">
        <f>IF(AND(F751&lt;&gt;"", B750&lt;&gt;""), B750+1, "")</f>
        <v>45950</v>
      </c>
      <c r="C755" s="416"/>
      <c r="D755" s="416"/>
      <c r="E755" s="250" t="s">
        <v>767</v>
      </c>
      <c r="F755" s="204">
        <v>78</v>
      </c>
      <c r="G755" s="205"/>
      <c r="H755" s="205"/>
      <c r="I755" s="264">
        <f t="shared" si="16"/>
        <v>78</v>
      </c>
    </row>
    <row r="756" spans="2:9" ht="15.75" hidden="1" customHeight="1" outlineLevel="1" thickBot="1" x14ac:dyDescent="0.3">
      <c r="B756" s="241">
        <f>IF(AND(F756&lt;&gt;"", B751&lt;&gt;""), B751+1, "")</f>
        <v>45951</v>
      </c>
      <c r="C756" s="442">
        <v>45951</v>
      </c>
      <c r="D756" s="443">
        <f>D751+1</f>
        <v>45951</v>
      </c>
      <c r="E756" s="246" t="s">
        <v>394</v>
      </c>
      <c r="F756" s="202">
        <v>4413</v>
      </c>
      <c r="G756" s="203">
        <v>164</v>
      </c>
      <c r="H756" s="203"/>
      <c r="I756" s="263">
        <f t="shared" si="16"/>
        <v>4577</v>
      </c>
    </row>
    <row r="757" spans="2:9" ht="15.75" hidden="1" customHeight="1" outlineLevel="1" thickBot="1" x14ac:dyDescent="0.3">
      <c r="B757" s="245">
        <f>IF(AND(F756&lt;&gt;"", B752&lt;&gt;""), B752+1, "")</f>
        <v>45951</v>
      </c>
      <c r="C757" s="409"/>
      <c r="D757" s="409"/>
      <c r="E757" s="246" t="s">
        <v>764</v>
      </c>
      <c r="F757" s="202">
        <v>0</v>
      </c>
      <c r="G757" s="203"/>
      <c r="H757" s="203"/>
      <c r="I757" s="263">
        <f t="shared" si="16"/>
        <v>0</v>
      </c>
    </row>
    <row r="758" spans="2:9" ht="15.75" hidden="1" customHeight="1" outlineLevel="1" thickBot="1" x14ac:dyDescent="0.3">
      <c r="B758" s="245">
        <f>IF(AND(F756&lt;&gt;"", B753&lt;&gt;""), B753+1, "")</f>
        <v>45951</v>
      </c>
      <c r="C758" s="409"/>
      <c r="D758" s="409"/>
      <c r="E758" s="246" t="s">
        <v>765</v>
      </c>
      <c r="F758" s="202">
        <v>2847</v>
      </c>
      <c r="G758" s="203">
        <v>648</v>
      </c>
      <c r="H758" s="203">
        <v>1200</v>
      </c>
      <c r="I758" s="263">
        <f t="shared" si="16"/>
        <v>2295</v>
      </c>
    </row>
    <row r="759" spans="2:9" ht="15.75" hidden="1" customHeight="1" outlineLevel="1" thickBot="1" x14ac:dyDescent="0.3">
      <c r="B759" s="245">
        <f>IF(AND(F756&lt;&gt;"", B754&lt;&gt;""), B754+1, "")</f>
        <v>45951</v>
      </c>
      <c r="C759" s="409"/>
      <c r="D759" s="409"/>
      <c r="E759" s="246" t="s">
        <v>766</v>
      </c>
      <c r="F759" s="202">
        <v>0</v>
      </c>
      <c r="G759" s="203"/>
      <c r="H759" s="203"/>
      <c r="I759" s="263">
        <f t="shared" ref="I759:I822" si="17">F759+G759-H759</f>
        <v>0</v>
      </c>
    </row>
    <row r="760" spans="2:9" ht="15.75" hidden="1" customHeight="1" outlineLevel="1" thickBot="1" x14ac:dyDescent="0.3">
      <c r="B760" s="249">
        <f>IF(AND(F756&lt;&gt;"", B755&lt;&gt;""), B755+1, "")</f>
        <v>45951</v>
      </c>
      <c r="C760" s="416"/>
      <c r="D760" s="416"/>
      <c r="E760" s="250" t="s">
        <v>767</v>
      </c>
      <c r="F760" s="204">
        <v>78</v>
      </c>
      <c r="G760" s="205"/>
      <c r="H760" s="205"/>
      <c r="I760" s="264">
        <f t="shared" si="17"/>
        <v>78</v>
      </c>
    </row>
    <row r="761" spans="2:9" ht="15.75" hidden="1" customHeight="1" outlineLevel="1" thickBot="1" x14ac:dyDescent="0.3">
      <c r="B761" s="241">
        <f>IF(AND(F761&lt;&gt;"", B756&lt;&gt;""), B756+1, "")</f>
        <v>45952</v>
      </c>
      <c r="C761" s="442">
        <v>45952</v>
      </c>
      <c r="D761" s="443">
        <f>D756+1</f>
        <v>45952</v>
      </c>
      <c r="E761" s="246" t="s">
        <v>394</v>
      </c>
      <c r="F761" s="202">
        <v>4577</v>
      </c>
      <c r="G761" s="203"/>
      <c r="H761" s="203">
        <v>925</v>
      </c>
      <c r="I761" s="263">
        <f t="shared" si="17"/>
        <v>3652</v>
      </c>
    </row>
    <row r="762" spans="2:9" ht="15.75" hidden="1" customHeight="1" outlineLevel="1" thickBot="1" x14ac:dyDescent="0.3">
      <c r="B762" s="245">
        <f>IF(AND(F761&lt;&gt;"", B757&lt;&gt;""), B757+1, "")</f>
        <v>45952</v>
      </c>
      <c r="C762" s="409"/>
      <c r="D762" s="409"/>
      <c r="E762" s="246" t="s">
        <v>764</v>
      </c>
      <c r="F762" s="202">
        <v>0</v>
      </c>
      <c r="G762" s="203"/>
      <c r="H762" s="203"/>
      <c r="I762" s="263">
        <f t="shared" si="17"/>
        <v>0</v>
      </c>
    </row>
    <row r="763" spans="2:9" ht="15.75" hidden="1" customHeight="1" outlineLevel="1" thickBot="1" x14ac:dyDescent="0.3">
      <c r="B763" s="245">
        <f>IF(AND(F761&lt;&gt;"", B758&lt;&gt;""), B758+1, "")</f>
        <v>45952</v>
      </c>
      <c r="C763" s="409"/>
      <c r="D763" s="409"/>
      <c r="E763" s="246" t="s">
        <v>765</v>
      </c>
      <c r="F763" s="202">
        <v>2847</v>
      </c>
      <c r="G763" s="203">
        <v>657</v>
      </c>
      <c r="H763" s="203">
        <v>400</v>
      </c>
      <c r="I763" s="263">
        <f t="shared" si="17"/>
        <v>3104</v>
      </c>
    </row>
    <row r="764" spans="2:9" ht="15.75" hidden="1" customHeight="1" outlineLevel="1" thickBot="1" x14ac:dyDescent="0.3">
      <c r="B764" s="245">
        <f>IF(AND(F761&lt;&gt;"", B759&lt;&gt;""), B759+1, "")</f>
        <v>45952</v>
      </c>
      <c r="C764" s="409"/>
      <c r="D764" s="409"/>
      <c r="E764" s="246" t="s">
        <v>766</v>
      </c>
      <c r="F764" s="202">
        <v>0</v>
      </c>
      <c r="G764" s="203"/>
      <c r="H764" s="203"/>
      <c r="I764" s="263">
        <f t="shared" si="17"/>
        <v>0</v>
      </c>
    </row>
    <row r="765" spans="2:9" ht="15.75" hidden="1" customHeight="1" outlineLevel="1" thickBot="1" x14ac:dyDescent="0.3">
      <c r="B765" s="249">
        <f>IF(AND(F761&lt;&gt;"", B760&lt;&gt;""), B760+1, "")</f>
        <v>45952</v>
      </c>
      <c r="C765" s="416"/>
      <c r="D765" s="416"/>
      <c r="E765" s="250" t="s">
        <v>767</v>
      </c>
      <c r="F765" s="204">
        <v>78</v>
      </c>
      <c r="G765" s="205"/>
      <c r="H765" s="205"/>
      <c r="I765" s="264">
        <f t="shared" si="17"/>
        <v>78</v>
      </c>
    </row>
    <row r="766" spans="2:9" ht="15.75" hidden="1" customHeight="1" outlineLevel="1" thickBot="1" x14ac:dyDescent="0.3">
      <c r="B766" s="241">
        <f>IF(AND(F766&lt;&gt;"", B761&lt;&gt;""), B761+1, "")</f>
        <v>45953</v>
      </c>
      <c r="C766" s="442">
        <v>45953</v>
      </c>
      <c r="D766" s="443">
        <f>D761+1</f>
        <v>45953</v>
      </c>
      <c r="E766" s="246" t="s">
        <v>394</v>
      </c>
      <c r="F766" s="202">
        <v>3652</v>
      </c>
      <c r="G766" s="203">
        <v>200</v>
      </c>
      <c r="H766" s="203">
        <v>490</v>
      </c>
      <c r="I766" s="263">
        <f t="shared" si="17"/>
        <v>3362</v>
      </c>
    </row>
    <row r="767" spans="2:9" ht="15.75" hidden="1" customHeight="1" outlineLevel="1" thickBot="1" x14ac:dyDescent="0.3">
      <c r="B767" s="245">
        <f>IF(AND(F766&lt;&gt;"", B762&lt;&gt;""), B762+1, "")</f>
        <v>45953</v>
      </c>
      <c r="C767" s="409"/>
      <c r="D767" s="409"/>
      <c r="E767" s="246" t="s">
        <v>764</v>
      </c>
      <c r="F767" s="202">
        <v>0</v>
      </c>
      <c r="G767" s="203"/>
      <c r="H767" s="203"/>
      <c r="I767" s="263">
        <f t="shared" si="17"/>
        <v>0</v>
      </c>
    </row>
    <row r="768" spans="2:9" ht="15.75" hidden="1" customHeight="1" outlineLevel="1" thickBot="1" x14ac:dyDescent="0.3">
      <c r="B768" s="245">
        <f>IF(AND(F766&lt;&gt;"", B763&lt;&gt;""), B763+1, "")</f>
        <v>45953</v>
      </c>
      <c r="C768" s="409"/>
      <c r="D768" s="409"/>
      <c r="E768" s="246" t="s">
        <v>765</v>
      </c>
      <c r="F768" s="202">
        <v>3104</v>
      </c>
      <c r="G768" s="203">
        <v>485</v>
      </c>
      <c r="H768" s="203"/>
      <c r="I768" s="263">
        <f t="shared" si="17"/>
        <v>3589</v>
      </c>
    </row>
    <row r="769" spans="2:9" ht="15.75" hidden="1" customHeight="1" outlineLevel="1" thickBot="1" x14ac:dyDescent="0.3">
      <c r="B769" s="245">
        <f>IF(AND(F766&lt;&gt;"", B764&lt;&gt;""), B764+1, "")</f>
        <v>45953</v>
      </c>
      <c r="C769" s="409"/>
      <c r="D769" s="409"/>
      <c r="E769" s="246" t="s">
        <v>766</v>
      </c>
      <c r="F769" s="202">
        <v>0</v>
      </c>
      <c r="G769" s="203"/>
      <c r="H769" s="203"/>
      <c r="I769" s="263">
        <f t="shared" si="17"/>
        <v>0</v>
      </c>
    </row>
    <row r="770" spans="2:9" ht="15.75" hidden="1" customHeight="1" outlineLevel="1" thickBot="1" x14ac:dyDescent="0.3">
      <c r="B770" s="249">
        <f>IF(AND(F766&lt;&gt;"", B765&lt;&gt;""), B765+1, "")</f>
        <v>45953</v>
      </c>
      <c r="C770" s="416"/>
      <c r="D770" s="416"/>
      <c r="E770" s="250" t="s">
        <v>767</v>
      </c>
      <c r="F770" s="204">
        <v>78</v>
      </c>
      <c r="G770" s="205"/>
      <c r="H770" s="205"/>
      <c r="I770" s="264">
        <f t="shared" si="17"/>
        <v>78</v>
      </c>
    </row>
    <row r="771" spans="2:9" ht="15.75" hidden="1" customHeight="1" outlineLevel="1" thickBot="1" x14ac:dyDescent="0.3">
      <c r="B771" s="241">
        <f>IF(AND(F771&lt;&gt;"", B766&lt;&gt;""), B766+1, "")</f>
        <v>45954</v>
      </c>
      <c r="C771" s="442">
        <v>45954</v>
      </c>
      <c r="D771" s="443">
        <f>D766+1</f>
        <v>45954</v>
      </c>
      <c r="E771" s="246" t="s">
        <v>394</v>
      </c>
      <c r="F771" s="202">
        <v>0</v>
      </c>
      <c r="G771" s="203"/>
      <c r="H771" s="203"/>
      <c r="I771" s="263">
        <f t="shared" si="17"/>
        <v>0</v>
      </c>
    </row>
    <row r="772" spans="2:9" ht="15.75" hidden="1" customHeight="1" outlineLevel="1" thickBot="1" x14ac:dyDescent="0.3">
      <c r="B772" s="245">
        <f>IF(AND(F771&lt;&gt;"", B767&lt;&gt;""), B767+1, "")</f>
        <v>45954</v>
      </c>
      <c r="C772" s="409"/>
      <c r="D772" s="409"/>
      <c r="E772" s="246" t="s">
        <v>764</v>
      </c>
      <c r="F772" s="202">
        <v>0</v>
      </c>
      <c r="G772" s="203"/>
      <c r="H772" s="203"/>
      <c r="I772" s="263">
        <f t="shared" si="17"/>
        <v>0</v>
      </c>
    </row>
    <row r="773" spans="2:9" ht="15.75" hidden="1" customHeight="1" outlineLevel="1" thickBot="1" x14ac:dyDescent="0.3">
      <c r="B773" s="245">
        <f>IF(AND(F771&lt;&gt;"", B768&lt;&gt;""), B768+1, "")</f>
        <v>45954</v>
      </c>
      <c r="C773" s="409"/>
      <c r="D773" s="409"/>
      <c r="E773" s="246" t="s">
        <v>765</v>
      </c>
      <c r="F773" s="202">
        <v>0</v>
      </c>
      <c r="G773" s="203"/>
      <c r="H773" s="203"/>
      <c r="I773" s="263">
        <f t="shared" si="17"/>
        <v>0</v>
      </c>
    </row>
    <row r="774" spans="2:9" ht="15.75" hidden="1" customHeight="1" outlineLevel="1" thickBot="1" x14ac:dyDescent="0.3">
      <c r="B774" s="245">
        <f>IF(AND(F771&lt;&gt;"", B769&lt;&gt;""), B769+1, "")</f>
        <v>45954</v>
      </c>
      <c r="C774" s="409"/>
      <c r="D774" s="409"/>
      <c r="E774" s="246" t="s">
        <v>766</v>
      </c>
      <c r="F774" s="202">
        <v>0</v>
      </c>
      <c r="G774" s="203"/>
      <c r="H774" s="203"/>
      <c r="I774" s="263">
        <f t="shared" si="17"/>
        <v>0</v>
      </c>
    </row>
    <row r="775" spans="2:9" ht="15.75" hidden="1" customHeight="1" outlineLevel="1" thickBot="1" x14ac:dyDescent="0.3">
      <c r="B775" s="249">
        <f>IF(AND(F771&lt;&gt;"", B770&lt;&gt;""), B770+1, "")</f>
        <v>45954</v>
      </c>
      <c r="C775" s="416"/>
      <c r="D775" s="416"/>
      <c r="E775" s="250" t="s">
        <v>767</v>
      </c>
      <c r="F775" s="204">
        <v>0</v>
      </c>
      <c r="G775" s="205"/>
      <c r="H775" s="205"/>
      <c r="I775" s="264">
        <f t="shared" si="17"/>
        <v>0</v>
      </c>
    </row>
    <row r="776" spans="2:9" ht="15.75" hidden="1" customHeight="1" outlineLevel="1" thickBot="1" x14ac:dyDescent="0.3">
      <c r="B776" s="241">
        <f>IF(AND(F776&lt;&gt;"", B771&lt;&gt;""), B771+1, "")</f>
        <v>45955</v>
      </c>
      <c r="C776" s="442">
        <v>45955</v>
      </c>
      <c r="D776" s="443">
        <f>D771+1</f>
        <v>45955</v>
      </c>
      <c r="E776" s="246" t="s">
        <v>394</v>
      </c>
      <c r="F776" s="202">
        <v>3362</v>
      </c>
      <c r="G776" s="203">
        <v>880</v>
      </c>
      <c r="H776" s="203">
        <v>1050</v>
      </c>
      <c r="I776" s="263">
        <f t="shared" si="17"/>
        <v>3192</v>
      </c>
    </row>
    <row r="777" spans="2:9" ht="15.75" hidden="1" customHeight="1" outlineLevel="1" thickBot="1" x14ac:dyDescent="0.3">
      <c r="B777" s="245">
        <f>IF(AND(F776&lt;&gt;"", B772&lt;&gt;""), B772+1, "")</f>
        <v>45955</v>
      </c>
      <c r="C777" s="409"/>
      <c r="D777" s="409"/>
      <c r="E777" s="246" t="s">
        <v>764</v>
      </c>
      <c r="F777" s="202">
        <v>0</v>
      </c>
      <c r="G777" s="203"/>
      <c r="H777" s="203"/>
      <c r="I777" s="263">
        <f t="shared" si="17"/>
        <v>0</v>
      </c>
    </row>
    <row r="778" spans="2:9" ht="15.75" hidden="1" customHeight="1" outlineLevel="1" thickBot="1" x14ac:dyDescent="0.3">
      <c r="B778" s="245">
        <f>IF(AND(F776&lt;&gt;"", B773&lt;&gt;""), B773+1, "")</f>
        <v>45955</v>
      </c>
      <c r="C778" s="409"/>
      <c r="D778" s="409"/>
      <c r="E778" s="246" t="s">
        <v>765</v>
      </c>
      <c r="F778" s="202">
        <v>3589</v>
      </c>
      <c r="G778" s="203">
        <v>640</v>
      </c>
      <c r="H778" s="203"/>
      <c r="I778" s="263">
        <f t="shared" si="17"/>
        <v>4229</v>
      </c>
    </row>
    <row r="779" spans="2:9" ht="15.75" hidden="1" customHeight="1" outlineLevel="1" thickBot="1" x14ac:dyDescent="0.3">
      <c r="B779" s="245">
        <f>IF(AND(F776&lt;&gt;"", B774&lt;&gt;""), B774+1, "")</f>
        <v>45955</v>
      </c>
      <c r="C779" s="409"/>
      <c r="D779" s="409"/>
      <c r="E779" s="246" t="s">
        <v>766</v>
      </c>
      <c r="F779" s="202">
        <v>0</v>
      </c>
      <c r="G779" s="203"/>
      <c r="H779" s="203"/>
      <c r="I779" s="263">
        <f t="shared" si="17"/>
        <v>0</v>
      </c>
    </row>
    <row r="780" spans="2:9" ht="15.75" hidden="1" customHeight="1" outlineLevel="1" thickBot="1" x14ac:dyDescent="0.3">
      <c r="B780" s="249">
        <f>IF(AND(F776&lt;&gt;"", B775&lt;&gt;""), B775+1, "")</f>
        <v>45955</v>
      </c>
      <c r="C780" s="416"/>
      <c r="D780" s="416"/>
      <c r="E780" s="250" t="s">
        <v>767</v>
      </c>
      <c r="F780" s="204">
        <v>78</v>
      </c>
      <c r="G780" s="205"/>
      <c r="H780" s="205"/>
      <c r="I780" s="264">
        <f t="shared" si="17"/>
        <v>78</v>
      </c>
    </row>
    <row r="781" spans="2:9" ht="15.75" hidden="1" customHeight="1" outlineLevel="1" thickBot="1" x14ac:dyDescent="0.3">
      <c r="B781" s="241">
        <f>IF(AND(F781&lt;&gt;"", B776&lt;&gt;""), B776+1, "")</f>
        <v>45956</v>
      </c>
      <c r="C781" s="442">
        <v>45956</v>
      </c>
      <c r="D781" s="443">
        <f>D776+1</f>
        <v>45956</v>
      </c>
      <c r="E781" s="246" t="s">
        <v>394</v>
      </c>
      <c r="F781" s="202">
        <v>3192</v>
      </c>
      <c r="G781" s="203">
        <v>900</v>
      </c>
      <c r="H781" s="203">
        <v>500</v>
      </c>
      <c r="I781" s="263">
        <f t="shared" si="17"/>
        <v>3592</v>
      </c>
    </row>
    <row r="782" spans="2:9" ht="15.75" hidden="1" customHeight="1" outlineLevel="1" thickBot="1" x14ac:dyDescent="0.3">
      <c r="B782" s="245">
        <f>IF(AND(F781&lt;&gt;"", B777&lt;&gt;""), B777+1, "")</f>
        <v>45956</v>
      </c>
      <c r="C782" s="409"/>
      <c r="D782" s="409"/>
      <c r="E782" s="246" t="s">
        <v>764</v>
      </c>
      <c r="F782" s="202">
        <v>0</v>
      </c>
      <c r="G782" s="203"/>
      <c r="H782" s="203"/>
      <c r="I782" s="263">
        <f t="shared" si="17"/>
        <v>0</v>
      </c>
    </row>
    <row r="783" spans="2:9" ht="15.75" hidden="1" customHeight="1" outlineLevel="1" thickBot="1" x14ac:dyDescent="0.3">
      <c r="B783" s="245">
        <f>IF(AND(F781&lt;&gt;"", B778&lt;&gt;""), B778+1, "")</f>
        <v>45956</v>
      </c>
      <c r="C783" s="409"/>
      <c r="D783" s="409"/>
      <c r="E783" s="246" t="s">
        <v>765</v>
      </c>
      <c r="F783" s="202">
        <v>3589</v>
      </c>
      <c r="G783" s="203">
        <v>655</v>
      </c>
      <c r="H783" s="203">
        <v>700</v>
      </c>
      <c r="I783" s="263">
        <f t="shared" si="17"/>
        <v>3544</v>
      </c>
    </row>
    <row r="784" spans="2:9" ht="15.75" hidden="1" customHeight="1" outlineLevel="1" thickBot="1" x14ac:dyDescent="0.3">
      <c r="B784" s="245">
        <f>IF(AND(F781&lt;&gt;"", B779&lt;&gt;""), B779+1, "")</f>
        <v>45956</v>
      </c>
      <c r="C784" s="409"/>
      <c r="D784" s="409"/>
      <c r="E784" s="246" t="s">
        <v>766</v>
      </c>
      <c r="F784" s="202">
        <v>0</v>
      </c>
      <c r="G784" s="203"/>
      <c r="H784" s="203"/>
      <c r="I784" s="263">
        <f t="shared" si="17"/>
        <v>0</v>
      </c>
    </row>
    <row r="785" spans="2:9" ht="15.75" hidden="1" customHeight="1" outlineLevel="1" thickBot="1" x14ac:dyDescent="0.3">
      <c r="B785" s="249">
        <f>IF(AND(F781&lt;&gt;"", B780&lt;&gt;""), B780+1, "")</f>
        <v>45956</v>
      </c>
      <c r="C785" s="416"/>
      <c r="D785" s="416"/>
      <c r="E785" s="250" t="s">
        <v>767</v>
      </c>
      <c r="F785" s="204">
        <v>78</v>
      </c>
      <c r="G785" s="205"/>
      <c r="H785" s="205"/>
      <c r="I785" s="264">
        <f t="shared" si="17"/>
        <v>78</v>
      </c>
    </row>
    <row r="786" spans="2:9" ht="15.75" hidden="1" customHeight="1" outlineLevel="1" thickBot="1" x14ac:dyDescent="0.3">
      <c r="B786" s="241">
        <f>IF(AND(F786&lt;&gt;"", B781&lt;&gt;""), B781+1, "")</f>
        <v>45957</v>
      </c>
      <c r="C786" s="442">
        <v>45957</v>
      </c>
      <c r="D786" s="443">
        <f>D781+1</f>
        <v>45957</v>
      </c>
      <c r="E786" s="246" t="s">
        <v>394</v>
      </c>
      <c r="F786" s="202">
        <v>3592</v>
      </c>
      <c r="G786" s="203">
        <v>915</v>
      </c>
      <c r="H786" s="203">
        <v>5</v>
      </c>
      <c r="I786" s="263">
        <f t="shared" si="17"/>
        <v>4502</v>
      </c>
    </row>
    <row r="787" spans="2:9" ht="15.75" hidden="1" customHeight="1" outlineLevel="1" thickBot="1" x14ac:dyDescent="0.3">
      <c r="B787" s="245">
        <f>IF(AND(F786&lt;&gt;"", B782&lt;&gt;""), B782+1, "")</f>
        <v>45957</v>
      </c>
      <c r="C787" s="409"/>
      <c r="D787" s="409"/>
      <c r="E787" s="246" t="s">
        <v>764</v>
      </c>
      <c r="F787" s="202">
        <v>0</v>
      </c>
      <c r="G787" s="203"/>
      <c r="H787" s="203"/>
      <c r="I787" s="263">
        <f t="shared" si="17"/>
        <v>0</v>
      </c>
    </row>
    <row r="788" spans="2:9" ht="15.75" hidden="1" customHeight="1" outlineLevel="1" thickBot="1" x14ac:dyDescent="0.3">
      <c r="B788" s="245">
        <f>IF(AND(F786&lt;&gt;"", B783&lt;&gt;""), B783+1, "")</f>
        <v>45957</v>
      </c>
      <c r="C788" s="409"/>
      <c r="D788" s="409"/>
      <c r="E788" s="246" t="s">
        <v>765</v>
      </c>
      <c r="F788" s="202">
        <v>3544</v>
      </c>
      <c r="G788" s="203">
        <v>635</v>
      </c>
      <c r="H788" s="203">
        <v>1600</v>
      </c>
      <c r="I788" s="263">
        <f t="shared" si="17"/>
        <v>2579</v>
      </c>
    </row>
    <row r="789" spans="2:9" ht="15.75" hidden="1" customHeight="1" outlineLevel="1" thickBot="1" x14ac:dyDescent="0.3">
      <c r="B789" s="245">
        <f>IF(AND(F786&lt;&gt;"", B784&lt;&gt;""), B784+1, "")</f>
        <v>45957</v>
      </c>
      <c r="C789" s="409"/>
      <c r="D789" s="409"/>
      <c r="E789" s="246" t="s">
        <v>766</v>
      </c>
      <c r="F789" s="202">
        <v>0</v>
      </c>
      <c r="G789" s="203"/>
      <c r="H789" s="203"/>
      <c r="I789" s="263">
        <f t="shared" si="17"/>
        <v>0</v>
      </c>
    </row>
    <row r="790" spans="2:9" ht="15.75" hidden="1" customHeight="1" outlineLevel="1" thickBot="1" x14ac:dyDescent="0.3">
      <c r="B790" s="249">
        <f>IF(AND(F786&lt;&gt;"", B785&lt;&gt;""), B785+1, "")</f>
        <v>45957</v>
      </c>
      <c r="C790" s="416"/>
      <c r="D790" s="416"/>
      <c r="E790" s="250" t="s">
        <v>767</v>
      </c>
      <c r="F790" s="204">
        <v>78</v>
      </c>
      <c r="G790" s="205"/>
      <c r="H790" s="205"/>
      <c r="I790" s="264">
        <f t="shared" si="17"/>
        <v>78</v>
      </c>
    </row>
    <row r="791" spans="2:9" ht="15.75" hidden="1" customHeight="1" outlineLevel="1" thickBot="1" x14ac:dyDescent="0.3">
      <c r="B791" s="241">
        <f>IF(AND(F791&lt;&gt;"", B786&lt;&gt;""), B786+1, "")</f>
        <v>45958</v>
      </c>
      <c r="C791" s="442">
        <v>45958</v>
      </c>
      <c r="D791" s="443">
        <f>D786+1</f>
        <v>45958</v>
      </c>
      <c r="E791" s="246" t="s">
        <v>394</v>
      </c>
      <c r="F791" s="202">
        <v>4502</v>
      </c>
      <c r="G791" s="203">
        <v>900</v>
      </c>
      <c r="H791" s="203">
        <v>202</v>
      </c>
      <c r="I791" s="263">
        <f t="shared" si="17"/>
        <v>5200</v>
      </c>
    </row>
    <row r="792" spans="2:9" ht="15.75" hidden="1" customHeight="1" outlineLevel="1" thickBot="1" x14ac:dyDescent="0.3">
      <c r="B792" s="245">
        <f>IF(AND(F791&lt;&gt;"", B787&lt;&gt;""), B787+1, "")</f>
        <v>45958</v>
      </c>
      <c r="C792" s="409"/>
      <c r="D792" s="409"/>
      <c r="E792" s="246" t="s">
        <v>764</v>
      </c>
      <c r="F792" s="202">
        <v>0</v>
      </c>
      <c r="G792" s="203"/>
      <c r="H792" s="203"/>
      <c r="I792" s="263">
        <f t="shared" si="17"/>
        <v>0</v>
      </c>
    </row>
    <row r="793" spans="2:9" ht="15.75" hidden="1" customHeight="1" outlineLevel="1" thickBot="1" x14ac:dyDescent="0.3">
      <c r="B793" s="245">
        <f>IF(AND(F791&lt;&gt;"", B788&lt;&gt;""), B788+1, "")</f>
        <v>45958</v>
      </c>
      <c r="C793" s="409"/>
      <c r="D793" s="409"/>
      <c r="E793" s="246" t="s">
        <v>765</v>
      </c>
      <c r="F793" s="202">
        <v>2579</v>
      </c>
      <c r="G793" s="203">
        <v>650</v>
      </c>
      <c r="H793" s="203">
        <v>424</v>
      </c>
      <c r="I793" s="263">
        <f t="shared" si="17"/>
        <v>2805</v>
      </c>
    </row>
    <row r="794" spans="2:9" ht="15.75" hidden="1" customHeight="1" outlineLevel="1" thickBot="1" x14ac:dyDescent="0.3">
      <c r="B794" s="245">
        <f>IF(AND(F791&lt;&gt;"", B789&lt;&gt;""), B789+1, "")</f>
        <v>45958</v>
      </c>
      <c r="C794" s="409"/>
      <c r="D794" s="409"/>
      <c r="E794" s="246" t="s">
        <v>766</v>
      </c>
      <c r="F794" s="202">
        <v>0</v>
      </c>
      <c r="G794" s="203"/>
      <c r="H794" s="203"/>
      <c r="I794" s="263">
        <f t="shared" si="17"/>
        <v>0</v>
      </c>
    </row>
    <row r="795" spans="2:9" ht="15.75" hidden="1" customHeight="1" outlineLevel="1" thickBot="1" x14ac:dyDescent="0.3">
      <c r="B795" s="249">
        <f>IF(AND(F791&lt;&gt;"", B790&lt;&gt;""), B790+1, "")</f>
        <v>45958</v>
      </c>
      <c r="C795" s="416"/>
      <c r="D795" s="416"/>
      <c r="E795" s="250" t="s">
        <v>767</v>
      </c>
      <c r="F795" s="204">
        <v>78</v>
      </c>
      <c r="G795" s="205"/>
      <c r="H795" s="205"/>
      <c r="I795" s="264">
        <f t="shared" si="17"/>
        <v>78</v>
      </c>
    </row>
    <row r="796" spans="2:9" ht="15.75" hidden="1" customHeight="1" outlineLevel="1" thickBot="1" x14ac:dyDescent="0.3">
      <c r="B796" s="241">
        <f>IF(AND(F796&lt;&gt;"", B791&lt;&gt;""), B791+1, "")</f>
        <v>45959</v>
      </c>
      <c r="C796" s="442">
        <v>45959</v>
      </c>
      <c r="D796" s="443">
        <f>D791+1</f>
        <v>45959</v>
      </c>
      <c r="E796" s="246" t="s">
        <v>394</v>
      </c>
      <c r="F796" s="202">
        <v>5200</v>
      </c>
      <c r="G796" s="203">
        <v>900</v>
      </c>
      <c r="H796" s="203">
        <v>300</v>
      </c>
      <c r="I796" s="263">
        <f t="shared" si="17"/>
        <v>5800</v>
      </c>
    </row>
    <row r="797" spans="2:9" ht="15.75" hidden="1" customHeight="1" outlineLevel="1" thickBot="1" x14ac:dyDescent="0.3">
      <c r="B797" s="245">
        <f>IF(AND(F796&lt;&gt;"", B792&lt;&gt;""), B792+1, "")</f>
        <v>45959</v>
      </c>
      <c r="C797" s="409"/>
      <c r="D797" s="409"/>
      <c r="E797" s="246" t="s">
        <v>764</v>
      </c>
      <c r="F797" s="202">
        <v>0</v>
      </c>
      <c r="G797" s="203"/>
      <c r="H797" s="203"/>
      <c r="I797" s="263">
        <f t="shared" si="17"/>
        <v>0</v>
      </c>
    </row>
    <row r="798" spans="2:9" ht="15.75" hidden="1" customHeight="1" outlineLevel="1" thickBot="1" x14ac:dyDescent="0.3">
      <c r="B798" s="245">
        <f>IF(AND(F796&lt;&gt;"", B793&lt;&gt;""), B793+1, "")</f>
        <v>45959</v>
      </c>
      <c r="C798" s="409"/>
      <c r="D798" s="409"/>
      <c r="E798" s="246" t="s">
        <v>765</v>
      </c>
      <c r="F798" s="202">
        <v>2805</v>
      </c>
      <c r="G798" s="203">
        <v>650</v>
      </c>
      <c r="H798" s="203">
        <v>273</v>
      </c>
      <c r="I798" s="263">
        <f t="shared" si="17"/>
        <v>3182</v>
      </c>
    </row>
    <row r="799" spans="2:9" ht="15.75" hidden="1" customHeight="1" outlineLevel="1" thickBot="1" x14ac:dyDescent="0.3">
      <c r="B799" s="245">
        <f>IF(AND(F796&lt;&gt;"", B794&lt;&gt;""), B794+1, "")</f>
        <v>45959</v>
      </c>
      <c r="C799" s="409"/>
      <c r="D799" s="409"/>
      <c r="E799" s="246" t="s">
        <v>766</v>
      </c>
      <c r="F799" s="202">
        <v>0</v>
      </c>
      <c r="G799" s="203"/>
      <c r="H799" s="203"/>
      <c r="I799" s="263">
        <f t="shared" si="17"/>
        <v>0</v>
      </c>
    </row>
    <row r="800" spans="2:9" ht="15.75" hidden="1" customHeight="1" outlineLevel="1" thickBot="1" x14ac:dyDescent="0.3">
      <c r="B800" s="249">
        <f>IF(AND(F796&lt;&gt;"", B795&lt;&gt;""), B795+1, "")</f>
        <v>45959</v>
      </c>
      <c r="C800" s="416"/>
      <c r="D800" s="416"/>
      <c r="E800" s="250" t="s">
        <v>767</v>
      </c>
      <c r="F800" s="204">
        <v>78</v>
      </c>
      <c r="G800" s="205"/>
      <c r="H800" s="205"/>
      <c r="I800" s="264">
        <f t="shared" si="17"/>
        <v>78</v>
      </c>
    </row>
    <row r="801" spans="2:9" ht="15.75" hidden="1" customHeight="1" outlineLevel="1" thickBot="1" x14ac:dyDescent="0.3">
      <c r="B801" s="241">
        <f>IF(AND(F801&lt;&gt;"", B796&lt;&gt;""), B796+1, "")</f>
        <v>45960</v>
      </c>
      <c r="C801" s="442">
        <v>45960</v>
      </c>
      <c r="D801" s="443">
        <f>D796+1</f>
        <v>45960</v>
      </c>
      <c r="E801" s="246" t="s">
        <v>394</v>
      </c>
      <c r="F801" s="202">
        <v>5800</v>
      </c>
      <c r="G801" s="203">
        <v>1080</v>
      </c>
      <c r="H801" s="203">
        <v>1600</v>
      </c>
      <c r="I801" s="263">
        <f t="shared" si="17"/>
        <v>5280</v>
      </c>
    </row>
    <row r="802" spans="2:9" ht="15.75" hidden="1" customHeight="1" outlineLevel="1" thickBot="1" x14ac:dyDescent="0.3">
      <c r="B802" s="245">
        <f>IF(AND(F801&lt;&gt;"", B797&lt;&gt;""), B797+1, "")</f>
        <v>45960</v>
      </c>
      <c r="C802" s="409"/>
      <c r="D802" s="409"/>
      <c r="E802" s="246" t="s">
        <v>764</v>
      </c>
      <c r="F802" s="202">
        <v>0</v>
      </c>
      <c r="G802" s="203"/>
      <c r="H802" s="203"/>
      <c r="I802" s="263">
        <f t="shared" si="17"/>
        <v>0</v>
      </c>
    </row>
    <row r="803" spans="2:9" ht="15.75" hidden="1" customHeight="1" outlineLevel="1" thickBot="1" x14ac:dyDescent="0.3">
      <c r="B803" s="245">
        <f>IF(AND(F801&lt;&gt;"", B798&lt;&gt;""), B798+1, "")</f>
        <v>45960</v>
      </c>
      <c r="C803" s="409"/>
      <c r="D803" s="409"/>
      <c r="E803" s="246" t="s">
        <v>765</v>
      </c>
      <c r="F803" s="202">
        <v>3182</v>
      </c>
      <c r="G803" s="203">
        <v>660</v>
      </c>
      <c r="H803" s="203"/>
      <c r="I803" s="263">
        <f t="shared" si="17"/>
        <v>3842</v>
      </c>
    </row>
    <row r="804" spans="2:9" ht="15.75" hidden="1" customHeight="1" outlineLevel="1" thickBot="1" x14ac:dyDescent="0.3">
      <c r="B804" s="245">
        <f>IF(AND(F801&lt;&gt;"", B799&lt;&gt;""), B799+1, "")</f>
        <v>45960</v>
      </c>
      <c r="C804" s="409"/>
      <c r="D804" s="409"/>
      <c r="E804" s="246" t="s">
        <v>766</v>
      </c>
      <c r="F804" s="202">
        <v>0</v>
      </c>
      <c r="G804" s="203"/>
      <c r="H804" s="203"/>
      <c r="I804" s="263">
        <f t="shared" si="17"/>
        <v>0</v>
      </c>
    </row>
    <row r="805" spans="2:9" ht="15.75" hidden="1" customHeight="1" outlineLevel="1" thickBot="1" x14ac:dyDescent="0.3">
      <c r="B805" s="249">
        <f>IF(AND(F801&lt;&gt;"", B800&lt;&gt;""), B800+1, "")</f>
        <v>45960</v>
      </c>
      <c r="C805" s="416"/>
      <c r="D805" s="416"/>
      <c r="E805" s="250" t="s">
        <v>767</v>
      </c>
      <c r="F805" s="204">
        <v>78</v>
      </c>
      <c r="G805" s="205"/>
      <c r="H805" s="205"/>
      <c r="I805" s="264">
        <f t="shared" si="17"/>
        <v>78</v>
      </c>
    </row>
    <row r="806" spans="2:9" ht="15.75" hidden="1" customHeight="1" outlineLevel="1" thickBot="1" x14ac:dyDescent="0.3">
      <c r="B806" s="241">
        <f>IF(AND(F806&lt;&gt;"", B801&lt;&gt;""), B801+1, "")</f>
        <v>45961</v>
      </c>
      <c r="C806" s="442">
        <v>45961</v>
      </c>
      <c r="D806" s="443">
        <f>D801+1</f>
        <v>45961</v>
      </c>
      <c r="E806" s="246" t="s">
        <v>394</v>
      </c>
      <c r="F806" s="202">
        <v>0</v>
      </c>
      <c r="G806" s="203"/>
      <c r="H806" s="203"/>
      <c r="I806" s="263">
        <f t="shared" si="17"/>
        <v>0</v>
      </c>
    </row>
    <row r="807" spans="2:9" ht="15.75" hidden="1" customHeight="1" outlineLevel="1" thickBot="1" x14ac:dyDescent="0.3">
      <c r="B807" s="245">
        <f>IF(AND(F806&lt;&gt;"", B802&lt;&gt;""), B802+1, "")</f>
        <v>45961</v>
      </c>
      <c r="C807" s="409"/>
      <c r="D807" s="409"/>
      <c r="E807" s="246" t="s">
        <v>764</v>
      </c>
      <c r="F807" s="202">
        <v>0</v>
      </c>
      <c r="G807" s="203"/>
      <c r="H807" s="203"/>
      <c r="I807" s="263">
        <f t="shared" si="17"/>
        <v>0</v>
      </c>
    </row>
    <row r="808" spans="2:9" ht="15.75" hidden="1" customHeight="1" outlineLevel="1" thickBot="1" x14ac:dyDescent="0.3">
      <c r="B808" s="245">
        <f>IF(AND(F806&lt;&gt;"", B803&lt;&gt;""), B803+1, "")</f>
        <v>45961</v>
      </c>
      <c r="C808" s="409"/>
      <c r="D808" s="409"/>
      <c r="E808" s="246" t="s">
        <v>765</v>
      </c>
      <c r="F808" s="202">
        <v>0</v>
      </c>
      <c r="G808" s="203"/>
      <c r="H808" s="203"/>
      <c r="I808" s="263">
        <f t="shared" si="17"/>
        <v>0</v>
      </c>
    </row>
    <row r="809" spans="2:9" ht="15.75" hidden="1" customHeight="1" outlineLevel="1" thickBot="1" x14ac:dyDescent="0.3">
      <c r="B809" s="245">
        <f>IF(AND(F806&lt;&gt;"", B804&lt;&gt;""), B804+1, "")</f>
        <v>45961</v>
      </c>
      <c r="C809" s="409"/>
      <c r="D809" s="409"/>
      <c r="E809" s="246" t="s">
        <v>766</v>
      </c>
      <c r="F809" s="202">
        <v>0</v>
      </c>
      <c r="G809" s="203"/>
      <c r="H809" s="203"/>
      <c r="I809" s="263">
        <f t="shared" si="17"/>
        <v>0</v>
      </c>
    </row>
    <row r="810" spans="2:9" ht="15.75" hidden="1" customHeight="1" outlineLevel="1" thickBot="1" x14ac:dyDescent="0.3">
      <c r="B810" s="249">
        <f>IF(AND(F806&lt;&gt;"", B805&lt;&gt;""), B805+1, "")</f>
        <v>45961</v>
      </c>
      <c r="C810" s="416"/>
      <c r="D810" s="416"/>
      <c r="E810" s="250" t="s">
        <v>767</v>
      </c>
      <c r="F810" s="204">
        <v>0</v>
      </c>
      <c r="G810" s="205"/>
      <c r="H810" s="205"/>
      <c r="I810" s="264">
        <f t="shared" si="17"/>
        <v>0</v>
      </c>
    </row>
    <row r="811" spans="2:9" ht="15.75" hidden="1" customHeight="1" outlineLevel="1" thickBot="1" x14ac:dyDescent="0.3">
      <c r="B811" s="241">
        <f>IF(AND(F811&lt;&gt;"", B806&lt;&gt;""), B806+1, "")</f>
        <v>45962</v>
      </c>
      <c r="C811" s="442">
        <v>45962</v>
      </c>
      <c r="D811" s="443">
        <f>D806+1</f>
        <v>45962</v>
      </c>
      <c r="E811" s="246" t="s">
        <v>394</v>
      </c>
      <c r="F811" s="202">
        <v>5280</v>
      </c>
      <c r="G811" s="203">
        <v>1080</v>
      </c>
      <c r="H811" s="203">
        <v>1600</v>
      </c>
      <c r="I811" s="263">
        <f t="shared" si="17"/>
        <v>4760</v>
      </c>
    </row>
    <row r="812" spans="2:9" ht="15.75" hidden="1" customHeight="1" outlineLevel="1" thickBot="1" x14ac:dyDescent="0.3">
      <c r="B812" s="245">
        <f>IF(AND(F811&lt;&gt;"", B807&lt;&gt;""), B807+1, "")</f>
        <v>45962</v>
      </c>
      <c r="C812" s="409"/>
      <c r="D812" s="409"/>
      <c r="E812" s="246" t="s">
        <v>764</v>
      </c>
      <c r="F812" s="202">
        <v>0</v>
      </c>
      <c r="G812" s="203"/>
      <c r="H812" s="203"/>
      <c r="I812" s="263">
        <f t="shared" si="17"/>
        <v>0</v>
      </c>
    </row>
    <row r="813" spans="2:9" ht="15.75" hidden="1" customHeight="1" outlineLevel="1" thickBot="1" x14ac:dyDescent="0.3">
      <c r="B813" s="245">
        <f>IF(AND(F811&lt;&gt;"", B808&lt;&gt;""), B808+1, "")</f>
        <v>45962</v>
      </c>
      <c r="C813" s="409"/>
      <c r="D813" s="409"/>
      <c r="E813" s="246" t="s">
        <v>765</v>
      </c>
      <c r="F813" s="202">
        <v>3742</v>
      </c>
      <c r="G813" s="203">
        <v>660</v>
      </c>
      <c r="H813" s="203"/>
      <c r="I813" s="263">
        <f t="shared" si="17"/>
        <v>4402</v>
      </c>
    </row>
    <row r="814" spans="2:9" ht="15.75" hidden="1" customHeight="1" outlineLevel="1" thickBot="1" x14ac:dyDescent="0.3">
      <c r="B814" s="245">
        <f>IF(AND(F811&lt;&gt;"", B809&lt;&gt;""), B809+1, "")</f>
        <v>45962</v>
      </c>
      <c r="C814" s="409"/>
      <c r="D814" s="409"/>
      <c r="E814" s="246" t="s">
        <v>766</v>
      </c>
      <c r="F814" s="202">
        <v>0</v>
      </c>
      <c r="G814" s="203"/>
      <c r="H814" s="203"/>
      <c r="I814" s="263">
        <f t="shared" si="17"/>
        <v>0</v>
      </c>
    </row>
    <row r="815" spans="2:9" ht="15.75" hidden="1" customHeight="1" outlineLevel="1" thickBot="1" x14ac:dyDescent="0.3">
      <c r="B815" s="249">
        <f>IF(AND(F811&lt;&gt;"", B810&lt;&gt;""), B810+1, "")</f>
        <v>45962</v>
      </c>
      <c r="C815" s="416"/>
      <c r="D815" s="416"/>
      <c r="E815" s="250" t="s">
        <v>767</v>
      </c>
      <c r="F815" s="204">
        <v>78</v>
      </c>
      <c r="G815" s="205"/>
      <c r="H815" s="205"/>
      <c r="I815" s="264">
        <f t="shared" si="17"/>
        <v>78</v>
      </c>
    </row>
    <row r="816" spans="2:9" ht="15.75" hidden="1" customHeight="1" outlineLevel="1" thickBot="1" x14ac:dyDescent="0.3">
      <c r="B816" s="241">
        <f>IF(AND(F816&lt;&gt;"", B811&lt;&gt;""), B811+1, "")</f>
        <v>45963</v>
      </c>
      <c r="C816" s="442">
        <v>45963</v>
      </c>
      <c r="D816" s="443">
        <f>D811+1</f>
        <v>45963</v>
      </c>
      <c r="E816" s="246" t="s">
        <v>394</v>
      </c>
      <c r="F816" s="202">
        <v>4760</v>
      </c>
      <c r="G816" s="203">
        <v>1075</v>
      </c>
      <c r="H816" s="203">
        <v>600</v>
      </c>
      <c r="I816" s="263">
        <f t="shared" si="17"/>
        <v>5235</v>
      </c>
    </row>
    <row r="817" spans="2:9" ht="15.75" hidden="1" customHeight="1" outlineLevel="1" thickBot="1" x14ac:dyDescent="0.3">
      <c r="B817" s="245">
        <f>IF(AND(F816&lt;&gt;"", B812&lt;&gt;""), B812+1, "")</f>
        <v>45963</v>
      </c>
      <c r="C817" s="409"/>
      <c r="D817" s="409"/>
      <c r="E817" s="246" t="s">
        <v>764</v>
      </c>
      <c r="F817" s="202">
        <v>0</v>
      </c>
      <c r="G817" s="203"/>
      <c r="H817" s="203"/>
      <c r="I817" s="263">
        <f t="shared" si="17"/>
        <v>0</v>
      </c>
    </row>
    <row r="818" spans="2:9" ht="15.75" hidden="1" customHeight="1" outlineLevel="1" thickBot="1" x14ac:dyDescent="0.3">
      <c r="B818" s="245">
        <f>IF(AND(F816&lt;&gt;"", B813&lt;&gt;""), B813+1, "")</f>
        <v>45963</v>
      </c>
      <c r="C818" s="409"/>
      <c r="D818" s="409"/>
      <c r="E818" s="246" t="s">
        <v>765</v>
      </c>
      <c r="F818" s="202">
        <v>4402</v>
      </c>
      <c r="G818" s="203">
        <v>655</v>
      </c>
      <c r="H818" s="203">
        <v>1000</v>
      </c>
      <c r="I818" s="263">
        <f t="shared" si="17"/>
        <v>4057</v>
      </c>
    </row>
    <row r="819" spans="2:9" ht="15.75" hidden="1" customHeight="1" outlineLevel="1" thickBot="1" x14ac:dyDescent="0.3">
      <c r="B819" s="245">
        <f>IF(AND(F816&lt;&gt;"", B814&lt;&gt;""), B814+1, "")</f>
        <v>45963</v>
      </c>
      <c r="C819" s="409"/>
      <c r="D819" s="409"/>
      <c r="E819" s="246" t="s">
        <v>766</v>
      </c>
      <c r="F819" s="202">
        <v>0</v>
      </c>
      <c r="G819" s="203"/>
      <c r="H819" s="203"/>
      <c r="I819" s="263">
        <f t="shared" si="17"/>
        <v>0</v>
      </c>
    </row>
    <row r="820" spans="2:9" ht="15.75" hidden="1" customHeight="1" outlineLevel="1" thickBot="1" x14ac:dyDescent="0.3">
      <c r="B820" s="249">
        <f>IF(AND(F816&lt;&gt;"", B815&lt;&gt;""), B815+1, "")</f>
        <v>45963</v>
      </c>
      <c r="C820" s="416"/>
      <c r="D820" s="416"/>
      <c r="E820" s="250" t="s">
        <v>767</v>
      </c>
      <c r="F820" s="204">
        <v>78</v>
      </c>
      <c r="G820" s="205"/>
      <c r="H820" s="205"/>
      <c r="I820" s="264">
        <f t="shared" si="17"/>
        <v>78</v>
      </c>
    </row>
    <row r="821" spans="2:9" ht="15.75" hidden="1" customHeight="1" outlineLevel="1" thickBot="1" x14ac:dyDescent="0.3">
      <c r="B821" s="241">
        <f>IF(AND(F821&lt;&gt;"", B816&lt;&gt;""), B816+1, "")</f>
        <v>45964</v>
      </c>
      <c r="C821" s="442">
        <v>45964</v>
      </c>
      <c r="D821" s="443">
        <f>D816+1</f>
        <v>45964</v>
      </c>
      <c r="E821" s="246" t="s">
        <v>394</v>
      </c>
      <c r="F821" s="202">
        <v>5235</v>
      </c>
      <c r="G821" s="203">
        <v>1070</v>
      </c>
      <c r="H821" s="203">
        <v>50</v>
      </c>
      <c r="I821" s="263">
        <f t="shared" si="17"/>
        <v>6255</v>
      </c>
    </row>
    <row r="822" spans="2:9" ht="15.75" hidden="1" customHeight="1" outlineLevel="1" thickBot="1" x14ac:dyDescent="0.3">
      <c r="B822" s="245">
        <f>IF(AND(F821&lt;&gt;"", B817&lt;&gt;""), B817+1, "")</f>
        <v>45964</v>
      </c>
      <c r="C822" s="409"/>
      <c r="D822" s="409"/>
      <c r="E822" s="246" t="s">
        <v>764</v>
      </c>
      <c r="F822" s="202">
        <v>0</v>
      </c>
      <c r="G822" s="203"/>
      <c r="H822" s="203"/>
      <c r="I822" s="263">
        <f t="shared" si="17"/>
        <v>0</v>
      </c>
    </row>
    <row r="823" spans="2:9" ht="15.75" hidden="1" customHeight="1" outlineLevel="1" thickBot="1" x14ac:dyDescent="0.3">
      <c r="B823" s="245">
        <f>IF(AND(F821&lt;&gt;"", B818&lt;&gt;""), B818+1, "")</f>
        <v>45964</v>
      </c>
      <c r="C823" s="409"/>
      <c r="D823" s="409"/>
      <c r="E823" s="246" t="s">
        <v>765</v>
      </c>
      <c r="F823" s="202">
        <v>4057</v>
      </c>
      <c r="G823" s="203">
        <v>655</v>
      </c>
      <c r="H823" s="203">
        <v>1600</v>
      </c>
      <c r="I823" s="263">
        <f t="shared" ref="I823:I886" si="18">F823+G823-H823</f>
        <v>3112</v>
      </c>
    </row>
    <row r="824" spans="2:9" ht="15.75" hidden="1" customHeight="1" outlineLevel="1" thickBot="1" x14ac:dyDescent="0.3">
      <c r="B824" s="245">
        <f>IF(AND(F821&lt;&gt;"", B819&lt;&gt;""), B819+1, "")</f>
        <v>45964</v>
      </c>
      <c r="C824" s="409"/>
      <c r="D824" s="409"/>
      <c r="E824" s="246" t="s">
        <v>766</v>
      </c>
      <c r="F824" s="202">
        <v>0</v>
      </c>
      <c r="G824" s="203"/>
      <c r="H824" s="203"/>
      <c r="I824" s="263">
        <f t="shared" si="18"/>
        <v>0</v>
      </c>
    </row>
    <row r="825" spans="2:9" ht="15.75" hidden="1" customHeight="1" outlineLevel="1" thickBot="1" x14ac:dyDescent="0.3">
      <c r="B825" s="249">
        <f>IF(AND(F821&lt;&gt;"", B820&lt;&gt;""), B820+1, "")</f>
        <v>45964</v>
      </c>
      <c r="C825" s="416"/>
      <c r="D825" s="416"/>
      <c r="E825" s="250" t="s">
        <v>767</v>
      </c>
      <c r="F825" s="204">
        <v>78</v>
      </c>
      <c r="G825" s="205"/>
      <c r="H825" s="205"/>
      <c r="I825" s="264">
        <f t="shared" si="18"/>
        <v>78</v>
      </c>
    </row>
    <row r="826" spans="2:9" ht="15.75" hidden="1" customHeight="1" outlineLevel="1" thickBot="1" x14ac:dyDescent="0.3">
      <c r="B826" s="241">
        <f>IF(AND(F826&lt;&gt;"", B821&lt;&gt;""), B821+1, "")</f>
        <v>45965</v>
      </c>
      <c r="C826" s="442">
        <v>45965</v>
      </c>
      <c r="D826" s="443">
        <f>D821+1</f>
        <v>45965</v>
      </c>
      <c r="E826" s="246" t="s">
        <v>394</v>
      </c>
      <c r="F826" s="202">
        <v>6255</v>
      </c>
      <c r="G826" s="203">
        <v>900</v>
      </c>
      <c r="H826" s="203">
        <v>400</v>
      </c>
      <c r="I826" s="263">
        <f t="shared" si="18"/>
        <v>6755</v>
      </c>
    </row>
    <row r="827" spans="2:9" ht="15.75" hidden="1" customHeight="1" outlineLevel="1" thickBot="1" x14ac:dyDescent="0.3">
      <c r="B827" s="245">
        <f>IF(AND(F826&lt;&gt;"", B822&lt;&gt;""), B822+1, "")</f>
        <v>45965</v>
      </c>
      <c r="C827" s="409"/>
      <c r="D827" s="409"/>
      <c r="E827" s="246" t="s">
        <v>764</v>
      </c>
      <c r="F827" s="202">
        <v>0</v>
      </c>
      <c r="G827" s="203"/>
      <c r="H827" s="203"/>
      <c r="I827" s="263">
        <f t="shared" si="18"/>
        <v>0</v>
      </c>
    </row>
    <row r="828" spans="2:9" ht="15.75" hidden="1" customHeight="1" outlineLevel="1" thickBot="1" x14ac:dyDescent="0.3">
      <c r="B828" s="245">
        <f>IF(AND(F826&lt;&gt;"", B823&lt;&gt;""), B823+1, "")</f>
        <v>45965</v>
      </c>
      <c r="C828" s="409"/>
      <c r="D828" s="409"/>
      <c r="E828" s="246" t="s">
        <v>765</v>
      </c>
      <c r="F828" s="202">
        <v>3112</v>
      </c>
      <c r="G828" s="203">
        <v>660</v>
      </c>
      <c r="H828" s="203">
        <v>500</v>
      </c>
      <c r="I828" s="263">
        <f t="shared" si="18"/>
        <v>3272</v>
      </c>
    </row>
    <row r="829" spans="2:9" ht="15.75" hidden="1" customHeight="1" outlineLevel="1" thickBot="1" x14ac:dyDescent="0.3">
      <c r="B829" s="245">
        <f>IF(AND(F826&lt;&gt;"", B824&lt;&gt;""), B824+1, "")</f>
        <v>45965</v>
      </c>
      <c r="C829" s="409"/>
      <c r="D829" s="409"/>
      <c r="E829" s="246" t="s">
        <v>766</v>
      </c>
      <c r="F829" s="202">
        <v>0</v>
      </c>
      <c r="G829" s="203"/>
      <c r="H829" s="203"/>
      <c r="I829" s="263">
        <f t="shared" si="18"/>
        <v>0</v>
      </c>
    </row>
    <row r="830" spans="2:9" ht="15.75" hidden="1" customHeight="1" outlineLevel="1" thickBot="1" x14ac:dyDescent="0.3">
      <c r="B830" s="249">
        <f>IF(AND(F826&lt;&gt;"", B825&lt;&gt;""), B825+1, "")</f>
        <v>45965</v>
      </c>
      <c r="C830" s="416"/>
      <c r="D830" s="416"/>
      <c r="E830" s="250" t="s">
        <v>767</v>
      </c>
      <c r="F830" s="204">
        <v>78</v>
      </c>
      <c r="G830" s="205"/>
      <c r="H830" s="205"/>
      <c r="I830" s="264">
        <f t="shared" si="18"/>
        <v>78</v>
      </c>
    </row>
    <row r="831" spans="2:9" ht="15.75" hidden="1" customHeight="1" outlineLevel="1" thickBot="1" x14ac:dyDescent="0.3">
      <c r="B831" s="241">
        <f>IF(AND(F831&lt;&gt;"", B826&lt;&gt;""), B826+1, "")</f>
        <v>45966</v>
      </c>
      <c r="C831" s="442">
        <v>45966</v>
      </c>
      <c r="D831" s="443">
        <f>D826+1</f>
        <v>45966</v>
      </c>
      <c r="E831" s="246" t="s">
        <v>394</v>
      </c>
      <c r="F831" s="202">
        <v>6755</v>
      </c>
      <c r="G831" s="203">
        <v>1085</v>
      </c>
      <c r="H831" s="203">
        <v>1600</v>
      </c>
      <c r="I831" s="263">
        <f t="shared" si="18"/>
        <v>6240</v>
      </c>
    </row>
    <row r="832" spans="2:9" ht="15.75" hidden="1" customHeight="1" outlineLevel="1" thickBot="1" x14ac:dyDescent="0.3">
      <c r="B832" s="245">
        <f>IF(AND(F831&lt;&gt;"", B827&lt;&gt;""), B827+1, "")</f>
        <v>45966</v>
      </c>
      <c r="C832" s="409"/>
      <c r="D832" s="409"/>
      <c r="E832" s="246" t="s">
        <v>764</v>
      </c>
      <c r="F832" s="202">
        <v>0</v>
      </c>
      <c r="G832" s="203"/>
      <c r="H832" s="203"/>
      <c r="I832" s="263">
        <f t="shared" si="18"/>
        <v>0</v>
      </c>
    </row>
    <row r="833" spans="2:9" ht="15.75" hidden="1" customHeight="1" outlineLevel="1" thickBot="1" x14ac:dyDescent="0.3">
      <c r="B833" s="245">
        <f>IF(AND(F831&lt;&gt;"", B828&lt;&gt;""), B828+1, "")</f>
        <v>45966</v>
      </c>
      <c r="C833" s="409"/>
      <c r="D833" s="409"/>
      <c r="E833" s="246" t="s">
        <v>765</v>
      </c>
      <c r="F833" s="202">
        <v>3272</v>
      </c>
      <c r="G833" s="203">
        <v>660</v>
      </c>
      <c r="H833" s="203"/>
      <c r="I833" s="263">
        <f t="shared" si="18"/>
        <v>3932</v>
      </c>
    </row>
    <row r="834" spans="2:9" ht="15.75" hidden="1" customHeight="1" outlineLevel="1" thickBot="1" x14ac:dyDescent="0.3">
      <c r="B834" s="245">
        <f>IF(AND(F831&lt;&gt;"", B829&lt;&gt;""), B829+1, "")</f>
        <v>45966</v>
      </c>
      <c r="C834" s="409"/>
      <c r="D834" s="409"/>
      <c r="E834" s="246" t="s">
        <v>766</v>
      </c>
      <c r="F834" s="202"/>
      <c r="G834" s="203"/>
      <c r="H834" s="203"/>
      <c r="I834" s="263">
        <f t="shared" si="18"/>
        <v>0</v>
      </c>
    </row>
    <row r="835" spans="2:9" ht="15.75" hidden="1" customHeight="1" outlineLevel="1" thickBot="1" x14ac:dyDescent="0.3">
      <c r="B835" s="249">
        <f>IF(AND(F831&lt;&gt;"", B830&lt;&gt;""), B830+1, "")</f>
        <v>45966</v>
      </c>
      <c r="C835" s="416"/>
      <c r="D835" s="416"/>
      <c r="E835" s="250" t="s">
        <v>767</v>
      </c>
      <c r="F835" s="204">
        <v>78</v>
      </c>
      <c r="G835" s="205"/>
      <c r="H835" s="205"/>
      <c r="I835" s="264">
        <f t="shared" si="18"/>
        <v>78</v>
      </c>
    </row>
    <row r="836" spans="2:9" ht="15.75" hidden="1" customHeight="1" outlineLevel="1" thickBot="1" x14ac:dyDescent="0.3">
      <c r="B836" s="241">
        <f>IF(AND(F836&lt;&gt;"", B831&lt;&gt;""), B831+1, "")</f>
        <v>45967</v>
      </c>
      <c r="C836" s="442">
        <v>45967</v>
      </c>
      <c r="D836" s="443">
        <f>D831+1</f>
        <v>45967</v>
      </c>
      <c r="E836" s="246" t="s">
        <v>394</v>
      </c>
      <c r="F836" s="202">
        <v>6240</v>
      </c>
      <c r="G836" s="203">
        <v>1080</v>
      </c>
      <c r="H836" s="203">
        <v>1600</v>
      </c>
      <c r="I836" s="263">
        <f t="shared" si="18"/>
        <v>5720</v>
      </c>
    </row>
    <row r="837" spans="2:9" ht="15.75" hidden="1" customHeight="1" outlineLevel="1" thickBot="1" x14ac:dyDescent="0.3">
      <c r="B837" s="245">
        <f>IF(AND(F836&lt;&gt;"", B832&lt;&gt;""), B832+1, "")</f>
        <v>45967</v>
      </c>
      <c r="C837" s="409"/>
      <c r="D837" s="409"/>
      <c r="E837" s="246" t="s">
        <v>764</v>
      </c>
      <c r="F837" s="202">
        <v>0</v>
      </c>
      <c r="G837" s="203"/>
      <c r="H837" s="203"/>
      <c r="I837" s="263">
        <f t="shared" si="18"/>
        <v>0</v>
      </c>
    </row>
    <row r="838" spans="2:9" ht="15.75" hidden="1" customHeight="1" outlineLevel="1" thickBot="1" x14ac:dyDescent="0.3">
      <c r="B838" s="245">
        <f>IF(AND(F836&lt;&gt;"", B833&lt;&gt;""), B833+1, "")</f>
        <v>45967</v>
      </c>
      <c r="C838" s="409"/>
      <c r="D838" s="409"/>
      <c r="E838" s="246" t="s">
        <v>765</v>
      </c>
      <c r="F838" s="202">
        <v>3932</v>
      </c>
      <c r="G838" s="203">
        <v>660</v>
      </c>
      <c r="H838" s="203"/>
      <c r="I838" s="263">
        <f t="shared" si="18"/>
        <v>4592</v>
      </c>
    </row>
    <row r="839" spans="2:9" ht="15.75" hidden="1" customHeight="1" outlineLevel="1" thickBot="1" x14ac:dyDescent="0.3">
      <c r="B839" s="245">
        <f>IF(AND(F836&lt;&gt;"", B834&lt;&gt;""), B834+1, "")</f>
        <v>45967</v>
      </c>
      <c r="C839" s="409"/>
      <c r="D839" s="409"/>
      <c r="E839" s="246" t="s">
        <v>766</v>
      </c>
      <c r="F839" s="202">
        <v>0</v>
      </c>
      <c r="G839" s="203"/>
      <c r="H839" s="203"/>
      <c r="I839" s="263">
        <f t="shared" si="18"/>
        <v>0</v>
      </c>
    </row>
    <row r="840" spans="2:9" ht="15.75" hidden="1" customHeight="1" outlineLevel="1" thickBot="1" x14ac:dyDescent="0.3">
      <c r="B840" s="249">
        <f>IF(AND(F836&lt;&gt;"", B835&lt;&gt;""), B835+1, "")</f>
        <v>45967</v>
      </c>
      <c r="C840" s="416"/>
      <c r="D840" s="416"/>
      <c r="E840" s="250" t="s">
        <v>767</v>
      </c>
      <c r="F840" s="204">
        <v>78</v>
      </c>
      <c r="G840" s="205"/>
      <c r="H840" s="205"/>
      <c r="I840" s="264">
        <f t="shared" si="18"/>
        <v>78</v>
      </c>
    </row>
    <row r="841" spans="2:9" ht="15.75" hidden="1" customHeight="1" outlineLevel="1" thickBot="1" x14ac:dyDescent="0.3">
      <c r="B841" s="241">
        <f>IF(AND(F841&lt;&gt;"", B836&lt;&gt;""), B836+1, "")</f>
        <v>45968</v>
      </c>
      <c r="C841" s="442">
        <v>45968</v>
      </c>
      <c r="D841" s="443">
        <f>D836+1</f>
        <v>45968</v>
      </c>
      <c r="E841" s="246" t="s">
        <v>394</v>
      </c>
      <c r="F841" s="202">
        <v>0</v>
      </c>
      <c r="G841" s="203"/>
      <c r="H841" s="203"/>
      <c r="I841" s="263">
        <f t="shared" si="18"/>
        <v>0</v>
      </c>
    </row>
    <row r="842" spans="2:9" ht="15.75" hidden="1" customHeight="1" outlineLevel="1" thickBot="1" x14ac:dyDescent="0.3">
      <c r="B842" s="245">
        <f>IF(AND(F841&lt;&gt;"", B837&lt;&gt;""), B837+1, "")</f>
        <v>45968</v>
      </c>
      <c r="C842" s="409"/>
      <c r="D842" s="409"/>
      <c r="E842" s="246" t="s">
        <v>764</v>
      </c>
      <c r="F842" s="202">
        <v>0</v>
      </c>
      <c r="G842" s="203"/>
      <c r="H842" s="203"/>
      <c r="I842" s="263">
        <f t="shared" si="18"/>
        <v>0</v>
      </c>
    </row>
    <row r="843" spans="2:9" ht="15.75" hidden="1" customHeight="1" outlineLevel="1" thickBot="1" x14ac:dyDescent="0.3">
      <c r="B843" s="245">
        <f>IF(AND(F841&lt;&gt;"", B838&lt;&gt;""), B838+1, "")</f>
        <v>45968</v>
      </c>
      <c r="C843" s="409"/>
      <c r="D843" s="409"/>
      <c r="E843" s="246" t="s">
        <v>765</v>
      </c>
      <c r="F843" s="202">
        <v>0</v>
      </c>
      <c r="G843" s="203"/>
      <c r="H843" s="203"/>
      <c r="I843" s="263">
        <f t="shared" si="18"/>
        <v>0</v>
      </c>
    </row>
    <row r="844" spans="2:9" ht="15.75" hidden="1" customHeight="1" outlineLevel="1" thickBot="1" x14ac:dyDescent="0.3">
      <c r="B844" s="245">
        <f>IF(AND(F841&lt;&gt;"", B839&lt;&gt;""), B839+1, "")</f>
        <v>45968</v>
      </c>
      <c r="C844" s="409"/>
      <c r="D844" s="409"/>
      <c r="E844" s="246" t="s">
        <v>766</v>
      </c>
      <c r="F844" s="202">
        <v>0</v>
      </c>
      <c r="G844" s="203"/>
      <c r="H844" s="203"/>
      <c r="I844" s="263">
        <f t="shared" si="18"/>
        <v>0</v>
      </c>
    </row>
    <row r="845" spans="2:9" ht="15.75" hidden="1" customHeight="1" outlineLevel="1" thickBot="1" x14ac:dyDescent="0.3">
      <c r="B845" s="249">
        <f>IF(AND(F841&lt;&gt;"", B840&lt;&gt;""), B840+1, "")</f>
        <v>45968</v>
      </c>
      <c r="C845" s="416"/>
      <c r="D845" s="416"/>
      <c r="E845" s="250" t="s">
        <v>767</v>
      </c>
      <c r="F845" s="204">
        <v>0</v>
      </c>
      <c r="G845" s="205"/>
      <c r="H845" s="205"/>
      <c r="I845" s="264">
        <f t="shared" si="18"/>
        <v>0</v>
      </c>
    </row>
    <row r="846" spans="2:9" ht="15.75" hidden="1" customHeight="1" outlineLevel="1" thickBot="1" x14ac:dyDescent="0.3">
      <c r="B846" s="241">
        <f>IF(AND(F846&lt;&gt;"", B841&lt;&gt;""), B841+1, "")</f>
        <v>45969</v>
      </c>
      <c r="C846" s="442">
        <v>45969</v>
      </c>
      <c r="D846" s="443">
        <f>D841+1</f>
        <v>45969</v>
      </c>
      <c r="E846" s="246" t="s">
        <v>394</v>
      </c>
      <c r="F846" s="202">
        <v>5720</v>
      </c>
      <c r="G846" s="203">
        <v>1075</v>
      </c>
      <c r="H846" s="203">
        <v>1600</v>
      </c>
      <c r="I846" s="263">
        <f t="shared" si="18"/>
        <v>5195</v>
      </c>
    </row>
    <row r="847" spans="2:9" ht="15.75" hidden="1" customHeight="1" outlineLevel="1" thickBot="1" x14ac:dyDescent="0.3">
      <c r="B847" s="245">
        <f>IF(AND(F846&lt;&gt;"", B842&lt;&gt;""), B842+1, "")</f>
        <v>45969</v>
      </c>
      <c r="C847" s="409"/>
      <c r="D847" s="409"/>
      <c r="E847" s="246" t="s">
        <v>764</v>
      </c>
      <c r="F847" s="202">
        <v>0</v>
      </c>
      <c r="G847" s="203"/>
      <c r="H847" s="203"/>
      <c r="I847" s="263">
        <f t="shared" si="18"/>
        <v>0</v>
      </c>
    </row>
    <row r="848" spans="2:9" ht="15.75" hidden="1" customHeight="1" outlineLevel="1" thickBot="1" x14ac:dyDescent="0.3">
      <c r="B848" s="245">
        <f>IF(AND(F846&lt;&gt;"", B843&lt;&gt;""), B843+1, "")</f>
        <v>45969</v>
      </c>
      <c r="C848" s="409"/>
      <c r="D848" s="409"/>
      <c r="E848" s="246" t="s">
        <v>765</v>
      </c>
      <c r="F848" s="202">
        <v>4592</v>
      </c>
      <c r="G848" s="203">
        <v>660</v>
      </c>
      <c r="H848" s="203"/>
      <c r="I848" s="263">
        <f t="shared" si="18"/>
        <v>5252</v>
      </c>
    </row>
    <row r="849" spans="2:9" ht="15.75" hidden="1" customHeight="1" outlineLevel="1" thickBot="1" x14ac:dyDescent="0.3">
      <c r="B849" s="245">
        <f>IF(AND(F846&lt;&gt;"", B844&lt;&gt;""), B844+1, "")</f>
        <v>45969</v>
      </c>
      <c r="C849" s="409"/>
      <c r="D849" s="409"/>
      <c r="E849" s="246" t="s">
        <v>766</v>
      </c>
      <c r="F849" s="202">
        <v>0</v>
      </c>
      <c r="G849" s="203"/>
      <c r="H849" s="203"/>
      <c r="I849" s="263">
        <f t="shared" si="18"/>
        <v>0</v>
      </c>
    </row>
    <row r="850" spans="2:9" ht="15.75" hidden="1" customHeight="1" outlineLevel="1" thickBot="1" x14ac:dyDescent="0.3">
      <c r="B850" s="249">
        <f>IF(AND(F846&lt;&gt;"", B845&lt;&gt;""), B845+1, "")</f>
        <v>45969</v>
      </c>
      <c r="C850" s="416"/>
      <c r="D850" s="416"/>
      <c r="E850" s="250" t="s">
        <v>767</v>
      </c>
      <c r="F850" s="204">
        <v>78</v>
      </c>
      <c r="G850" s="205"/>
      <c r="H850" s="205"/>
      <c r="I850" s="264">
        <f t="shared" si="18"/>
        <v>78</v>
      </c>
    </row>
    <row r="851" spans="2:9" ht="15.75" hidden="1" customHeight="1" outlineLevel="1" thickBot="1" x14ac:dyDescent="0.3">
      <c r="B851" s="241">
        <f>IF(AND(F851&lt;&gt;"", B846&lt;&gt;""), B846+1, "")</f>
        <v>45970</v>
      </c>
      <c r="C851" s="442">
        <v>45970</v>
      </c>
      <c r="D851" s="443">
        <f>D846+1</f>
        <v>45970</v>
      </c>
      <c r="E851" s="246" t="s">
        <v>394</v>
      </c>
      <c r="F851" s="202">
        <v>5195</v>
      </c>
      <c r="G851" s="203">
        <v>1100</v>
      </c>
      <c r="H851" s="203">
        <v>1600</v>
      </c>
      <c r="I851" s="263">
        <f t="shared" si="18"/>
        <v>4695</v>
      </c>
    </row>
    <row r="852" spans="2:9" ht="15.75" hidden="1" customHeight="1" outlineLevel="1" thickBot="1" x14ac:dyDescent="0.3">
      <c r="B852" s="245">
        <f>IF(AND(F851&lt;&gt;"", B847&lt;&gt;""), B847+1, "")</f>
        <v>45970</v>
      </c>
      <c r="C852" s="409"/>
      <c r="D852" s="409"/>
      <c r="E852" s="246" t="s">
        <v>764</v>
      </c>
      <c r="F852" s="202">
        <v>0</v>
      </c>
      <c r="G852" s="203"/>
      <c r="H852" s="203"/>
      <c r="I852" s="263">
        <f t="shared" si="18"/>
        <v>0</v>
      </c>
    </row>
    <row r="853" spans="2:9" ht="15.75" hidden="1" customHeight="1" outlineLevel="1" thickBot="1" x14ac:dyDescent="0.3">
      <c r="B853" s="245">
        <f>IF(AND(F851&lt;&gt;"", B848&lt;&gt;""), B848+1, "")</f>
        <v>45970</v>
      </c>
      <c r="C853" s="409"/>
      <c r="D853" s="409"/>
      <c r="E853" s="246" t="s">
        <v>765</v>
      </c>
      <c r="F853" s="202">
        <v>5252</v>
      </c>
      <c r="G853" s="203">
        <v>660</v>
      </c>
      <c r="H853" s="203"/>
      <c r="I853" s="263">
        <f t="shared" si="18"/>
        <v>5912</v>
      </c>
    </row>
    <row r="854" spans="2:9" ht="15.75" hidden="1" customHeight="1" outlineLevel="1" thickBot="1" x14ac:dyDescent="0.3">
      <c r="B854" s="245">
        <f>IF(AND(F851&lt;&gt;"", B849&lt;&gt;""), B849+1, "")</f>
        <v>45970</v>
      </c>
      <c r="C854" s="409"/>
      <c r="D854" s="409"/>
      <c r="E854" s="246" t="s">
        <v>766</v>
      </c>
      <c r="F854" s="202">
        <v>0</v>
      </c>
      <c r="G854" s="203"/>
      <c r="H854" s="203"/>
      <c r="I854" s="263">
        <f t="shared" si="18"/>
        <v>0</v>
      </c>
    </row>
    <row r="855" spans="2:9" ht="15.75" hidden="1" customHeight="1" outlineLevel="1" thickBot="1" x14ac:dyDescent="0.3">
      <c r="B855" s="249">
        <f>IF(AND(F851&lt;&gt;"", B850&lt;&gt;""), B850+1, "")</f>
        <v>45970</v>
      </c>
      <c r="C855" s="416"/>
      <c r="D855" s="416"/>
      <c r="E855" s="250" t="s">
        <v>767</v>
      </c>
      <c r="F855" s="204">
        <v>78</v>
      </c>
      <c r="G855" s="205"/>
      <c r="H855" s="205"/>
      <c r="I855" s="264">
        <f t="shared" si="18"/>
        <v>78</v>
      </c>
    </row>
    <row r="856" spans="2:9" ht="15.75" hidden="1" customHeight="1" outlineLevel="1" thickBot="1" x14ac:dyDescent="0.3">
      <c r="B856" s="241">
        <f>IF(AND(F856&lt;&gt;"", B851&lt;&gt;""), B851+1, "")</f>
        <v>45971</v>
      </c>
      <c r="C856" s="442">
        <v>45971</v>
      </c>
      <c r="D856" s="443">
        <f>D851+1</f>
        <v>45971</v>
      </c>
      <c r="E856" s="246" t="s">
        <v>394</v>
      </c>
      <c r="F856" s="202">
        <v>4695</v>
      </c>
      <c r="G856" s="203">
        <v>1100</v>
      </c>
      <c r="H856" s="203">
        <v>1600</v>
      </c>
      <c r="I856" s="263">
        <f t="shared" si="18"/>
        <v>4195</v>
      </c>
    </row>
    <row r="857" spans="2:9" ht="15.75" hidden="1" customHeight="1" outlineLevel="1" thickBot="1" x14ac:dyDescent="0.3">
      <c r="B857" s="245">
        <f>IF(AND(F856&lt;&gt;"", B852&lt;&gt;""), B852+1, "")</f>
        <v>45971</v>
      </c>
      <c r="C857" s="409"/>
      <c r="D857" s="409"/>
      <c r="E857" s="246" t="s">
        <v>764</v>
      </c>
      <c r="F857" s="202">
        <v>0</v>
      </c>
      <c r="G857" s="203"/>
      <c r="H857" s="203"/>
      <c r="I857" s="263">
        <f t="shared" si="18"/>
        <v>0</v>
      </c>
    </row>
    <row r="858" spans="2:9" ht="15.75" hidden="1" customHeight="1" outlineLevel="1" thickBot="1" x14ac:dyDescent="0.3">
      <c r="B858" s="245">
        <f>IF(AND(F856&lt;&gt;"", B853&lt;&gt;""), B853+1, "")</f>
        <v>45971</v>
      </c>
      <c r="C858" s="409"/>
      <c r="D858" s="409"/>
      <c r="E858" s="246" t="s">
        <v>765</v>
      </c>
      <c r="F858" s="202">
        <v>5912</v>
      </c>
      <c r="G858" s="203">
        <v>670</v>
      </c>
      <c r="H858" s="203"/>
      <c r="I858" s="263">
        <f t="shared" si="18"/>
        <v>6582</v>
      </c>
    </row>
    <row r="859" spans="2:9" ht="15.75" hidden="1" customHeight="1" outlineLevel="1" thickBot="1" x14ac:dyDescent="0.3">
      <c r="B859" s="245">
        <f>IF(AND(F856&lt;&gt;"", B854&lt;&gt;""), B854+1, "")</f>
        <v>45971</v>
      </c>
      <c r="C859" s="409"/>
      <c r="D859" s="409"/>
      <c r="E859" s="246" t="s">
        <v>766</v>
      </c>
      <c r="F859" s="202">
        <v>0</v>
      </c>
      <c r="G859" s="203"/>
      <c r="H859" s="203"/>
      <c r="I859" s="263">
        <f t="shared" si="18"/>
        <v>0</v>
      </c>
    </row>
    <row r="860" spans="2:9" ht="15.75" hidden="1" customHeight="1" outlineLevel="1" thickBot="1" x14ac:dyDescent="0.3">
      <c r="B860" s="249">
        <f>IF(AND(F856&lt;&gt;"", B855&lt;&gt;""), B855+1, "")</f>
        <v>45971</v>
      </c>
      <c r="C860" s="416"/>
      <c r="D860" s="416"/>
      <c r="E860" s="250" t="s">
        <v>767</v>
      </c>
      <c r="F860" s="204">
        <v>78</v>
      </c>
      <c r="G860" s="205"/>
      <c r="H860" s="205"/>
      <c r="I860" s="264">
        <f t="shared" si="18"/>
        <v>78</v>
      </c>
    </row>
    <row r="861" spans="2:9" ht="15.75" hidden="1" customHeight="1" outlineLevel="1" thickBot="1" x14ac:dyDescent="0.3">
      <c r="B861" s="241">
        <f>IF(AND(F861&lt;&gt;"", B856&lt;&gt;""), B856+1, "")</f>
        <v>45972</v>
      </c>
      <c r="C861" s="442">
        <v>45972</v>
      </c>
      <c r="D861" s="443">
        <f>D856+1</f>
        <v>45972</v>
      </c>
      <c r="E861" s="246" t="s">
        <v>394</v>
      </c>
      <c r="F861" s="202">
        <v>4195</v>
      </c>
      <c r="G861" s="203">
        <v>1100</v>
      </c>
      <c r="H861" s="203">
        <v>1600</v>
      </c>
      <c r="I861" s="263">
        <f t="shared" si="18"/>
        <v>3695</v>
      </c>
    </row>
    <row r="862" spans="2:9" ht="15.75" hidden="1" customHeight="1" outlineLevel="1" thickBot="1" x14ac:dyDescent="0.3">
      <c r="B862" s="245">
        <f>IF(AND(F861&lt;&gt;"", B857&lt;&gt;""), B857+1, "")</f>
        <v>45972</v>
      </c>
      <c r="C862" s="409"/>
      <c r="D862" s="409"/>
      <c r="E862" s="246" t="s">
        <v>764</v>
      </c>
      <c r="F862" s="202">
        <v>0</v>
      </c>
      <c r="G862" s="203"/>
      <c r="H862" s="203"/>
      <c r="I862" s="263">
        <f t="shared" si="18"/>
        <v>0</v>
      </c>
    </row>
    <row r="863" spans="2:9" ht="15.75" hidden="1" customHeight="1" outlineLevel="1" thickBot="1" x14ac:dyDescent="0.3">
      <c r="B863" s="245">
        <f>IF(AND(F861&lt;&gt;"", B858&lt;&gt;""), B858+1, "")</f>
        <v>45972</v>
      </c>
      <c r="C863" s="409"/>
      <c r="D863" s="409"/>
      <c r="E863" s="246" t="s">
        <v>765</v>
      </c>
      <c r="F863" s="202">
        <v>6582</v>
      </c>
      <c r="G863" s="203">
        <v>660</v>
      </c>
      <c r="H863" s="203"/>
      <c r="I863" s="263">
        <f t="shared" si="18"/>
        <v>7242</v>
      </c>
    </row>
    <row r="864" spans="2:9" ht="15.75" hidden="1" customHeight="1" outlineLevel="1" thickBot="1" x14ac:dyDescent="0.3">
      <c r="B864" s="245">
        <f>IF(AND(F861&lt;&gt;"", B859&lt;&gt;""), B859+1, "")</f>
        <v>45972</v>
      </c>
      <c r="C864" s="409"/>
      <c r="D864" s="409"/>
      <c r="E864" s="246" t="s">
        <v>766</v>
      </c>
      <c r="F864" s="202">
        <v>0</v>
      </c>
      <c r="G864" s="203"/>
      <c r="H864" s="203"/>
      <c r="I864" s="263">
        <f t="shared" si="18"/>
        <v>0</v>
      </c>
    </row>
    <row r="865" spans="2:9" ht="15.75" hidden="1" customHeight="1" outlineLevel="1" thickBot="1" x14ac:dyDescent="0.3">
      <c r="B865" s="249">
        <f>IF(AND(F861&lt;&gt;"", B860&lt;&gt;""), B860+1, "")</f>
        <v>45972</v>
      </c>
      <c r="C865" s="416"/>
      <c r="D865" s="416"/>
      <c r="E865" s="250" t="s">
        <v>767</v>
      </c>
      <c r="F865" s="204">
        <v>78</v>
      </c>
      <c r="G865" s="205"/>
      <c r="H865" s="205"/>
      <c r="I865" s="264">
        <f t="shared" si="18"/>
        <v>78</v>
      </c>
    </row>
    <row r="866" spans="2:9" ht="15.75" hidden="1" customHeight="1" outlineLevel="1" thickBot="1" x14ac:dyDescent="0.3">
      <c r="B866" s="241">
        <f>IF(AND(F866&lt;&gt;"", B861&lt;&gt;""), B861+1, "")</f>
        <v>45973</v>
      </c>
      <c r="C866" s="442">
        <v>45973</v>
      </c>
      <c r="D866" s="443">
        <f>D861+1</f>
        <v>45973</v>
      </c>
      <c r="E866" s="246" t="s">
        <v>394</v>
      </c>
      <c r="F866" s="202">
        <v>3695</v>
      </c>
      <c r="G866" s="203">
        <v>1095</v>
      </c>
      <c r="H866" s="203">
        <v>1800</v>
      </c>
      <c r="I866" s="263">
        <f t="shared" si="18"/>
        <v>2990</v>
      </c>
    </row>
    <row r="867" spans="2:9" ht="15.75" hidden="1" customHeight="1" outlineLevel="1" thickBot="1" x14ac:dyDescent="0.3">
      <c r="B867" s="245">
        <f>IF(AND(F866&lt;&gt;"", B862&lt;&gt;""), B862+1, "")</f>
        <v>45973</v>
      </c>
      <c r="C867" s="409"/>
      <c r="D867" s="409"/>
      <c r="E867" s="246" t="s">
        <v>764</v>
      </c>
      <c r="F867" s="202">
        <v>0</v>
      </c>
      <c r="G867" s="203"/>
      <c r="H867" s="203"/>
      <c r="I867" s="263">
        <f t="shared" si="18"/>
        <v>0</v>
      </c>
    </row>
    <row r="868" spans="2:9" ht="15.75" hidden="1" customHeight="1" outlineLevel="1" thickBot="1" x14ac:dyDescent="0.3">
      <c r="B868" s="245">
        <f>IF(AND(F866&lt;&gt;"", B863&lt;&gt;""), B863+1, "")</f>
        <v>45973</v>
      </c>
      <c r="C868" s="409"/>
      <c r="D868" s="409"/>
      <c r="E868" s="246" t="s">
        <v>765</v>
      </c>
      <c r="F868" s="202">
        <v>7242</v>
      </c>
      <c r="G868" s="203">
        <v>660</v>
      </c>
      <c r="H868" s="203"/>
      <c r="I868" s="263">
        <f t="shared" si="18"/>
        <v>7902</v>
      </c>
    </row>
    <row r="869" spans="2:9" ht="15.75" hidden="1" customHeight="1" outlineLevel="1" thickBot="1" x14ac:dyDescent="0.3">
      <c r="B869" s="245">
        <f>IF(AND(F866&lt;&gt;"", B864&lt;&gt;""), B864+1, "")</f>
        <v>45973</v>
      </c>
      <c r="C869" s="409"/>
      <c r="D869" s="409"/>
      <c r="E869" s="246" t="s">
        <v>766</v>
      </c>
      <c r="F869" s="202">
        <v>0</v>
      </c>
      <c r="G869" s="203"/>
      <c r="H869" s="203"/>
      <c r="I869" s="263">
        <f t="shared" si="18"/>
        <v>0</v>
      </c>
    </row>
    <row r="870" spans="2:9" ht="15.75" hidden="1" customHeight="1" outlineLevel="1" thickBot="1" x14ac:dyDescent="0.3">
      <c r="B870" s="249">
        <f>IF(AND(F866&lt;&gt;"", B865&lt;&gt;""), B865+1, "")</f>
        <v>45973</v>
      </c>
      <c r="C870" s="416"/>
      <c r="D870" s="416"/>
      <c r="E870" s="250" t="s">
        <v>767</v>
      </c>
      <c r="F870" s="204">
        <v>78</v>
      </c>
      <c r="G870" s="205"/>
      <c r="H870" s="205"/>
      <c r="I870" s="264">
        <f t="shared" si="18"/>
        <v>78</v>
      </c>
    </row>
    <row r="871" spans="2:9" ht="15.75" hidden="1" customHeight="1" outlineLevel="1" thickBot="1" x14ac:dyDescent="0.3">
      <c r="B871" s="241">
        <f>IF(AND(F871&lt;&gt;"", B866&lt;&gt;""), B866+1, "")</f>
        <v>45974</v>
      </c>
      <c r="C871" s="442">
        <v>45974</v>
      </c>
      <c r="D871" s="443">
        <f>D866+1</f>
        <v>45974</v>
      </c>
      <c r="E871" s="246" t="s">
        <v>394</v>
      </c>
      <c r="F871" s="202">
        <v>2990</v>
      </c>
      <c r="G871" s="203">
        <v>1100</v>
      </c>
      <c r="H871" s="203">
        <v>130</v>
      </c>
      <c r="I871" s="263">
        <f t="shared" si="18"/>
        <v>3960</v>
      </c>
    </row>
    <row r="872" spans="2:9" ht="15.75" hidden="1" customHeight="1" outlineLevel="1" thickBot="1" x14ac:dyDescent="0.3">
      <c r="B872" s="245">
        <f>IF(AND(F871&lt;&gt;"", B867&lt;&gt;""), B867+1, "")</f>
        <v>45974</v>
      </c>
      <c r="C872" s="409"/>
      <c r="D872" s="409"/>
      <c r="E872" s="246" t="s">
        <v>764</v>
      </c>
      <c r="F872" s="202">
        <v>0</v>
      </c>
      <c r="G872" s="203"/>
      <c r="H872" s="203"/>
      <c r="I872" s="263">
        <f t="shared" si="18"/>
        <v>0</v>
      </c>
    </row>
    <row r="873" spans="2:9" ht="15.75" hidden="1" customHeight="1" outlineLevel="1" thickBot="1" x14ac:dyDescent="0.3">
      <c r="B873" s="245">
        <f>IF(AND(F871&lt;&gt;"", B868&lt;&gt;""), B868+1, "")</f>
        <v>45974</v>
      </c>
      <c r="C873" s="409"/>
      <c r="D873" s="409"/>
      <c r="E873" s="246" t="s">
        <v>765</v>
      </c>
      <c r="F873" s="202">
        <v>7902</v>
      </c>
      <c r="G873" s="203">
        <v>660</v>
      </c>
      <c r="H873" s="203">
        <v>1600</v>
      </c>
      <c r="I873" s="263">
        <f t="shared" si="18"/>
        <v>6962</v>
      </c>
    </row>
    <row r="874" spans="2:9" ht="15.75" hidden="1" customHeight="1" outlineLevel="1" thickBot="1" x14ac:dyDescent="0.3">
      <c r="B874" s="245">
        <f>IF(AND(F871&lt;&gt;"", B869&lt;&gt;""), B869+1, "")</f>
        <v>45974</v>
      </c>
      <c r="C874" s="409"/>
      <c r="D874" s="409"/>
      <c r="E874" s="246" t="s">
        <v>766</v>
      </c>
      <c r="F874" s="202">
        <v>0</v>
      </c>
      <c r="G874" s="203"/>
      <c r="H874" s="203"/>
      <c r="I874" s="263">
        <f t="shared" si="18"/>
        <v>0</v>
      </c>
    </row>
    <row r="875" spans="2:9" ht="15.75" hidden="1" customHeight="1" outlineLevel="1" thickBot="1" x14ac:dyDescent="0.3">
      <c r="B875" s="249">
        <f>IF(AND(F871&lt;&gt;"", B870&lt;&gt;""), B870+1, "")</f>
        <v>45974</v>
      </c>
      <c r="C875" s="416"/>
      <c r="D875" s="416"/>
      <c r="E875" s="250" t="s">
        <v>767</v>
      </c>
      <c r="F875" s="204">
        <v>78</v>
      </c>
      <c r="G875" s="205"/>
      <c r="H875" s="205"/>
      <c r="I875" s="264">
        <f t="shared" si="18"/>
        <v>78</v>
      </c>
    </row>
    <row r="876" spans="2:9" ht="15.75" hidden="1" customHeight="1" outlineLevel="1" thickBot="1" x14ac:dyDescent="0.3">
      <c r="B876" s="241">
        <f>IF(AND(F876&lt;&gt;"", B871&lt;&gt;""), B871+1, "")</f>
        <v>45975</v>
      </c>
      <c r="C876" s="442">
        <v>45975</v>
      </c>
      <c r="D876" s="443">
        <f>D871+1</f>
        <v>45975</v>
      </c>
      <c r="E876" s="246" t="s">
        <v>394</v>
      </c>
      <c r="F876" s="202">
        <v>3960</v>
      </c>
      <c r="G876" s="203"/>
      <c r="H876" s="203"/>
      <c r="I876" s="263">
        <f t="shared" si="18"/>
        <v>3960</v>
      </c>
    </row>
    <row r="877" spans="2:9" ht="15.75" hidden="1" customHeight="1" outlineLevel="1" thickBot="1" x14ac:dyDescent="0.3">
      <c r="B877" s="245">
        <f>IF(AND(F876&lt;&gt;"", B872&lt;&gt;""), B872+1, "")</f>
        <v>45975</v>
      </c>
      <c r="C877" s="409"/>
      <c r="D877" s="409"/>
      <c r="E877" s="246" t="s">
        <v>764</v>
      </c>
      <c r="F877" s="202">
        <v>0</v>
      </c>
      <c r="G877" s="203">
        <v>150</v>
      </c>
      <c r="H877" s="203"/>
      <c r="I877" s="263">
        <f t="shared" si="18"/>
        <v>150</v>
      </c>
    </row>
    <row r="878" spans="2:9" ht="15.75" hidden="1" customHeight="1" outlineLevel="1" thickBot="1" x14ac:dyDescent="0.3">
      <c r="B878" s="245">
        <f>IF(AND(F876&lt;&gt;"", B873&lt;&gt;""), B873+1, "")</f>
        <v>45975</v>
      </c>
      <c r="C878" s="409"/>
      <c r="D878" s="409"/>
      <c r="E878" s="246" t="s">
        <v>765</v>
      </c>
      <c r="F878" s="202">
        <v>6962</v>
      </c>
      <c r="G878" s="203"/>
      <c r="H878" s="203"/>
      <c r="I878" s="263">
        <f t="shared" si="18"/>
        <v>6962</v>
      </c>
    </row>
    <row r="879" spans="2:9" ht="15.75" hidden="1" customHeight="1" outlineLevel="1" thickBot="1" x14ac:dyDescent="0.3">
      <c r="B879" s="245">
        <f>IF(AND(F876&lt;&gt;"", B874&lt;&gt;""), B874+1, "")</f>
        <v>45975</v>
      </c>
      <c r="C879" s="409"/>
      <c r="D879" s="409"/>
      <c r="E879" s="246" t="s">
        <v>766</v>
      </c>
      <c r="F879" s="202">
        <v>0</v>
      </c>
      <c r="G879" s="203"/>
      <c r="H879" s="203"/>
      <c r="I879" s="263">
        <f t="shared" si="18"/>
        <v>0</v>
      </c>
    </row>
    <row r="880" spans="2:9" ht="15.75" hidden="1" customHeight="1" outlineLevel="1" thickBot="1" x14ac:dyDescent="0.3">
      <c r="B880" s="249">
        <f>IF(AND(F876&lt;&gt;"", B875&lt;&gt;""), B875+1, "")</f>
        <v>45975</v>
      </c>
      <c r="C880" s="416"/>
      <c r="D880" s="416"/>
      <c r="E880" s="250" t="s">
        <v>767</v>
      </c>
      <c r="F880" s="204">
        <v>78</v>
      </c>
      <c r="G880" s="205"/>
      <c r="H880" s="205"/>
      <c r="I880" s="264">
        <f t="shared" si="18"/>
        <v>78</v>
      </c>
    </row>
    <row r="881" spans="2:9" ht="15.75" hidden="1" customHeight="1" outlineLevel="1" thickBot="1" x14ac:dyDescent="0.3">
      <c r="B881" s="241">
        <f>IF(AND(F881&lt;&gt;"", B876&lt;&gt;""), B876+1, "")</f>
        <v>45976</v>
      </c>
      <c r="C881" s="442">
        <v>45976</v>
      </c>
      <c r="D881" s="443">
        <f>D876+1</f>
        <v>45976</v>
      </c>
      <c r="E881" s="246" t="s">
        <v>394</v>
      </c>
      <c r="F881" s="202">
        <v>3960</v>
      </c>
      <c r="G881" s="203">
        <v>440</v>
      </c>
      <c r="H881" s="203">
        <v>400</v>
      </c>
      <c r="I881" s="263">
        <f t="shared" si="18"/>
        <v>4000</v>
      </c>
    </row>
    <row r="882" spans="2:9" ht="15.75" hidden="1" customHeight="1" outlineLevel="1" thickBot="1" x14ac:dyDescent="0.3">
      <c r="B882" s="245">
        <f>IF(AND(F881&lt;&gt;"", B877&lt;&gt;""), B877+1, "")</f>
        <v>45976</v>
      </c>
      <c r="C882" s="409"/>
      <c r="D882" s="409"/>
      <c r="E882" s="246" t="s">
        <v>764</v>
      </c>
      <c r="F882" s="202">
        <v>150</v>
      </c>
      <c r="G882" s="203">
        <v>670</v>
      </c>
      <c r="H882" s="203"/>
      <c r="I882" s="263">
        <f t="shared" si="18"/>
        <v>820</v>
      </c>
    </row>
    <row r="883" spans="2:9" ht="15.75" hidden="1" customHeight="1" outlineLevel="1" thickBot="1" x14ac:dyDescent="0.3">
      <c r="B883" s="245">
        <f>IF(AND(F881&lt;&gt;"", B878&lt;&gt;""), B878+1, "")</f>
        <v>45976</v>
      </c>
      <c r="C883" s="409"/>
      <c r="D883" s="409"/>
      <c r="E883" s="246" t="s">
        <v>765</v>
      </c>
      <c r="F883" s="202">
        <v>6962</v>
      </c>
      <c r="G883" s="203">
        <v>650</v>
      </c>
      <c r="H883" s="203">
        <v>1200</v>
      </c>
      <c r="I883" s="263">
        <f t="shared" si="18"/>
        <v>6412</v>
      </c>
    </row>
    <row r="884" spans="2:9" ht="15.75" hidden="1" customHeight="1" outlineLevel="1" thickBot="1" x14ac:dyDescent="0.3">
      <c r="B884" s="245">
        <f>IF(AND(F881&lt;&gt;"", B879&lt;&gt;""), B879+1, "")</f>
        <v>45976</v>
      </c>
      <c r="C884" s="409"/>
      <c r="D884" s="409"/>
      <c r="E884" s="246" t="s">
        <v>766</v>
      </c>
      <c r="F884" s="202">
        <v>0</v>
      </c>
      <c r="G884" s="203"/>
      <c r="H884" s="203"/>
      <c r="I884" s="263">
        <f t="shared" si="18"/>
        <v>0</v>
      </c>
    </row>
    <row r="885" spans="2:9" ht="15.75" hidden="1" customHeight="1" outlineLevel="1" thickBot="1" x14ac:dyDescent="0.3">
      <c r="B885" s="249">
        <f>IF(AND(F881&lt;&gt;"", B880&lt;&gt;""), B880+1, "")</f>
        <v>45976</v>
      </c>
      <c r="C885" s="416"/>
      <c r="D885" s="416"/>
      <c r="E885" s="250" t="s">
        <v>767</v>
      </c>
      <c r="F885" s="204">
        <v>78</v>
      </c>
      <c r="G885" s="205"/>
      <c r="H885" s="205"/>
      <c r="I885" s="264">
        <f t="shared" si="18"/>
        <v>78</v>
      </c>
    </row>
    <row r="886" spans="2:9" ht="15.75" hidden="1" customHeight="1" outlineLevel="1" thickBot="1" x14ac:dyDescent="0.3">
      <c r="B886" s="241">
        <f>IF(AND(F886&lt;&gt;"", B881&lt;&gt;""), B881+1, "")</f>
        <v>45977</v>
      </c>
      <c r="C886" s="442">
        <v>45977</v>
      </c>
      <c r="D886" s="443">
        <f>D881+1</f>
        <v>45977</v>
      </c>
      <c r="E886" s="246" t="s">
        <v>394</v>
      </c>
      <c r="F886" s="202">
        <v>4000</v>
      </c>
      <c r="G886" s="203"/>
      <c r="H886" s="203">
        <v>1500</v>
      </c>
      <c r="I886" s="263">
        <f t="shared" si="18"/>
        <v>2500</v>
      </c>
    </row>
    <row r="887" spans="2:9" ht="15.75" hidden="1" customHeight="1" outlineLevel="1" thickBot="1" x14ac:dyDescent="0.3">
      <c r="B887" s="245">
        <f>IF(AND(F886&lt;&gt;"", B882&lt;&gt;""), B882+1, "")</f>
        <v>45977</v>
      </c>
      <c r="C887" s="409"/>
      <c r="D887" s="409"/>
      <c r="E887" s="246" t="s">
        <v>764</v>
      </c>
      <c r="F887" s="202">
        <v>820</v>
      </c>
      <c r="G887" s="203">
        <v>1110</v>
      </c>
      <c r="H887" s="203"/>
      <c r="I887" s="263">
        <f t="shared" ref="I887:I950" si="19">F887+G887-H887</f>
        <v>1930</v>
      </c>
    </row>
    <row r="888" spans="2:9" ht="15.75" hidden="1" customHeight="1" outlineLevel="1" thickBot="1" x14ac:dyDescent="0.3">
      <c r="B888" s="245">
        <f>IF(AND(F886&lt;&gt;"", B883&lt;&gt;""), B883+1, "")</f>
        <v>45977</v>
      </c>
      <c r="C888" s="409"/>
      <c r="D888" s="409"/>
      <c r="E888" s="246" t="s">
        <v>765</v>
      </c>
      <c r="F888" s="202">
        <v>6412</v>
      </c>
      <c r="G888" s="203">
        <v>562</v>
      </c>
      <c r="H888" s="203"/>
      <c r="I888" s="263">
        <f t="shared" si="19"/>
        <v>6974</v>
      </c>
    </row>
    <row r="889" spans="2:9" ht="15.75" hidden="1" customHeight="1" outlineLevel="1" thickBot="1" x14ac:dyDescent="0.3">
      <c r="B889" s="245">
        <f>IF(AND(F886&lt;&gt;"", B884&lt;&gt;""), B884+1, "")</f>
        <v>45977</v>
      </c>
      <c r="C889" s="409"/>
      <c r="D889" s="409"/>
      <c r="E889" s="246" t="s">
        <v>766</v>
      </c>
      <c r="F889" s="202">
        <v>0</v>
      </c>
      <c r="G889" s="203"/>
      <c r="H889" s="203"/>
      <c r="I889" s="263">
        <f t="shared" si="19"/>
        <v>0</v>
      </c>
    </row>
    <row r="890" spans="2:9" ht="15.75" hidden="1" customHeight="1" outlineLevel="1" thickBot="1" x14ac:dyDescent="0.3">
      <c r="B890" s="249">
        <f>IF(AND(F886&lt;&gt;"", B885&lt;&gt;""), B885+1, "")</f>
        <v>45977</v>
      </c>
      <c r="C890" s="416"/>
      <c r="D890" s="416"/>
      <c r="E890" s="250" t="s">
        <v>767</v>
      </c>
      <c r="F890" s="204">
        <v>78</v>
      </c>
      <c r="G890" s="205"/>
      <c r="H890" s="205"/>
      <c r="I890" s="264">
        <f t="shared" si="19"/>
        <v>78</v>
      </c>
    </row>
    <row r="891" spans="2:9" ht="15.75" hidden="1" customHeight="1" outlineLevel="1" thickBot="1" x14ac:dyDescent="0.3">
      <c r="B891" s="241">
        <f>IF(AND(F891&lt;&gt;"", B886&lt;&gt;""), B886+1, "")</f>
        <v>45978</v>
      </c>
      <c r="C891" s="442">
        <v>45978</v>
      </c>
      <c r="D891" s="443">
        <f>D886+1</f>
        <v>45978</v>
      </c>
      <c r="E891" s="246" t="s">
        <v>394</v>
      </c>
      <c r="F891" s="202">
        <v>2500</v>
      </c>
      <c r="G891" s="203">
        <v>385</v>
      </c>
      <c r="H891" s="203">
        <v>1610</v>
      </c>
      <c r="I891" s="263">
        <f t="shared" si="19"/>
        <v>1275</v>
      </c>
    </row>
    <row r="892" spans="2:9" ht="15.75" hidden="1" customHeight="1" outlineLevel="1" thickBot="1" x14ac:dyDescent="0.3">
      <c r="B892" s="245">
        <f>IF(AND(F891&lt;&gt;"", B887&lt;&gt;""), B887+1, "")</f>
        <v>45978</v>
      </c>
      <c r="C892" s="409"/>
      <c r="D892" s="409"/>
      <c r="E892" s="246" t="s">
        <v>764</v>
      </c>
      <c r="F892" s="202">
        <v>1930</v>
      </c>
      <c r="G892" s="203">
        <v>1125</v>
      </c>
      <c r="H892" s="203"/>
      <c r="I892" s="263">
        <f t="shared" si="19"/>
        <v>3055</v>
      </c>
    </row>
    <row r="893" spans="2:9" ht="15.75" hidden="1" customHeight="1" outlineLevel="1" thickBot="1" x14ac:dyDescent="0.3">
      <c r="B893" s="245">
        <f>IF(AND(F891&lt;&gt;"", B888&lt;&gt;""), B888+1, "")</f>
        <v>45978</v>
      </c>
      <c r="C893" s="409"/>
      <c r="D893" s="409"/>
      <c r="E893" s="246" t="s">
        <v>765</v>
      </c>
      <c r="F893" s="202">
        <v>6969</v>
      </c>
      <c r="G893" s="203"/>
      <c r="H893" s="203"/>
      <c r="I893" s="263">
        <f t="shared" si="19"/>
        <v>6969</v>
      </c>
    </row>
    <row r="894" spans="2:9" ht="15.75" hidden="1" customHeight="1" outlineLevel="1" thickBot="1" x14ac:dyDescent="0.3">
      <c r="B894" s="245">
        <f>IF(AND(F891&lt;&gt;"", B889&lt;&gt;""), B889+1, "")</f>
        <v>45978</v>
      </c>
      <c r="C894" s="409"/>
      <c r="D894" s="409"/>
      <c r="E894" s="246" t="s">
        <v>766</v>
      </c>
      <c r="F894" s="202">
        <v>0</v>
      </c>
      <c r="G894" s="203"/>
      <c r="H894" s="203"/>
      <c r="I894" s="263">
        <f t="shared" si="19"/>
        <v>0</v>
      </c>
    </row>
    <row r="895" spans="2:9" ht="15.75" hidden="1" customHeight="1" outlineLevel="1" thickBot="1" x14ac:dyDescent="0.3">
      <c r="B895" s="249">
        <f>IF(AND(F891&lt;&gt;"", B890&lt;&gt;""), B890+1, "")</f>
        <v>45978</v>
      </c>
      <c r="C895" s="416"/>
      <c r="D895" s="416"/>
      <c r="E895" s="250" t="s">
        <v>767</v>
      </c>
      <c r="F895" s="204">
        <v>78</v>
      </c>
      <c r="G895" s="205"/>
      <c r="H895" s="205"/>
      <c r="I895" s="264">
        <f t="shared" si="19"/>
        <v>78</v>
      </c>
    </row>
    <row r="896" spans="2:9" ht="15.75" hidden="1" customHeight="1" outlineLevel="1" thickBot="1" x14ac:dyDescent="0.3">
      <c r="B896" s="241">
        <f>IF(AND(F896&lt;&gt;"", B891&lt;&gt;""), B891+1, "")</f>
        <v>45979</v>
      </c>
      <c r="C896" s="442">
        <v>45979</v>
      </c>
      <c r="D896" s="443">
        <f>D891+1</f>
        <v>45979</v>
      </c>
      <c r="E896" s="246" t="s">
        <v>394</v>
      </c>
      <c r="F896" s="202">
        <v>1275</v>
      </c>
      <c r="G896" s="203">
        <v>485</v>
      </c>
      <c r="H896" s="203">
        <v>504</v>
      </c>
      <c r="I896" s="263">
        <f t="shared" si="19"/>
        <v>1256</v>
      </c>
    </row>
    <row r="897" spans="2:9" ht="15.75" hidden="1" customHeight="1" outlineLevel="1" thickBot="1" x14ac:dyDescent="0.3">
      <c r="B897" s="245">
        <f>IF(AND(F896&lt;&gt;"", B892&lt;&gt;""), B892+1, "")</f>
        <v>45979</v>
      </c>
      <c r="C897" s="409"/>
      <c r="D897" s="409"/>
      <c r="E897" s="246" t="s">
        <v>764</v>
      </c>
      <c r="F897" s="202">
        <v>3055</v>
      </c>
      <c r="G897" s="203">
        <v>595</v>
      </c>
      <c r="H897" s="203"/>
      <c r="I897" s="263">
        <f t="shared" si="19"/>
        <v>3650</v>
      </c>
    </row>
    <row r="898" spans="2:9" ht="15.75" hidden="1" customHeight="1" outlineLevel="1" thickBot="1" x14ac:dyDescent="0.3">
      <c r="B898" s="245">
        <f>IF(AND(F896&lt;&gt;"", B893&lt;&gt;""), B893+1, "")</f>
        <v>45979</v>
      </c>
      <c r="C898" s="409"/>
      <c r="D898" s="409"/>
      <c r="E898" s="246" t="s">
        <v>765</v>
      </c>
      <c r="F898" s="202">
        <v>6969</v>
      </c>
      <c r="G898" s="203"/>
      <c r="H898" s="203">
        <v>1100</v>
      </c>
      <c r="I898" s="263">
        <f t="shared" si="19"/>
        <v>5869</v>
      </c>
    </row>
    <row r="899" spans="2:9" ht="15.75" hidden="1" customHeight="1" outlineLevel="1" thickBot="1" x14ac:dyDescent="0.3">
      <c r="B899" s="245">
        <f>IF(AND(F896&lt;&gt;"", B894&lt;&gt;""), B894+1, "")</f>
        <v>45979</v>
      </c>
      <c r="C899" s="409"/>
      <c r="D899" s="409"/>
      <c r="E899" s="246" t="s">
        <v>766</v>
      </c>
      <c r="F899" s="202">
        <v>0</v>
      </c>
      <c r="G899" s="203"/>
      <c r="H899" s="203"/>
      <c r="I899" s="263">
        <f t="shared" si="19"/>
        <v>0</v>
      </c>
    </row>
    <row r="900" spans="2:9" ht="15.75" hidden="1" customHeight="1" outlineLevel="1" thickBot="1" x14ac:dyDescent="0.3">
      <c r="B900" s="249">
        <f>IF(AND(F896&lt;&gt;"", B895&lt;&gt;""), B895+1, "")</f>
        <v>45979</v>
      </c>
      <c r="C900" s="416"/>
      <c r="D900" s="416"/>
      <c r="E900" s="250" t="s">
        <v>767</v>
      </c>
      <c r="F900" s="204">
        <v>78</v>
      </c>
      <c r="G900" s="205"/>
      <c r="H900" s="205"/>
      <c r="I900" s="264">
        <f t="shared" si="19"/>
        <v>78</v>
      </c>
    </row>
    <row r="901" spans="2:9" ht="15.75" hidden="1" customHeight="1" outlineLevel="1" thickBot="1" x14ac:dyDescent="0.3">
      <c r="B901" s="241">
        <f>IF(AND(F901&lt;&gt;"", B896&lt;&gt;""), B896+1, "")</f>
        <v>45980</v>
      </c>
      <c r="C901" s="442">
        <v>45980</v>
      </c>
      <c r="D901" s="443">
        <f>D896+1</f>
        <v>45980</v>
      </c>
      <c r="E901" s="246" t="s">
        <v>394</v>
      </c>
      <c r="F901" s="202">
        <v>1256</v>
      </c>
      <c r="G901" s="203">
        <v>430</v>
      </c>
      <c r="H901" s="203"/>
      <c r="I901" s="263">
        <f t="shared" si="19"/>
        <v>1686</v>
      </c>
    </row>
    <row r="902" spans="2:9" ht="15.75" hidden="1" customHeight="1" outlineLevel="1" thickBot="1" x14ac:dyDescent="0.3">
      <c r="B902" s="245">
        <f>IF(AND(F901&lt;&gt;"", B897&lt;&gt;""), B897+1, "")</f>
        <v>45980</v>
      </c>
      <c r="C902" s="409"/>
      <c r="D902" s="409"/>
      <c r="E902" s="246" t="s">
        <v>764</v>
      </c>
      <c r="F902" s="202">
        <v>3650</v>
      </c>
      <c r="G902" s="203">
        <v>320</v>
      </c>
      <c r="H902" s="203">
        <v>52</v>
      </c>
      <c r="I902" s="263">
        <f t="shared" si="19"/>
        <v>3918</v>
      </c>
    </row>
    <row r="903" spans="2:9" ht="15.75" hidden="1" customHeight="1" outlineLevel="1" thickBot="1" x14ac:dyDescent="0.3">
      <c r="B903" s="245">
        <f>IF(AND(F901&lt;&gt;"", B898&lt;&gt;""), B898+1, "")</f>
        <v>45980</v>
      </c>
      <c r="C903" s="409"/>
      <c r="D903" s="409"/>
      <c r="E903" s="246" t="s">
        <v>765</v>
      </c>
      <c r="F903" s="202">
        <v>5869</v>
      </c>
      <c r="G903" s="203"/>
      <c r="H903" s="203">
        <v>1733</v>
      </c>
      <c r="I903" s="263">
        <f t="shared" si="19"/>
        <v>4136</v>
      </c>
    </row>
    <row r="904" spans="2:9" ht="15.75" hidden="1" customHeight="1" outlineLevel="1" thickBot="1" x14ac:dyDescent="0.3">
      <c r="B904" s="245">
        <f>IF(AND(F901&lt;&gt;"", B899&lt;&gt;""), B899+1, "")</f>
        <v>45980</v>
      </c>
      <c r="C904" s="409"/>
      <c r="D904" s="409"/>
      <c r="E904" s="246" t="s">
        <v>766</v>
      </c>
      <c r="F904" s="202">
        <v>0</v>
      </c>
      <c r="G904" s="203"/>
      <c r="H904" s="203"/>
      <c r="I904" s="263">
        <f t="shared" si="19"/>
        <v>0</v>
      </c>
    </row>
    <row r="905" spans="2:9" ht="15.75" hidden="1" customHeight="1" outlineLevel="1" thickBot="1" x14ac:dyDescent="0.3">
      <c r="B905" s="249">
        <f>IF(AND(F901&lt;&gt;"", B900&lt;&gt;""), B900+1, "")</f>
        <v>45980</v>
      </c>
      <c r="C905" s="416"/>
      <c r="D905" s="416"/>
      <c r="E905" s="250" t="s">
        <v>767</v>
      </c>
      <c r="F905" s="204">
        <v>78</v>
      </c>
      <c r="G905" s="205"/>
      <c r="H905" s="205"/>
      <c r="I905" s="264">
        <f t="shared" si="19"/>
        <v>78</v>
      </c>
    </row>
    <row r="906" spans="2:9" ht="15.75" hidden="1" customHeight="1" outlineLevel="1" thickBot="1" x14ac:dyDescent="0.3">
      <c r="B906" s="241">
        <f>IF(AND(F906&lt;&gt;"", B901&lt;&gt;""), B901+1, "")</f>
        <v>45981</v>
      </c>
      <c r="C906" s="442">
        <v>45981</v>
      </c>
      <c r="D906" s="443">
        <f>D901+1</f>
        <v>45981</v>
      </c>
      <c r="E906" s="246" t="s">
        <v>394</v>
      </c>
      <c r="F906" s="202">
        <v>1686</v>
      </c>
      <c r="G906" s="203">
        <v>344</v>
      </c>
      <c r="H906" s="203"/>
      <c r="I906" s="263">
        <f t="shared" si="19"/>
        <v>2030</v>
      </c>
    </row>
    <row r="907" spans="2:9" ht="15.75" hidden="1" customHeight="1" outlineLevel="1" thickBot="1" x14ac:dyDescent="0.3">
      <c r="B907" s="245">
        <f>IF(AND(F906&lt;&gt;"", B902&lt;&gt;""), B902+1, "")</f>
        <v>45981</v>
      </c>
      <c r="C907" s="409"/>
      <c r="D907" s="409"/>
      <c r="E907" s="246" t="s">
        <v>764</v>
      </c>
      <c r="F907" s="202">
        <v>3918</v>
      </c>
      <c r="G907" s="203">
        <v>1125</v>
      </c>
      <c r="H907" s="203"/>
      <c r="I907" s="263">
        <f t="shared" si="19"/>
        <v>5043</v>
      </c>
    </row>
    <row r="908" spans="2:9" ht="15.75" hidden="1" customHeight="1" outlineLevel="1" thickBot="1" x14ac:dyDescent="0.3">
      <c r="B908" s="245">
        <f>IF(AND(F906&lt;&gt;"", B903&lt;&gt;""), B903+1, "")</f>
        <v>45981</v>
      </c>
      <c r="C908" s="409"/>
      <c r="D908" s="409"/>
      <c r="E908" s="246" t="s">
        <v>765</v>
      </c>
      <c r="F908" s="202">
        <v>4136</v>
      </c>
      <c r="G908" s="203"/>
      <c r="H908" s="203">
        <v>1600</v>
      </c>
      <c r="I908" s="263">
        <f t="shared" si="19"/>
        <v>2536</v>
      </c>
    </row>
    <row r="909" spans="2:9" ht="15.75" hidden="1" customHeight="1" outlineLevel="1" thickBot="1" x14ac:dyDescent="0.3">
      <c r="B909" s="245">
        <f>IF(AND(F906&lt;&gt;"", B904&lt;&gt;""), B904+1, "")</f>
        <v>45981</v>
      </c>
      <c r="C909" s="409"/>
      <c r="D909" s="409"/>
      <c r="E909" s="246" t="s">
        <v>766</v>
      </c>
      <c r="F909" s="202">
        <v>0</v>
      </c>
      <c r="G909" s="203"/>
      <c r="H909" s="203"/>
      <c r="I909" s="263">
        <f t="shared" si="19"/>
        <v>0</v>
      </c>
    </row>
    <row r="910" spans="2:9" ht="15.75" hidden="1" customHeight="1" outlineLevel="1" thickBot="1" x14ac:dyDescent="0.3">
      <c r="B910" s="249">
        <f>IF(AND(F906&lt;&gt;"", B905&lt;&gt;""), B905+1, "")</f>
        <v>45981</v>
      </c>
      <c r="C910" s="416"/>
      <c r="D910" s="416"/>
      <c r="E910" s="250" t="s">
        <v>767</v>
      </c>
      <c r="F910" s="204">
        <v>78</v>
      </c>
      <c r="G910" s="205">
        <v>170</v>
      </c>
      <c r="H910" s="205">
        <v>15</v>
      </c>
      <c r="I910" s="264">
        <f t="shared" si="19"/>
        <v>233</v>
      </c>
    </row>
    <row r="911" spans="2:9" ht="15.75" hidden="1" customHeight="1" outlineLevel="1" thickBot="1" x14ac:dyDescent="0.3">
      <c r="B911" s="241">
        <f>IF(AND(F911&lt;&gt;"", B906&lt;&gt;""), B906+1, "")</f>
        <v>45982</v>
      </c>
      <c r="C911" s="442">
        <v>45982</v>
      </c>
      <c r="D911" s="443">
        <f>D906+1</f>
        <v>45982</v>
      </c>
      <c r="E911" s="246" t="s">
        <v>394</v>
      </c>
      <c r="F911" s="202">
        <v>0</v>
      </c>
      <c r="G911" s="203"/>
      <c r="H911" s="203"/>
      <c r="I911" s="263">
        <f t="shared" si="19"/>
        <v>0</v>
      </c>
    </row>
    <row r="912" spans="2:9" ht="15.75" hidden="1" customHeight="1" outlineLevel="1" thickBot="1" x14ac:dyDescent="0.3">
      <c r="B912" s="245">
        <f>IF(AND(F911&lt;&gt;"", B907&lt;&gt;""), B907+1, "")</f>
        <v>45982</v>
      </c>
      <c r="C912" s="409"/>
      <c r="D912" s="409"/>
      <c r="E912" s="246" t="s">
        <v>764</v>
      </c>
      <c r="F912" s="202">
        <v>0</v>
      </c>
      <c r="G912" s="203"/>
      <c r="H912" s="203"/>
      <c r="I912" s="263">
        <f t="shared" si="19"/>
        <v>0</v>
      </c>
    </row>
    <row r="913" spans="2:9" ht="15.75" hidden="1" customHeight="1" outlineLevel="1" thickBot="1" x14ac:dyDescent="0.3">
      <c r="B913" s="245">
        <f>IF(AND(F911&lt;&gt;"", B908&lt;&gt;""), B908+1, "")</f>
        <v>45982</v>
      </c>
      <c r="C913" s="409"/>
      <c r="D913" s="409"/>
      <c r="E913" s="246" t="s">
        <v>765</v>
      </c>
      <c r="F913" s="202">
        <v>0</v>
      </c>
      <c r="G913" s="203"/>
      <c r="H913" s="203"/>
      <c r="I913" s="263">
        <f t="shared" si="19"/>
        <v>0</v>
      </c>
    </row>
    <row r="914" spans="2:9" ht="15.75" hidden="1" customHeight="1" outlineLevel="1" thickBot="1" x14ac:dyDescent="0.3">
      <c r="B914" s="245">
        <f>IF(AND(F911&lt;&gt;"", B909&lt;&gt;""), B909+1, "")</f>
        <v>45982</v>
      </c>
      <c r="C914" s="409"/>
      <c r="D914" s="409"/>
      <c r="E914" s="246" t="s">
        <v>766</v>
      </c>
      <c r="F914" s="202">
        <v>0</v>
      </c>
      <c r="G914" s="203"/>
      <c r="H914" s="203"/>
      <c r="I914" s="263">
        <f t="shared" si="19"/>
        <v>0</v>
      </c>
    </row>
    <row r="915" spans="2:9" ht="15.75" hidden="1" customHeight="1" outlineLevel="1" thickBot="1" x14ac:dyDescent="0.3">
      <c r="B915" s="249">
        <f>IF(AND(F911&lt;&gt;"", B910&lt;&gt;""), B910+1, "")</f>
        <v>45982</v>
      </c>
      <c r="C915" s="416"/>
      <c r="D915" s="416"/>
      <c r="E915" s="250" t="s">
        <v>767</v>
      </c>
      <c r="F915" s="204">
        <v>0</v>
      </c>
      <c r="G915" s="205"/>
      <c r="H915" s="205"/>
      <c r="I915" s="264">
        <f t="shared" si="19"/>
        <v>0</v>
      </c>
    </row>
    <row r="916" spans="2:9" ht="15.75" hidden="1" customHeight="1" outlineLevel="1" thickBot="1" x14ac:dyDescent="0.3">
      <c r="B916" s="241">
        <f>IF(AND(F916&lt;&gt;"", B911&lt;&gt;""), B911+1, "")</f>
        <v>45983</v>
      </c>
      <c r="C916" s="442">
        <v>45983</v>
      </c>
      <c r="D916" s="443">
        <f>D911+1</f>
        <v>45983</v>
      </c>
      <c r="E916" s="246" t="s">
        <v>394</v>
      </c>
      <c r="F916" s="202">
        <v>2030</v>
      </c>
      <c r="G916" s="203">
        <v>550</v>
      </c>
      <c r="H916" s="203"/>
      <c r="I916" s="263">
        <f t="shared" si="19"/>
        <v>2580</v>
      </c>
    </row>
    <row r="917" spans="2:9" ht="15.75" hidden="1" customHeight="1" outlineLevel="1" thickBot="1" x14ac:dyDescent="0.3">
      <c r="B917" s="245">
        <f>IF(AND(F916&lt;&gt;"", B912&lt;&gt;""), B912+1, "")</f>
        <v>45983</v>
      </c>
      <c r="C917" s="409"/>
      <c r="D917" s="409"/>
      <c r="E917" s="246" t="s">
        <v>764</v>
      </c>
      <c r="F917" s="202">
        <v>5043</v>
      </c>
      <c r="G917" s="203">
        <v>1115</v>
      </c>
      <c r="H917" s="203">
        <v>950</v>
      </c>
      <c r="I917" s="263">
        <f t="shared" si="19"/>
        <v>5208</v>
      </c>
    </row>
    <row r="918" spans="2:9" ht="15.75" hidden="1" customHeight="1" outlineLevel="1" thickBot="1" x14ac:dyDescent="0.3">
      <c r="B918" s="245">
        <f>IF(AND(F916&lt;&gt;"", B913&lt;&gt;""), B913+1, "")</f>
        <v>45983</v>
      </c>
      <c r="C918" s="409"/>
      <c r="D918" s="409"/>
      <c r="E918" s="246" t="s">
        <v>765</v>
      </c>
      <c r="F918" s="202">
        <v>2536</v>
      </c>
      <c r="G918" s="203"/>
      <c r="H918" s="203">
        <v>650</v>
      </c>
      <c r="I918" s="263">
        <f t="shared" si="19"/>
        <v>1886</v>
      </c>
    </row>
    <row r="919" spans="2:9" ht="15.75" hidden="1" customHeight="1" outlineLevel="1" thickBot="1" x14ac:dyDescent="0.3">
      <c r="B919" s="245">
        <f>IF(AND(F916&lt;&gt;"", B914&lt;&gt;""), B914+1, "")</f>
        <v>45983</v>
      </c>
      <c r="C919" s="409"/>
      <c r="D919" s="409"/>
      <c r="E919" s="246" t="s">
        <v>766</v>
      </c>
      <c r="F919" s="202">
        <v>0</v>
      </c>
      <c r="G919" s="203"/>
      <c r="H919" s="203"/>
      <c r="I919" s="263">
        <f t="shared" si="19"/>
        <v>0</v>
      </c>
    </row>
    <row r="920" spans="2:9" ht="15.75" hidden="1" customHeight="1" outlineLevel="1" thickBot="1" x14ac:dyDescent="0.3">
      <c r="B920" s="249">
        <f>IF(AND(F916&lt;&gt;"", B915&lt;&gt;""), B915+1, "")</f>
        <v>45983</v>
      </c>
      <c r="C920" s="416"/>
      <c r="D920" s="416"/>
      <c r="E920" s="250" t="s">
        <v>767</v>
      </c>
      <c r="F920" s="204">
        <v>233</v>
      </c>
      <c r="G920" s="205"/>
      <c r="H920" s="205"/>
      <c r="I920" s="264">
        <f t="shared" si="19"/>
        <v>233</v>
      </c>
    </row>
    <row r="921" spans="2:9" ht="15.75" hidden="1" customHeight="1" outlineLevel="1" thickBot="1" x14ac:dyDescent="0.3">
      <c r="B921" s="241">
        <f>IF(AND(F921&lt;&gt;"", B916&lt;&gt;""), B916+1, "")</f>
        <v>45984</v>
      </c>
      <c r="C921" s="442">
        <v>45984</v>
      </c>
      <c r="D921" s="443">
        <f>D916+1</f>
        <v>45984</v>
      </c>
      <c r="E921" s="246" t="s">
        <v>394</v>
      </c>
      <c r="F921" s="202">
        <v>2580</v>
      </c>
      <c r="G921" s="203">
        <v>510</v>
      </c>
      <c r="H921" s="203"/>
      <c r="I921" s="263">
        <f t="shared" si="19"/>
        <v>3090</v>
      </c>
    </row>
    <row r="922" spans="2:9" ht="15.75" hidden="1" customHeight="1" outlineLevel="1" thickBot="1" x14ac:dyDescent="0.3">
      <c r="B922" s="245">
        <f>IF(AND(F921&lt;&gt;"", B917&lt;&gt;""), B917+1, "")</f>
        <v>45984</v>
      </c>
      <c r="C922" s="409"/>
      <c r="D922" s="409"/>
      <c r="E922" s="246" t="s">
        <v>764</v>
      </c>
      <c r="F922" s="202">
        <v>5208</v>
      </c>
      <c r="G922" s="203">
        <v>1050</v>
      </c>
      <c r="H922" s="203">
        <v>750</v>
      </c>
      <c r="I922" s="263">
        <f t="shared" si="19"/>
        <v>5508</v>
      </c>
    </row>
    <row r="923" spans="2:9" ht="15.75" hidden="1" customHeight="1" outlineLevel="1" thickBot="1" x14ac:dyDescent="0.3">
      <c r="B923" s="245">
        <f>IF(AND(F921&lt;&gt;"", B918&lt;&gt;""), B918+1, "")</f>
        <v>45984</v>
      </c>
      <c r="C923" s="409"/>
      <c r="D923" s="409"/>
      <c r="E923" s="246" t="s">
        <v>765</v>
      </c>
      <c r="F923" s="202">
        <v>1886</v>
      </c>
      <c r="G923" s="203"/>
      <c r="H923" s="203">
        <v>350</v>
      </c>
      <c r="I923" s="263">
        <f t="shared" si="19"/>
        <v>1536</v>
      </c>
    </row>
    <row r="924" spans="2:9" ht="15.75" hidden="1" customHeight="1" outlineLevel="1" thickBot="1" x14ac:dyDescent="0.3">
      <c r="B924" s="245">
        <f>IF(AND(F921&lt;&gt;"", B919&lt;&gt;""), B919+1, "")</f>
        <v>45984</v>
      </c>
      <c r="C924" s="409"/>
      <c r="D924" s="409"/>
      <c r="E924" s="246" t="s">
        <v>766</v>
      </c>
      <c r="F924" s="202">
        <v>0</v>
      </c>
      <c r="G924" s="203"/>
      <c r="H924" s="203"/>
      <c r="I924" s="263">
        <f t="shared" si="19"/>
        <v>0</v>
      </c>
    </row>
    <row r="925" spans="2:9" ht="15.75" hidden="1" customHeight="1" outlineLevel="1" thickBot="1" x14ac:dyDescent="0.3">
      <c r="B925" s="249">
        <f>IF(AND(F921&lt;&gt;"", B920&lt;&gt;""), B920+1, "")</f>
        <v>45984</v>
      </c>
      <c r="C925" s="416"/>
      <c r="D925" s="416"/>
      <c r="E925" s="250" t="s">
        <v>767</v>
      </c>
      <c r="F925" s="204">
        <v>233</v>
      </c>
      <c r="G925" s="205"/>
      <c r="H925" s="205"/>
      <c r="I925" s="264">
        <f t="shared" si="19"/>
        <v>233</v>
      </c>
    </row>
    <row r="926" spans="2:9" ht="15.75" hidden="1" customHeight="1" outlineLevel="1" thickBot="1" x14ac:dyDescent="0.3">
      <c r="B926" s="241">
        <f>IF(AND(F926&lt;&gt;"", B921&lt;&gt;""), B921+1, "")</f>
        <v>45985</v>
      </c>
      <c r="C926" s="442">
        <v>45985</v>
      </c>
      <c r="D926" s="443">
        <f>D921+1</f>
        <v>45985</v>
      </c>
      <c r="E926" s="246" t="s">
        <v>394</v>
      </c>
      <c r="F926" s="202">
        <v>3090</v>
      </c>
      <c r="G926" s="203">
        <f>370+670</f>
        <v>1040</v>
      </c>
      <c r="H926" s="203"/>
      <c r="I926" s="263">
        <f t="shared" si="19"/>
        <v>4130</v>
      </c>
    </row>
    <row r="927" spans="2:9" ht="15.75" hidden="1" customHeight="1" outlineLevel="1" thickBot="1" x14ac:dyDescent="0.3">
      <c r="B927" s="245">
        <f>IF(AND(F926&lt;&gt;"", B922&lt;&gt;""), B922+1, "")</f>
        <v>45985</v>
      </c>
      <c r="C927" s="409"/>
      <c r="D927" s="409"/>
      <c r="E927" s="246" t="s">
        <v>764</v>
      </c>
      <c r="F927" s="202">
        <v>5508</v>
      </c>
      <c r="G927" s="203"/>
      <c r="H927" s="203">
        <v>1600</v>
      </c>
      <c r="I927" s="263">
        <f t="shared" si="19"/>
        <v>3908</v>
      </c>
    </row>
    <row r="928" spans="2:9" ht="15.75" hidden="1" customHeight="1" outlineLevel="1" thickBot="1" x14ac:dyDescent="0.3">
      <c r="B928" s="245">
        <f>IF(AND(F926&lt;&gt;"", B923&lt;&gt;""), B923+1, "")</f>
        <v>45985</v>
      </c>
      <c r="C928" s="409"/>
      <c r="D928" s="409"/>
      <c r="E928" s="246" t="s">
        <v>765</v>
      </c>
      <c r="F928" s="202">
        <v>1536</v>
      </c>
      <c r="G928" s="203">
        <f>100+480</f>
        <v>580</v>
      </c>
      <c r="H928" s="203"/>
      <c r="I928" s="263">
        <f t="shared" si="19"/>
        <v>2116</v>
      </c>
    </row>
    <row r="929" spans="2:9" ht="15.75" hidden="1" customHeight="1" outlineLevel="1" thickBot="1" x14ac:dyDescent="0.3">
      <c r="B929" s="245">
        <f>IF(AND(F926&lt;&gt;"", B924&lt;&gt;""), B924+1, "")</f>
        <v>45985</v>
      </c>
      <c r="C929" s="409"/>
      <c r="D929" s="409"/>
      <c r="E929" s="246" t="s">
        <v>766</v>
      </c>
      <c r="F929" s="202">
        <v>0</v>
      </c>
      <c r="G929" s="203"/>
      <c r="H929" s="203"/>
      <c r="I929" s="263">
        <f t="shared" si="19"/>
        <v>0</v>
      </c>
    </row>
    <row r="930" spans="2:9" ht="15.75" hidden="1" customHeight="1" outlineLevel="1" thickBot="1" x14ac:dyDescent="0.3">
      <c r="B930" s="249">
        <f>IF(AND(F926&lt;&gt;"", B925&lt;&gt;""), B925+1, "")</f>
        <v>45985</v>
      </c>
      <c r="C930" s="416"/>
      <c r="D930" s="416"/>
      <c r="E930" s="250" t="s">
        <v>767</v>
      </c>
      <c r="F930" s="204">
        <v>233</v>
      </c>
      <c r="G930" s="205"/>
      <c r="H930" s="205"/>
      <c r="I930" s="264">
        <f t="shared" si="19"/>
        <v>233</v>
      </c>
    </row>
    <row r="931" spans="2:9" ht="15.75" hidden="1" customHeight="1" outlineLevel="1" thickBot="1" x14ac:dyDescent="0.3">
      <c r="B931" s="241">
        <f>IF(AND(F931&lt;&gt;"", B926&lt;&gt;""), B926+1, "")</f>
        <v>45986</v>
      </c>
      <c r="C931" s="442">
        <v>45986</v>
      </c>
      <c r="D931" s="443">
        <f>D926+1</f>
        <v>45986</v>
      </c>
      <c r="E931" s="246" t="s">
        <v>394</v>
      </c>
      <c r="F931" s="202">
        <v>4130</v>
      </c>
      <c r="G931" s="203">
        <f>430+670</f>
        <v>1100</v>
      </c>
      <c r="H931" s="203"/>
      <c r="I931" s="263">
        <f t="shared" si="19"/>
        <v>5230</v>
      </c>
    </row>
    <row r="932" spans="2:9" ht="15.75" hidden="1" customHeight="1" outlineLevel="1" thickBot="1" x14ac:dyDescent="0.3">
      <c r="B932" s="245">
        <f>IF(AND(F931&lt;&gt;"", B927&lt;&gt;""), B927+1, "")</f>
        <v>45986</v>
      </c>
      <c r="C932" s="409"/>
      <c r="D932" s="409"/>
      <c r="E932" s="246" t="s">
        <v>764</v>
      </c>
      <c r="F932" s="202">
        <v>3908</v>
      </c>
      <c r="G932" s="203"/>
      <c r="H932" s="203">
        <v>1500</v>
      </c>
      <c r="I932" s="263">
        <f t="shared" si="19"/>
        <v>2408</v>
      </c>
    </row>
    <row r="933" spans="2:9" ht="15.75" hidden="1" customHeight="1" outlineLevel="1" thickBot="1" x14ac:dyDescent="0.3">
      <c r="B933" s="245">
        <f>IF(AND(F931&lt;&gt;"", B928&lt;&gt;""), B928+1, "")</f>
        <v>45986</v>
      </c>
      <c r="C933" s="409"/>
      <c r="D933" s="409"/>
      <c r="E933" s="246" t="s">
        <v>765</v>
      </c>
      <c r="F933" s="202">
        <v>2116</v>
      </c>
      <c r="G933" s="203">
        <f>124+480</f>
        <v>604</v>
      </c>
      <c r="H933" s="203"/>
      <c r="I933" s="263">
        <f t="shared" si="19"/>
        <v>2720</v>
      </c>
    </row>
    <row r="934" spans="2:9" ht="15.75" hidden="1" customHeight="1" outlineLevel="1" thickBot="1" x14ac:dyDescent="0.3">
      <c r="B934" s="245">
        <f>IF(AND(F931&lt;&gt;"", B929&lt;&gt;""), B929+1, "")</f>
        <v>45986</v>
      </c>
      <c r="C934" s="409"/>
      <c r="D934" s="409"/>
      <c r="E934" s="246" t="s">
        <v>766</v>
      </c>
      <c r="F934" s="202">
        <v>0</v>
      </c>
      <c r="G934" s="203"/>
      <c r="H934" s="203"/>
      <c r="I934" s="263">
        <f t="shared" si="19"/>
        <v>0</v>
      </c>
    </row>
    <row r="935" spans="2:9" ht="15.75" hidden="1" customHeight="1" outlineLevel="1" thickBot="1" x14ac:dyDescent="0.3">
      <c r="B935" s="249">
        <f>IF(AND(F931&lt;&gt;"", B930&lt;&gt;""), B930+1, "")</f>
        <v>45986</v>
      </c>
      <c r="C935" s="416"/>
      <c r="D935" s="416"/>
      <c r="E935" s="250" t="s">
        <v>767</v>
      </c>
      <c r="F935" s="204">
        <v>233</v>
      </c>
      <c r="G935" s="205"/>
      <c r="H935" s="205"/>
      <c r="I935" s="264">
        <f t="shared" si="19"/>
        <v>233</v>
      </c>
    </row>
    <row r="936" spans="2:9" ht="15.75" hidden="1" customHeight="1" outlineLevel="1" thickBot="1" x14ac:dyDescent="0.3">
      <c r="B936" s="241">
        <f>IF(AND(F936&lt;&gt;"", B931&lt;&gt;""), B931+1, "")</f>
        <v>45987</v>
      </c>
      <c r="C936" s="442">
        <v>45987</v>
      </c>
      <c r="D936" s="443">
        <f>D931+1</f>
        <v>45987</v>
      </c>
      <c r="E936" s="246" t="s">
        <v>394</v>
      </c>
      <c r="F936" s="202">
        <v>5230</v>
      </c>
      <c r="G936" s="203">
        <v>1115</v>
      </c>
      <c r="H936" s="203">
        <v>1050</v>
      </c>
      <c r="I936" s="263">
        <f t="shared" si="19"/>
        <v>5295</v>
      </c>
    </row>
    <row r="937" spans="2:9" ht="15.75" hidden="1" customHeight="1" outlineLevel="1" thickBot="1" x14ac:dyDescent="0.3">
      <c r="B937" s="245">
        <f>IF(AND(F936&lt;&gt;"", B932&lt;&gt;""), B932+1, "")</f>
        <v>45987</v>
      </c>
      <c r="C937" s="409"/>
      <c r="D937" s="409"/>
      <c r="E937" s="246" t="s">
        <v>764</v>
      </c>
      <c r="F937" s="202">
        <v>2408</v>
      </c>
      <c r="G937" s="203"/>
      <c r="H937" s="203">
        <v>450</v>
      </c>
      <c r="I937" s="263">
        <f t="shared" si="19"/>
        <v>1958</v>
      </c>
    </row>
    <row r="938" spans="2:9" ht="15.75" hidden="1" customHeight="1" outlineLevel="1" thickBot="1" x14ac:dyDescent="0.3">
      <c r="B938" s="245">
        <f>IF(AND(F936&lt;&gt;"", B933&lt;&gt;""), B933+1, "")</f>
        <v>45987</v>
      </c>
      <c r="C938" s="409"/>
      <c r="D938" s="409"/>
      <c r="E938" s="246" t="s">
        <v>765</v>
      </c>
      <c r="F938" s="202">
        <v>2720</v>
      </c>
      <c r="G938" s="203">
        <v>660</v>
      </c>
      <c r="H938" s="203"/>
      <c r="I938" s="263">
        <f t="shared" si="19"/>
        <v>3380</v>
      </c>
    </row>
    <row r="939" spans="2:9" ht="15.75" hidden="1" customHeight="1" outlineLevel="1" thickBot="1" x14ac:dyDescent="0.3">
      <c r="B939" s="245">
        <f>IF(AND(F936&lt;&gt;"", B934&lt;&gt;""), B934+1, "")</f>
        <v>45987</v>
      </c>
      <c r="C939" s="409"/>
      <c r="D939" s="409"/>
      <c r="E939" s="246" t="s">
        <v>766</v>
      </c>
      <c r="F939" s="202">
        <v>0</v>
      </c>
      <c r="G939" s="203"/>
      <c r="H939" s="203"/>
      <c r="I939" s="263">
        <f t="shared" si="19"/>
        <v>0</v>
      </c>
    </row>
    <row r="940" spans="2:9" ht="15.75" hidden="1" customHeight="1" outlineLevel="1" thickBot="1" x14ac:dyDescent="0.3">
      <c r="B940" s="249">
        <f>IF(AND(F936&lt;&gt;"", B935&lt;&gt;""), B935+1, "")</f>
        <v>45987</v>
      </c>
      <c r="C940" s="416"/>
      <c r="D940" s="416"/>
      <c r="E940" s="250" t="s">
        <v>767</v>
      </c>
      <c r="F940" s="204">
        <v>233</v>
      </c>
      <c r="G940" s="205"/>
      <c r="H940" s="205"/>
      <c r="I940" s="264">
        <f t="shared" si="19"/>
        <v>233</v>
      </c>
    </row>
    <row r="941" spans="2:9" ht="15.75" hidden="1" customHeight="1" outlineLevel="1" thickBot="1" x14ac:dyDescent="0.3">
      <c r="B941" s="241">
        <f>IF(AND(F941&lt;&gt;"", B936&lt;&gt;""), B936+1, "")</f>
        <v>45988</v>
      </c>
      <c r="C941" s="442">
        <v>45988</v>
      </c>
      <c r="D941" s="443">
        <f>D936+1</f>
        <v>45988</v>
      </c>
      <c r="E941" s="246" t="s">
        <v>394</v>
      </c>
      <c r="F941" s="202">
        <v>5295</v>
      </c>
      <c r="G941" s="203">
        <v>1100</v>
      </c>
      <c r="H941" s="203">
        <v>1600</v>
      </c>
      <c r="I941" s="263">
        <f t="shared" si="19"/>
        <v>4795</v>
      </c>
    </row>
    <row r="942" spans="2:9" ht="15.75" hidden="1" customHeight="1" outlineLevel="1" thickBot="1" x14ac:dyDescent="0.3">
      <c r="B942" s="245">
        <f>IF(AND(F941&lt;&gt;"", B937&lt;&gt;""), B937+1, "")</f>
        <v>45988</v>
      </c>
      <c r="C942" s="409"/>
      <c r="D942" s="409"/>
      <c r="E942" s="246" t="s">
        <v>764</v>
      </c>
      <c r="F942" s="202">
        <v>1975</v>
      </c>
      <c r="G942" s="203"/>
      <c r="H942" s="203"/>
      <c r="I942" s="263">
        <f t="shared" si="19"/>
        <v>1975</v>
      </c>
    </row>
    <row r="943" spans="2:9" ht="15.75" hidden="1" customHeight="1" outlineLevel="1" thickBot="1" x14ac:dyDescent="0.3">
      <c r="B943" s="245">
        <f>IF(AND(F941&lt;&gt;"", B938&lt;&gt;""), B938+1, "")</f>
        <v>45988</v>
      </c>
      <c r="C943" s="409"/>
      <c r="D943" s="409"/>
      <c r="E943" s="246" t="s">
        <v>765</v>
      </c>
      <c r="F943" s="202">
        <v>3380</v>
      </c>
      <c r="G943" s="203">
        <v>670</v>
      </c>
      <c r="H943" s="203"/>
      <c r="I943" s="263">
        <f t="shared" si="19"/>
        <v>4050</v>
      </c>
    </row>
    <row r="944" spans="2:9" ht="15.75" hidden="1" customHeight="1" outlineLevel="1" thickBot="1" x14ac:dyDescent="0.3">
      <c r="B944" s="245">
        <f>IF(AND(F941&lt;&gt;"", B939&lt;&gt;""), B939+1, "")</f>
        <v>45988</v>
      </c>
      <c r="C944" s="409"/>
      <c r="D944" s="409"/>
      <c r="E944" s="246" t="s">
        <v>766</v>
      </c>
      <c r="F944" s="202">
        <v>0</v>
      </c>
      <c r="G944" s="203"/>
      <c r="H944" s="203"/>
      <c r="I944" s="263">
        <f t="shared" si="19"/>
        <v>0</v>
      </c>
    </row>
    <row r="945" spans="2:9" ht="15.75" hidden="1" customHeight="1" outlineLevel="1" thickBot="1" x14ac:dyDescent="0.3">
      <c r="B945" s="249">
        <f>IF(AND(F941&lt;&gt;"", B940&lt;&gt;""), B940+1, "")</f>
        <v>45988</v>
      </c>
      <c r="C945" s="416"/>
      <c r="D945" s="416"/>
      <c r="E945" s="250" t="s">
        <v>767</v>
      </c>
      <c r="F945" s="204">
        <v>233</v>
      </c>
      <c r="G945" s="205"/>
      <c r="H945" s="205"/>
      <c r="I945" s="264">
        <f t="shared" si="19"/>
        <v>233</v>
      </c>
    </row>
    <row r="946" spans="2:9" ht="15.75" hidden="1" customHeight="1" outlineLevel="1" thickBot="1" x14ac:dyDescent="0.3">
      <c r="B946" s="241">
        <f>IF(AND(F946&lt;&gt;"", B941&lt;&gt;""), B941+1, "")</f>
        <v>45989</v>
      </c>
      <c r="C946" s="442">
        <v>45989</v>
      </c>
      <c r="D946" s="443">
        <f>D941+1</f>
        <v>45989</v>
      </c>
      <c r="E946" s="246" t="s">
        <v>394</v>
      </c>
      <c r="F946" s="202">
        <v>4795</v>
      </c>
      <c r="G946" s="203">
        <v>1085</v>
      </c>
      <c r="H946" s="203">
        <v>1300</v>
      </c>
      <c r="I946" s="263">
        <f t="shared" si="19"/>
        <v>4580</v>
      </c>
    </row>
    <row r="947" spans="2:9" ht="15.75" hidden="1" customHeight="1" outlineLevel="1" thickBot="1" x14ac:dyDescent="0.3">
      <c r="B947" s="245">
        <f>IF(AND(F946&lt;&gt;"", B942&lt;&gt;""), B942+1, "")</f>
        <v>45989</v>
      </c>
      <c r="C947" s="409"/>
      <c r="D947" s="409"/>
      <c r="E947" s="246" t="s">
        <v>764</v>
      </c>
      <c r="F947" s="202">
        <v>1975</v>
      </c>
      <c r="G947" s="203"/>
      <c r="H947" s="203"/>
      <c r="I947" s="263">
        <f t="shared" si="19"/>
        <v>1975</v>
      </c>
    </row>
    <row r="948" spans="2:9" ht="15.75" hidden="1" customHeight="1" outlineLevel="1" thickBot="1" x14ac:dyDescent="0.3">
      <c r="B948" s="245">
        <f>IF(AND(F946&lt;&gt;"", B943&lt;&gt;""), B943+1, "")</f>
        <v>45989</v>
      </c>
      <c r="C948" s="409"/>
      <c r="D948" s="409"/>
      <c r="E948" s="246" t="s">
        <v>765</v>
      </c>
      <c r="F948" s="202">
        <v>4050</v>
      </c>
      <c r="G948" s="203">
        <v>655</v>
      </c>
      <c r="H948" s="203"/>
      <c r="I948" s="263">
        <f t="shared" si="19"/>
        <v>4705</v>
      </c>
    </row>
    <row r="949" spans="2:9" ht="15.75" hidden="1" customHeight="1" outlineLevel="1" thickBot="1" x14ac:dyDescent="0.3">
      <c r="B949" s="245">
        <f>IF(AND(F946&lt;&gt;"", B944&lt;&gt;""), B944+1, "")</f>
        <v>45989</v>
      </c>
      <c r="C949" s="409"/>
      <c r="D949" s="409"/>
      <c r="E949" s="246" t="s">
        <v>766</v>
      </c>
      <c r="F949" s="202">
        <v>0</v>
      </c>
      <c r="G949" s="203"/>
      <c r="H949" s="203"/>
      <c r="I949" s="263">
        <f t="shared" si="19"/>
        <v>0</v>
      </c>
    </row>
    <row r="950" spans="2:9" ht="15.75" hidden="1" customHeight="1" outlineLevel="1" thickBot="1" x14ac:dyDescent="0.3">
      <c r="B950" s="249">
        <f>IF(AND(F946&lt;&gt;"", B945&lt;&gt;""), B945+1, "")</f>
        <v>45989</v>
      </c>
      <c r="C950" s="416"/>
      <c r="D950" s="416"/>
      <c r="E950" s="250" t="s">
        <v>767</v>
      </c>
      <c r="F950" s="204">
        <v>233</v>
      </c>
      <c r="G950" s="205"/>
      <c r="H950" s="205"/>
      <c r="I950" s="264">
        <f t="shared" si="19"/>
        <v>233</v>
      </c>
    </row>
    <row r="951" spans="2:9" ht="15.75" hidden="1" customHeight="1" outlineLevel="1" thickBot="1" x14ac:dyDescent="0.3">
      <c r="B951" s="241">
        <f>IF(AND(F951&lt;&gt;"", B946&lt;&gt;""), B946+1, "")</f>
        <v>45990</v>
      </c>
      <c r="C951" s="442">
        <v>45990</v>
      </c>
      <c r="D951" s="443">
        <f>D946+1</f>
        <v>45990</v>
      </c>
      <c r="E951" s="246" t="s">
        <v>394</v>
      </c>
      <c r="F951" s="202">
        <v>4580</v>
      </c>
      <c r="G951" s="203">
        <v>665</v>
      </c>
      <c r="H951" s="203">
        <v>1250</v>
      </c>
      <c r="I951" s="263">
        <f t="shared" ref="I951:I1014" si="20">F951+G951-H951</f>
        <v>3995</v>
      </c>
    </row>
    <row r="952" spans="2:9" ht="15.75" hidden="1" customHeight="1" outlineLevel="1" thickBot="1" x14ac:dyDescent="0.3">
      <c r="B952" s="245">
        <f>IF(AND(F951&lt;&gt;"", B947&lt;&gt;""), B947+1, "")</f>
        <v>45990</v>
      </c>
      <c r="C952" s="409"/>
      <c r="D952" s="409"/>
      <c r="E952" s="246" t="s">
        <v>764</v>
      </c>
      <c r="F952" s="202">
        <v>1975</v>
      </c>
      <c r="G952" s="203"/>
      <c r="H952" s="203"/>
      <c r="I952" s="263">
        <f t="shared" si="20"/>
        <v>1975</v>
      </c>
    </row>
    <row r="953" spans="2:9" ht="15.75" hidden="1" customHeight="1" outlineLevel="1" thickBot="1" x14ac:dyDescent="0.3">
      <c r="B953" s="245">
        <f>IF(AND(F951&lt;&gt;"", B948&lt;&gt;""), B948+1, "")</f>
        <v>45990</v>
      </c>
      <c r="C953" s="409"/>
      <c r="D953" s="409"/>
      <c r="E953" s="246" t="s">
        <v>765</v>
      </c>
      <c r="F953" s="202">
        <v>4705</v>
      </c>
      <c r="G953" s="203">
        <v>480</v>
      </c>
      <c r="H953" s="203"/>
      <c r="I953" s="263">
        <f t="shared" si="20"/>
        <v>5185</v>
      </c>
    </row>
    <row r="954" spans="2:9" ht="15.75" hidden="1" customHeight="1" outlineLevel="1" thickBot="1" x14ac:dyDescent="0.3">
      <c r="B954" s="245">
        <f>IF(AND(F951&lt;&gt;"", B949&lt;&gt;""), B949+1, "")</f>
        <v>45990</v>
      </c>
      <c r="C954" s="409"/>
      <c r="D954" s="409"/>
      <c r="E954" s="246" t="s">
        <v>766</v>
      </c>
      <c r="F954" s="202">
        <v>0</v>
      </c>
      <c r="G954" s="203"/>
      <c r="H954" s="203"/>
      <c r="I954" s="263">
        <f t="shared" si="20"/>
        <v>0</v>
      </c>
    </row>
    <row r="955" spans="2:9" ht="15.75" hidden="1" customHeight="1" outlineLevel="1" thickBot="1" x14ac:dyDescent="0.3">
      <c r="B955" s="249">
        <f>IF(AND(F951&lt;&gt;"", B950&lt;&gt;""), B950+1, "")</f>
        <v>45990</v>
      </c>
      <c r="C955" s="416"/>
      <c r="D955" s="416"/>
      <c r="E955" s="250" t="s">
        <v>767</v>
      </c>
      <c r="F955" s="204">
        <v>233</v>
      </c>
      <c r="G955" s="205"/>
      <c r="H955" s="205"/>
      <c r="I955" s="264">
        <f t="shared" si="20"/>
        <v>233</v>
      </c>
    </row>
    <row r="956" spans="2:9" ht="15.75" hidden="1" customHeight="1" outlineLevel="1" thickBot="1" x14ac:dyDescent="0.3">
      <c r="B956" s="241">
        <f>IF(AND(F956&lt;&gt;"", B951&lt;&gt;""), B951+1, "")</f>
        <v>45991</v>
      </c>
      <c r="C956" s="442">
        <v>45991</v>
      </c>
      <c r="D956" s="443">
        <f>D951+1</f>
        <v>45991</v>
      </c>
      <c r="E956" s="246" t="s">
        <v>394</v>
      </c>
      <c r="F956" s="202">
        <v>3995</v>
      </c>
      <c r="G956" s="203">
        <v>1110</v>
      </c>
      <c r="H956" s="203">
        <v>1600</v>
      </c>
      <c r="I956" s="263">
        <f t="shared" si="20"/>
        <v>3505</v>
      </c>
    </row>
    <row r="957" spans="2:9" ht="15.75" hidden="1" customHeight="1" outlineLevel="1" thickBot="1" x14ac:dyDescent="0.3">
      <c r="B957" s="245">
        <f>IF(AND(F956&lt;&gt;"", B952&lt;&gt;""), B952+1, "")</f>
        <v>45991</v>
      </c>
      <c r="C957" s="409"/>
      <c r="D957" s="409"/>
      <c r="E957" s="246" t="s">
        <v>764</v>
      </c>
      <c r="F957" s="202">
        <v>1975</v>
      </c>
      <c r="G957" s="203"/>
      <c r="H957" s="203"/>
      <c r="I957" s="263">
        <f t="shared" si="20"/>
        <v>1975</v>
      </c>
    </row>
    <row r="958" spans="2:9" ht="15.75" hidden="1" customHeight="1" outlineLevel="1" thickBot="1" x14ac:dyDescent="0.3">
      <c r="B958" s="245">
        <f>IF(AND(F956&lt;&gt;"", B953&lt;&gt;""), B953+1, "")</f>
        <v>45991</v>
      </c>
      <c r="C958" s="409"/>
      <c r="D958" s="409"/>
      <c r="E958" s="246" t="s">
        <v>765</v>
      </c>
      <c r="F958" s="202">
        <v>5185</v>
      </c>
      <c r="G958" s="203">
        <v>675</v>
      </c>
      <c r="H958" s="203"/>
      <c r="I958" s="263">
        <f t="shared" si="20"/>
        <v>5860</v>
      </c>
    </row>
    <row r="959" spans="2:9" ht="15.75" hidden="1" customHeight="1" outlineLevel="1" thickBot="1" x14ac:dyDescent="0.3">
      <c r="B959" s="245">
        <f>IF(AND(F956&lt;&gt;"", B954&lt;&gt;""), B954+1, "")</f>
        <v>45991</v>
      </c>
      <c r="C959" s="409"/>
      <c r="D959" s="409"/>
      <c r="E959" s="246" t="s">
        <v>766</v>
      </c>
      <c r="F959" s="202">
        <v>0</v>
      </c>
      <c r="G959" s="203"/>
      <c r="H959" s="203"/>
      <c r="I959" s="263">
        <f t="shared" si="20"/>
        <v>0</v>
      </c>
    </row>
    <row r="960" spans="2:9" ht="15.75" hidden="1" customHeight="1" outlineLevel="1" thickBot="1" x14ac:dyDescent="0.3">
      <c r="B960" s="249">
        <f>IF(AND(F956&lt;&gt;"", B955&lt;&gt;""), B955+1, "")</f>
        <v>45991</v>
      </c>
      <c r="C960" s="416"/>
      <c r="D960" s="416"/>
      <c r="E960" s="250" t="s">
        <v>767</v>
      </c>
      <c r="F960" s="204">
        <v>233</v>
      </c>
      <c r="G960" s="205"/>
      <c r="H960" s="205"/>
      <c r="I960" s="264">
        <f t="shared" si="20"/>
        <v>233</v>
      </c>
    </row>
    <row r="961" spans="2:9" ht="15.75" hidden="1" customHeight="1" outlineLevel="1" thickBot="1" x14ac:dyDescent="0.3">
      <c r="B961" s="241">
        <f>IF(AND(F961&lt;&gt;"", B956&lt;&gt;""), B956+1, "")</f>
        <v>45992</v>
      </c>
      <c r="C961" s="442">
        <v>45992</v>
      </c>
      <c r="D961" s="443">
        <f>D956+1</f>
        <v>45992</v>
      </c>
      <c r="E961" s="246" t="s">
        <v>394</v>
      </c>
      <c r="F961" s="202">
        <v>3505</v>
      </c>
      <c r="G961" s="203">
        <v>1105</v>
      </c>
      <c r="H961" s="203">
        <v>1600</v>
      </c>
      <c r="I961" s="263">
        <f t="shared" si="20"/>
        <v>3010</v>
      </c>
    </row>
    <row r="962" spans="2:9" ht="15.75" hidden="1" customHeight="1" outlineLevel="1" thickBot="1" x14ac:dyDescent="0.3">
      <c r="B962" s="245">
        <f>IF(AND(F961&lt;&gt;"", B957&lt;&gt;""), B957+1, "")</f>
        <v>45992</v>
      </c>
      <c r="C962" s="409"/>
      <c r="D962" s="409"/>
      <c r="E962" s="246" t="s">
        <v>764</v>
      </c>
      <c r="F962" s="202">
        <v>1975</v>
      </c>
      <c r="G962" s="203"/>
      <c r="H962" s="203"/>
      <c r="I962" s="263">
        <f t="shared" si="20"/>
        <v>1975</v>
      </c>
    </row>
    <row r="963" spans="2:9" ht="15.75" hidden="1" customHeight="1" outlineLevel="1" thickBot="1" x14ac:dyDescent="0.3">
      <c r="B963" s="245">
        <f>IF(AND(F961&lt;&gt;"", B958&lt;&gt;""), B958+1, "")</f>
        <v>45992</v>
      </c>
      <c r="C963" s="409"/>
      <c r="D963" s="409"/>
      <c r="E963" s="246" t="s">
        <v>765</v>
      </c>
      <c r="F963" s="202">
        <v>5850</v>
      </c>
      <c r="G963" s="203">
        <v>330</v>
      </c>
      <c r="H963" s="203"/>
      <c r="I963" s="263">
        <f t="shared" si="20"/>
        <v>6180</v>
      </c>
    </row>
    <row r="964" spans="2:9" ht="15.75" hidden="1" customHeight="1" outlineLevel="1" thickBot="1" x14ac:dyDescent="0.3">
      <c r="B964" s="245">
        <f>IF(AND(F961&lt;&gt;"", B959&lt;&gt;""), B959+1, "")</f>
        <v>45992</v>
      </c>
      <c r="C964" s="409"/>
      <c r="D964" s="409"/>
      <c r="E964" s="246" t="s">
        <v>766</v>
      </c>
      <c r="F964" s="202">
        <v>0</v>
      </c>
      <c r="G964" s="203"/>
      <c r="H964" s="203"/>
      <c r="I964" s="263">
        <f t="shared" si="20"/>
        <v>0</v>
      </c>
    </row>
    <row r="965" spans="2:9" ht="15.75" hidden="1" customHeight="1" outlineLevel="1" thickBot="1" x14ac:dyDescent="0.3">
      <c r="B965" s="249">
        <f>IF(AND(F961&lt;&gt;"", B960&lt;&gt;""), B960+1, "")</f>
        <v>45992</v>
      </c>
      <c r="C965" s="416"/>
      <c r="D965" s="416"/>
      <c r="E965" s="250" t="s">
        <v>767</v>
      </c>
      <c r="F965" s="204">
        <v>233</v>
      </c>
      <c r="G965" s="205"/>
      <c r="H965" s="205"/>
      <c r="I965" s="264">
        <f t="shared" si="20"/>
        <v>233</v>
      </c>
    </row>
    <row r="966" spans="2:9" ht="15.75" hidden="1" customHeight="1" outlineLevel="1" thickBot="1" x14ac:dyDescent="0.3">
      <c r="B966" s="241">
        <f>IF(AND(F966&lt;&gt;"", B961&lt;&gt;""), B961+1, "")</f>
        <v>45993</v>
      </c>
      <c r="C966" s="442">
        <v>45993</v>
      </c>
      <c r="D966" s="443">
        <f>D961+1</f>
        <v>45993</v>
      </c>
      <c r="E966" s="246" t="s">
        <v>394</v>
      </c>
      <c r="F966" s="202">
        <v>3010</v>
      </c>
      <c r="G966" s="203">
        <v>920</v>
      </c>
      <c r="H966" s="203">
        <v>1900</v>
      </c>
      <c r="I966" s="263">
        <f t="shared" si="20"/>
        <v>2030</v>
      </c>
    </row>
    <row r="967" spans="2:9" ht="15.75" hidden="1" customHeight="1" outlineLevel="1" thickBot="1" x14ac:dyDescent="0.3">
      <c r="B967" s="245">
        <f>IF(AND(F966&lt;&gt;"", B962&lt;&gt;""), B962+1, "")</f>
        <v>45993</v>
      </c>
      <c r="C967" s="409"/>
      <c r="D967" s="409"/>
      <c r="E967" s="246" t="s">
        <v>764</v>
      </c>
      <c r="F967" s="202">
        <v>1975</v>
      </c>
      <c r="G967" s="203"/>
      <c r="H967" s="203"/>
      <c r="I967" s="263">
        <f t="shared" si="20"/>
        <v>1975</v>
      </c>
    </row>
    <row r="968" spans="2:9" ht="15.75" hidden="1" customHeight="1" outlineLevel="1" thickBot="1" x14ac:dyDescent="0.3">
      <c r="B968" s="245">
        <f>IF(AND(F966&lt;&gt;"", B963&lt;&gt;""), B963+1, "")</f>
        <v>45993</v>
      </c>
      <c r="C968" s="409"/>
      <c r="D968" s="409"/>
      <c r="E968" s="246" t="s">
        <v>765</v>
      </c>
      <c r="F968" s="202">
        <v>6180</v>
      </c>
      <c r="G968" s="203"/>
      <c r="H968" s="203"/>
      <c r="I968" s="263">
        <f t="shared" si="20"/>
        <v>6180</v>
      </c>
    </row>
    <row r="969" spans="2:9" ht="15.75" hidden="1" customHeight="1" outlineLevel="1" thickBot="1" x14ac:dyDescent="0.3">
      <c r="B969" s="245">
        <f>IF(AND(F966&lt;&gt;"", B964&lt;&gt;""), B964+1, "")</f>
        <v>45993</v>
      </c>
      <c r="C969" s="409"/>
      <c r="D969" s="409"/>
      <c r="E969" s="246" t="s">
        <v>766</v>
      </c>
      <c r="F969" s="202">
        <v>0</v>
      </c>
      <c r="G969" s="203"/>
      <c r="H969" s="203"/>
      <c r="I969" s="263">
        <f t="shared" si="20"/>
        <v>0</v>
      </c>
    </row>
    <row r="970" spans="2:9" ht="15.75" hidden="1" customHeight="1" outlineLevel="1" thickBot="1" x14ac:dyDescent="0.3">
      <c r="B970" s="249">
        <f>IF(AND(F966&lt;&gt;"", B965&lt;&gt;""), B965+1, "")</f>
        <v>45993</v>
      </c>
      <c r="C970" s="416"/>
      <c r="D970" s="416"/>
      <c r="E970" s="250" t="s">
        <v>767</v>
      </c>
      <c r="F970" s="204">
        <v>233</v>
      </c>
      <c r="G970" s="205"/>
      <c r="H970" s="205"/>
      <c r="I970" s="264">
        <f t="shared" si="20"/>
        <v>233</v>
      </c>
    </row>
    <row r="971" spans="2:9" ht="15.75" hidden="1" customHeight="1" outlineLevel="1" thickBot="1" x14ac:dyDescent="0.3">
      <c r="B971" s="241">
        <f>IF(AND(F971&lt;&gt;"", B966&lt;&gt;""), B966+1, "")</f>
        <v>45994</v>
      </c>
      <c r="C971" s="442">
        <v>45994</v>
      </c>
      <c r="D971" s="443">
        <f>D966+1</f>
        <v>45994</v>
      </c>
      <c r="E971" s="246" t="s">
        <v>394</v>
      </c>
      <c r="F971" s="202">
        <v>2030</v>
      </c>
      <c r="G971" s="203">
        <v>925</v>
      </c>
      <c r="H971" s="203">
        <v>700</v>
      </c>
      <c r="I971" s="263">
        <f t="shared" si="20"/>
        <v>2255</v>
      </c>
    </row>
    <row r="972" spans="2:9" ht="15.75" hidden="1" customHeight="1" outlineLevel="1" thickBot="1" x14ac:dyDescent="0.3">
      <c r="B972" s="245">
        <f>IF(AND(F971&lt;&gt;"", B967&lt;&gt;""), B967+1, "")</f>
        <v>45994</v>
      </c>
      <c r="C972" s="409"/>
      <c r="D972" s="409"/>
      <c r="E972" s="246" t="s">
        <v>764</v>
      </c>
      <c r="F972" s="202">
        <v>1975</v>
      </c>
      <c r="G972" s="203"/>
      <c r="H972" s="203"/>
      <c r="I972" s="263">
        <f t="shared" si="20"/>
        <v>1975</v>
      </c>
    </row>
    <row r="973" spans="2:9" ht="15.75" hidden="1" customHeight="1" outlineLevel="1" thickBot="1" x14ac:dyDescent="0.3">
      <c r="B973" s="245">
        <f>IF(AND(F971&lt;&gt;"", B968&lt;&gt;""), B968+1, "")</f>
        <v>45994</v>
      </c>
      <c r="C973" s="409"/>
      <c r="D973" s="409"/>
      <c r="E973" s="246" t="s">
        <v>765</v>
      </c>
      <c r="F973" s="202">
        <v>6180</v>
      </c>
      <c r="G973" s="203"/>
      <c r="H973" s="203">
        <v>800</v>
      </c>
      <c r="I973" s="263">
        <f t="shared" si="20"/>
        <v>5380</v>
      </c>
    </row>
    <row r="974" spans="2:9" ht="15.75" hidden="1" customHeight="1" outlineLevel="1" thickBot="1" x14ac:dyDescent="0.3">
      <c r="B974" s="245">
        <f>IF(AND(F971&lt;&gt;"", B969&lt;&gt;""), B969+1, "")</f>
        <v>45994</v>
      </c>
      <c r="C974" s="409"/>
      <c r="D974" s="409"/>
      <c r="E974" s="246" t="s">
        <v>766</v>
      </c>
      <c r="F974" s="202">
        <v>0</v>
      </c>
      <c r="G974" s="203"/>
      <c r="H974" s="203"/>
      <c r="I974" s="263">
        <f t="shared" si="20"/>
        <v>0</v>
      </c>
    </row>
    <row r="975" spans="2:9" ht="15.75" hidden="1" customHeight="1" outlineLevel="1" thickBot="1" x14ac:dyDescent="0.3">
      <c r="B975" s="249">
        <f>IF(AND(F971&lt;&gt;"", B970&lt;&gt;""), B970+1, "")</f>
        <v>45994</v>
      </c>
      <c r="C975" s="416"/>
      <c r="D975" s="416"/>
      <c r="E975" s="250" t="s">
        <v>767</v>
      </c>
      <c r="F975" s="204">
        <v>233</v>
      </c>
      <c r="G975" s="205"/>
      <c r="H975" s="205"/>
      <c r="I975" s="264">
        <f t="shared" si="20"/>
        <v>233</v>
      </c>
    </row>
    <row r="976" spans="2:9" ht="15.75" hidden="1" customHeight="1" outlineLevel="1" thickBot="1" x14ac:dyDescent="0.3">
      <c r="B976" s="241">
        <f>IF(AND(F976&lt;&gt;"", B971&lt;&gt;""), B971+1, "")</f>
        <v>45995</v>
      </c>
      <c r="C976" s="442">
        <v>45995</v>
      </c>
      <c r="D976" s="443">
        <f>D971+1</f>
        <v>45995</v>
      </c>
      <c r="E976" s="246" t="s">
        <v>394</v>
      </c>
      <c r="F976" s="202">
        <v>2255</v>
      </c>
      <c r="G976" s="203">
        <v>870</v>
      </c>
      <c r="H976" s="203">
        <v>800</v>
      </c>
      <c r="I976" s="263">
        <f t="shared" si="20"/>
        <v>2325</v>
      </c>
    </row>
    <row r="977" spans="2:9" ht="15.75" hidden="1" customHeight="1" outlineLevel="1" thickBot="1" x14ac:dyDescent="0.3">
      <c r="B977" s="245">
        <f>IF(AND(F976&lt;&gt;"", B972&lt;&gt;""), B972+1, "")</f>
        <v>45995</v>
      </c>
      <c r="C977" s="409"/>
      <c r="D977" s="409"/>
      <c r="E977" s="246" t="s">
        <v>764</v>
      </c>
      <c r="F977" s="202">
        <v>1975</v>
      </c>
      <c r="G977" s="203"/>
      <c r="H977" s="203"/>
      <c r="I977" s="263">
        <f t="shared" si="20"/>
        <v>1975</v>
      </c>
    </row>
    <row r="978" spans="2:9" ht="15.75" hidden="1" customHeight="1" outlineLevel="1" thickBot="1" x14ac:dyDescent="0.3">
      <c r="B978" s="245">
        <f>IF(AND(F976&lt;&gt;"", B973&lt;&gt;""), B973+1, "")</f>
        <v>45995</v>
      </c>
      <c r="C978" s="409"/>
      <c r="D978" s="409"/>
      <c r="E978" s="246" t="s">
        <v>765</v>
      </c>
      <c r="F978" s="202">
        <v>5380</v>
      </c>
      <c r="G978" s="203"/>
      <c r="H978" s="203">
        <v>820</v>
      </c>
      <c r="I978" s="263">
        <f t="shared" si="20"/>
        <v>4560</v>
      </c>
    </row>
    <row r="979" spans="2:9" ht="15.75" hidden="1" customHeight="1" outlineLevel="1" thickBot="1" x14ac:dyDescent="0.3">
      <c r="B979" s="245">
        <f>IF(AND(F976&lt;&gt;"", B974&lt;&gt;""), B974+1, "")</f>
        <v>45995</v>
      </c>
      <c r="C979" s="409"/>
      <c r="D979" s="409"/>
      <c r="E979" s="246" t="s">
        <v>766</v>
      </c>
      <c r="F979" s="202">
        <v>0</v>
      </c>
      <c r="G979" s="203"/>
      <c r="H979" s="203"/>
      <c r="I979" s="263">
        <f t="shared" si="20"/>
        <v>0</v>
      </c>
    </row>
    <row r="980" spans="2:9" ht="15.75" hidden="1" customHeight="1" outlineLevel="1" thickBot="1" x14ac:dyDescent="0.3">
      <c r="B980" s="249">
        <f>IF(AND(F976&lt;&gt;"", B975&lt;&gt;""), B975+1, "")</f>
        <v>45995</v>
      </c>
      <c r="C980" s="416"/>
      <c r="D980" s="416"/>
      <c r="E980" s="250" t="s">
        <v>767</v>
      </c>
      <c r="F980" s="204">
        <v>233</v>
      </c>
      <c r="G980" s="205"/>
      <c r="H980" s="205"/>
      <c r="I980" s="264">
        <f t="shared" si="20"/>
        <v>233</v>
      </c>
    </row>
    <row r="981" spans="2:9" ht="15.75" hidden="1" customHeight="1" outlineLevel="1" thickBot="1" x14ac:dyDescent="0.3">
      <c r="B981" s="241">
        <f>IF(AND(F981&lt;&gt;"", B976&lt;&gt;""), B976+1, "")</f>
        <v>45996</v>
      </c>
      <c r="C981" s="442">
        <v>45996</v>
      </c>
      <c r="D981" s="443">
        <f>D976+1</f>
        <v>45996</v>
      </c>
      <c r="E981" s="246" t="s">
        <v>394</v>
      </c>
      <c r="F981" s="202">
        <v>2325</v>
      </c>
      <c r="G981" s="203">
        <v>600</v>
      </c>
      <c r="H981" s="203">
        <v>1400</v>
      </c>
      <c r="I981" s="263">
        <f t="shared" si="20"/>
        <v>1525</v>
      </c>
    </row>
    <row r="982" spans="2:9" ht="15.75" hidden="1" customHeight="1" outlineLevel="1" thickBot="1" x14ac:dyDescent="0.3">
      <c r="B982" s="245">
        <f>IF(AND(F981&lt;&gt;"", B977&lt;&gt;""), B977+1, "")</f>
        <v>45996</v>
      </c>
      <c r="C982" s="409"/>
      <c r="D982" s="409"/>
      <c r="E982" s="246" t="s">
        <v>764</v>
      </c>
      <c r="F982" s="202">
        <v>1975</v>
      </c>
      <c r="G982" s="203"/>
      <c r="H982" s="203"/>
      <c r="I982" s="263">
        <f t="shared" si="20"/>
        <v>1975</v>
      </c>
    </row>
    <row r="983" spans="2:9" ht="15.75" hidden="1" customHeight="1" outlineLevel="1" thickBot="1" x14ac:dyDescent="0.3">
      <c r="B983" s="245">
        <f>IF(AND(F981&lt;&gt;"", B978&lt;&gt;""), B978+1, "")</f>
        <v>45996</v>
      </c>
      <c r="C983" s="409"/>
      <c r="D983" s="409"/>
      <c r="E983" s="246" t="s">
        <v>765</v>
      </c>
      <c r="F983" s="202">
        <v>4560</v>
      </c>
      <c r="G983" s="203"/>
      <c r="H983" s="203"/>
      <c r="I983" s="263">
        <f t="shared" si="20"/>
        <v>4560</v>
      </c>
    </row>
    <row r="984" spans="2:9" ht="15.75" hidden="1" customHeight="1" outlineLevel="1" thickBot="1" x14ac:dyDescent="0.3">
      <c r="B984" s="245">
        <f>IF(AND(F981&lt;&gt;"", B979&lt;&gt;""), B979+1, "")</f>
        <v>45996</v>
      </c>
      <c r="C984" s="409"/>
      <c r="D984" s="409"/>
      <c r="E984" s="246" t="s">
        <v>766</v>
      </c>
      <c r="F984" s="202">
        <v>0</v>
      </c>
      <c r="G984" s="203"/>
      <c r="H984" s="203"/>
      <c r="I984" s="263">
        <f t="shared" si="20"/>
        <v>0</v>
      </c>
    </row>
    <row r="985" spans="2:9" ht="15.75" hidden="1" customHeight="1" outlineLevel="1" thickBot="1" x14ac:dyDescent="0.3">
      <c r="B985" s="249">
        <f>IF(AND(F981&lt;&gt;"", B980&lt;&gt;""), B980+1, "")</f>
        <v>45996</v>
      </c>
      <c r="C985" s="416"/>
      <c r="D985" s="416"/>
      <c r="E985" s="250" t="s">
        <v>767</v>
      </c>
      <c r="F985" s="204">
        <v>233</v>
      </c>
      <c r="G985" s="205"/>
      <c r="H985" s="205"/>
      <c r="I985" s="264">
        <f t="shared" si="20"/>
        <v>233</v>
      </c>
    </row>
    <row r="986" spans="2:9" ht="15.75" hidden="1" customHeight="1" outlineLevel="1" thickBot="1" x14ac:dyDescent="0.3">
      <c r="B986" s="241">
        <f>IF(AND(F986&lt;&gt;"", B981&lt;&gt;""), B981+1, "")</f>
        <v>45997</v>
      </c>
      <c r="C986" s="442">
        <v>45997</v>
      </c>
      <c r="D986" s="443">
        <f>D981+1</f>
        <v>45997</v>
      </c>
      <c r="E986" s="246" t="s">
        <v>394</v>
      </c>
      <c r="F986" s="202">
        <v>1525</v>
      </c>
      <c r="G986" s="203">
        <v>900</v>
      </c>
      <c r="H986" s="203">
        <v>1050</v>
      </c>
      <c r="I986" s="263">
        <f t="shared" si="20"/>
        <v>1375</v>
      </c>
    </row>
    <row r="987" spans="2:9" ht="15.75" hidden="1" customHeight="1" outlineLevel="1" thickBot="1" x14ac:dyDescent="0.3">
      <c r="B987" s="245">
        <f>IF(AND(F986&lt;&gt;"", B982&lt;&gt;""), B982+1, "")</f>
        <v>45997</v>
      </c>
      <c r="C987" s="409"/>
      <c r="D987" s="409"/>
      <c r="E987" s="246" t="s">
        <v>764</v>
      </c>
      <c r="F987" s="202">
        <v>1975</v>
      </c>
      <c r="G987" s="203"/>
      <c r="H987" s="203"/>
      <c r="I987" s="263">
        <f t="shared" si="20"/>
        <v>1975</v>
      </c>
    </row>
    <row r="988" spans="2:9" ht="15.75" hidden="1" customHeight="1" outlineLevel="1" thickBot="1" x14ac:dyDescent="0.3">
      <c r="B988" s="245">
        <f>IF(AND(F986&lt;&gt;"", B983&lt;&gt;""), B983+1, "")</f>
        <v>45997</v>
      </c>
      <c r="C988" s="409"/>
      <c r="D988" s="409"/>
      <c r="E988" s="246" t="s">
        <v>765</v>
      </c>
      <c r="F988" s="202">
        <v>4560</v>
      </c>
      <c r="G988" s="203"/>
      <c r="H988" s="203"/>
      <c r="I988" s="263">
        <f t="shared" si="20"/>
        <v>4560</v>
      </c>
    </row>
    <row r="989" spans="2:9" ht="15.75" hidden="1" customHeight="1" outlineLevel="1" thickBot="1" x14ac:dyDescent="0.3">
      <c r="B989" s="245">
        <f>IF(AND(F986&lt;&gt;"", B984&lt;&gt;""), B984+1, "")</f>
        <v>45997</v>
      </c>
      <c r="C989" s="409"/>
      <c r="D989" s="409"/>
      <c r="E989" s="246" t="s">
        <v>766</v>
      </c>
      <c r="F989" s="202">
        <v>0</v>
      </c>
      <c r="G989" s="203"/>
      <c r="H989" s="203"/>
      <c r="I989" s="263">
        <f t="shared" si="20"/>
        <v>0</v>
      </c>
    </row>
    <row r="990" spans="2:9" ht="15.75" hidden="1" customHeight="1" outlineLevel="1" thickBot="1" x14ac:dyDescent="0.3">
      <c r="B990" s="249">
        <f>IF(AND(F986&lt;&gt;"", B985&lt;&gt;""), B985+1, "")</f>
        <v>45997</v>
      </c>
      <c r="C990" s="416"/>
      <c r="D990" s="416"/>
      <c r="E990" s="250" t="s">
        <v>767</v>
      </c>
      <c r="F990" s="204">
        <v>233</v>
      </c>
      <c r="G990" s="205"/>
      <c r="H990" s="205">
        <v>70</v>
      </c>
      <c r="I990" s="264">
        <f t="shared" si="20"/>
        <v>163</v>
      </c>
    </row>
    <row r="991" spans="2:9" ht="15.75" hidden="1" customHeight="1" outlineLevel="1" thickBot="1" x14ac:dyDescent="0.3">
      <c r="B991" s="241">
        <f>IF(AND(F991&lt;&gt;"", B986&lt;&gt;""), B986+1, "")</f>
        <v>45998</v>
      </c>
      <c r="C991" s="442">
        <v>45998</v>
      </c>
      <c r="D991" s="443">
        <f>D986+1</f>
        <v>45998</v>
      </c>
      <c r="E991" s="246" t="s">
        <v>394</v>
      </c>
      <c r="F991" s="202">
        <v>1200</v>
      </c>
      <c r="G991" s="203"/>
      <c r="H991" s="203"/>
      <c r="I991" s="263">
        <f t="shared" si="20"/>
        <v>1200</v>
      </c>
    </row>
    <row r="992" spans="2:9" ht="15.75" hidden="1" customHeight="1" outlineLevel="1" thickBot="1" x14ac:dyDescent="0.3">
      <c r="B992" s="245">
        <f>IF(AND(F991&lt;&gt;"", B987&lt;&gt;""), B987+1, "")</f>
        <v>45998</v>
      </c>
      <c r="C992" s="409"/>
      <c r="D992" s="409"/>
      <c r="E992" s="246" t="s">
        <v>764</v>
      </c>
      <c r="F992" s="202">
        <v>1975</v>
      </c>
      <c r="G992" s="203"/>
      <c r="H992" s="203"/>
      <c r="I992" s="263">
        <f t="shared" si="20"/>
        <v>1975</v>
      </c>
    </row>
    <row r="993" spans="2:9" ht="15.75" hidden="1" customHeight="1" outlineLevel="1" thickBot="1" x14ac:dyDescent="0.3">
      <c r="B993" s="245">
        <f>IF(AND(F991&lt;&gt;"", B988&lt;&gt;""), B988+1, "")</f>
        <v>45998</v>
      </c>
      <c r="C993" s="409"/>
      <c r="D993" s="409"/>
      <c r="E993" s="246" t="s">
        <v>765</v>
      </c>
      <c r="F993" s="202">
        <v>4560</v>
      </c>
      <c r="G993" s="203"/>
      <c r="H993" s="203"/>
      <c r="I993" s="263">
        <f t="shared" si="20"/>
        <v>4560</v>
      </c>
    </row>
    <row r="994" spans="2:9" ht="15.75" hidden="1" customHeight="1" outlineLevel="1" thickBot="1" x14ac:dyDescent="0.3">
      <c r="B994" s="245">
        <f>IF(AND(F991&lt;&gt;"", B989&lt;&gt;""), B989+1, "")</f>
        <v>45998</v>
      </c>
      <c r="C994" s="409"/>
      <c r="D994" s="409"/>
      <c r="E994" s="246" t="s">
        <v>766</v>
      </c>
      <c r="F994" s="202">
        <v>0</v>
      </c>
      <c r="G994" s="203"/>
      <c r="H994" s="203"/>
      <c r="I994" s="263">
        <f t="shared" si="20"/>
        <v>0</v>
      </c>
    </row>
    <row r="995" spans="2:9" ht="15.75" hidden="1" customHeight="1" outlineLevel="1" thickBot="1" x14ac:dyDescent="0.3">
      <c r="B995" s="249">
        <f>IF(AND(F991&lt;&gt;"", B990&lt;&gt;""), B990+1, "")</f>
        <v>45998</v>
      </c>
      <c r="C995" s="416"/>
      <c r="D995" s="416"/>
      <c r="E995" s="250" t="s">
        <v>767</v>
      </c>
      <c r="F995" s="204">
        <v>163</v>
      </c>
      <c r="G995" s="205"/>
      <c r="H995" s="205"/>
      <c r="I995" s="264">
        <f t="shared" si="20"/>
        <v>163</v>
      </c>
    </row>
    <row r="996" spans="2:9" ht="15.75" hidden="1" customHeight="1" outlineLevel="1" thickBot="1" x14ac:dyDescent="0.3">
      <c r="B996" s="241">
        <f>IF(AND(F996&lt;&gt;"", B991&lt;&gt;""), B991+1, "")</f>
        <v>45999</v>
      </c>
      <c r="C996" s="442">
        <v>45999</v>
      </c>
      <c r="D996" s="443">
        <f>D991+1</f>
        <v>45999</v>
      </c>
      <c r="E996" s="246" t="s">
        <v>394</v>
      </c>
      <c r="F996" s="202">
        <v>1142</v>
      </c>
      <c r="G996" s="203">
        <v>1646</v>
      </c>
      <c r="H996" s="203"/>
      <c r="I996" s="263">
        <f t="shared" si="20"/>
        <v>2788</v>
      </c>
    </row>
    <row r="997" spans="2:9" ht="15.75" hidden="1" customHeight="1" outlineLevel="1" thickBot="1" x14ac:dyDescent="0.3">
      <c r="B997" s="245">
        <f>IF(AND(F996&lt;&gt;"", B992&lt;&gt;""), B992+1, "")</f>
        <v>45999</v>
      </c>
      <c r="C997" s="409"/>
      <c r="D997" s="409"/>
      <c r="E997" s="246" t="s">
        <v>764</v>
      </c>
      <c r="F997" s="202">
        <v>1975</v>
      </c>
      <c r="G997" s="203"/>
      <c r="H997" s="203"/>
      <c r="I997" s="263">
        <f t="shared" si="20"/>
        <v>1975</v>
      </c>
    </row>
    <row r="998" spans="2:9" ht="15.75" hidden="1" customHeight="1" outlineLevel="1" thickBot="1" x14ac:dyDescent="0.3">
      <c r="B998" s="245">
        <f>IF(AND(F996&lt;&gt;"", B993&lt;&gt;""), B993+1, "")</f>
        <v>45999</v>
      </c>
      <c r="C998" s="409"/>
      <c r="D998" s="409"/>
      <c r="E998" s="246" t="s">
        <v>765</v>
      </c>
      <c r="F998" s="202">
        <v>4277</v>
      </c>
      <c r="G998" s="203"/>
      <c r="H998" s="203">
        <v>1650</v>
      </c>
      <c r="I998" s="263">
        <f t="shared" si="20"/>
        <v>2627</v>
      </c>
    </row>
    <row r="999" spans="2:9" ht="15.75" hidden="1" customHeight="1" outlineLevel="1" thickBot="1" x14ac:dyDescent="0.3">
      <c r="B999" s="245">
        <f>IF(AND(F996&lt;&gt;"", B994&lt;&gt;""), B994+1, "")</f>
        <v>45999</v>
      </c>
      <c r="C999" s="409"/>
      <c r="D999" s="409"/>
      <c r="E999" s="246" t="s">
        <v>766</v>
      </c>
      <c r="F999" s="202">
        <v>0</v>
      </c>
      <c r="G999" s="203"/>
      <c r="H999" s="203"/>
      <c r="I999" s="263">
        <f t="shared" si="20"/>
        <v>0</v>
      </c>
    </row>
    <row r="1000" spans="2:9" ht="15.75" hidden="1" customHeight="1" outlineLevel="1" thickBot="1" x14ac:dyDescent="0.3">
      <c r="B1000" s="249">
        <f>IF(AND(F996&lt;&gt;"", B995&lt;&gt;""), B995+1, "")</f>
        <v>45999</v>
      </c>
      <c r="C1000" s="416"/>
      <c r="D1000" s="416"/>
      <c r="E1000" s="250" t="s">
        <v>767</v>
      </c>
      <c r="F1000" s="204">
        <v>163</v>
      </c>
      <c r="G1000" s="205"/>
      <c r="H1000" s="205"/>
      <c r="I1000" s="264">
        <f t="shared" si="20"/>
        <v>163</v>
      </c>
    </row>
    <row r="1001" spans="2:9" ht="15.75" hidden="1" customHeight="1" outlineLevel="1" thickBot="1" x14ac:dyDescent="0.3">
      <c r="B1001" s="241">
        <f>IF(AND(F1001&lt;&gt;"", B996&lt;&gt;""), B996+1, "")</f>
        <v>46000</v>
      </c>
      <c r="C1001" s="442">
        <v>46000</v>
      </c>
      <c r="D1001" s="443">
        <f>D996+1</f>
        <v>46000</v>
      </c>
      <c r="E1001" s="246" t="s">
        <v>394</v>
      </c>
      <c r="F1001" s="202">
        <v>2788</v>
      </c>
      <c r="G1001" s="203">
        <v>1670</v>
      </c>
      <c r="H1001" s="203">
        <v>1600</v>
      </c>
      <c r="I1001" s="263">
        <f t="shared" si="20"/>
        <v>2858</v>
      </c>
    </row>
    <row r="1002" spans="2:9" ht="15.75" hidden="1" customHeight="1" outlineLevel="1" thickBot="1" x14ac:dyDescent="0.3">
      <c r="B1002" s="245">
        <f>IF(AND(F1001&lt;&gt;"", B997&lt;&gt;""), B997+1, "")</f>
        <v>46000</v>
      </c>
      <c r="C1002" s="409"/>
      <c r="D1002" s="409"/>
      <c r="E1002" s="246" t="s">
        <v>764</v>
      </c>
      <c r="F1002" s="202">
        <v>1975</v>
      </c>
      <c r="G1002" s="203"/>
      <c r="H1002" s="203"/>
      <c r="I1002" s="263">
        <f t="shared" si="20"/>
        <v>1975</v>
      </c>
    </row>
    <row r="1003" spans="2:9" ht="15.75" hidden="1" customHeight="1" outlineLevel="1" thickBot="1" x14ac:dyDescent="0.3">
      <c r="B1003" s="245">
        <f>IF(AND(F1001&lt;&gt;"", B998&lt;&gt;""), B998+1, "")</f>
        <v>46000</v>
      </c>
      <c r="C1003" s="409"/>
      <c r="D1003" s="409"/>
      <c r="E1003" s="246" t="s">
        <v>765</v>
      </c>
      <c r="F1003" s="202">
        <v>2627</v>
      </c>
      <c r="G1003" s="203"/>
      <c r="H1003" s="203"/>
      <c r="I1003" s="263">
        <f t="shared" si="20"/>
        <v>2627</v>
      </c>
    </row>
    <row r="1004" spans="2:9" ht="15.75" hidden="1" customHeight="1" outlineLevel="1" thickBot="1" x14ac:dyDescent="0.3">
      <c r="B1004" s="245">
        <f>IF(AND(F1001&lt;&gt;"", B999&lt;&gt;""), B999+1, "")</f>
        <v>46000</v>
      </c>
      <c r="C1004" s="409"/>
      <c r="D1004" s="409"/>
      <c r="E1004" s="246" t="s">
        <v>766</v>
      </c>
      <c r="F1004" s="202">
        <v>0</v>
      </c>
      <c r="G1004" s="203"/>
      <c r="H1004" s="203"/>
      <c r="I1004" s="263">
        <f t="shared" si="20"/>
        <v>0</v>
      </c>
    </row>
    <row r="1005" spans="2:9" ht="15.75" hidden="1" customHeight="1" outlineLevel="1" thickBot="1" x14ac:dyDescent="0.3">
      <c r="B1005" s="249">
        <f>IF(AND(F1001&lt;&gt;"", B1000&lt;&gt;""), B1000+1, "")</f>
        <v>46000</v>
      </c>
      <c r="C1005" s="416"/>
      <c r="D1005" s="416"/>
      <c r="E1005" s="250" t="s">
        <v>767</v>
      </c>
      <c r="F1005" s="204">
        <v>163</v>
      </c>
      <c r="G1005" s="205"/>
      <c r="H1005" s="205"/>
      <c r="I1005" s="264">
        <f t="shared" si="20"/>
        <v>163</v>
      </c>
    </row>
    <row r="1006" spans="2:9" ht="15.75" hidden="1" customHeight="1" outlineLevel="1" thickBot="1" x14ac:dyDescent="0.3">
      <c r="B1006" s="241">
        <f>IF(AND(F1006&lt;&gt;"", B1001&lt;&gt;""), B1001+1, "")</f>
        <v>46001</v>
      </c>
      <c r="C1006" s="442">
        <v>46001</v>
      </c>
      <c r="D1006" s="443">
        <f>D1001+1</f>
        <v>46001</v>
      </c>
      <c r="E1006" s="246" t="s">
        <v>394</v>
      </c>
      <c r="F1006" s="202">
        <v>2858</v>
      </c>
      <c r="G1006" s="203">
        <v>1670</v>
      </c>
      <c r="H1006" s="203">
        <v>1800</v>
      </c>
      <c r="I1006" s="263">
        <f t="shared" si="20"/>
        <v>2728</v>
      </c>
    </row>
    <row r="1007" spans="2:9" ht="15.75" hidden="1" customHeight="1" outlineLevel="1" thickBot="1" x14ac:dyDescent="0.3">
      <c r="B1007" s="245">
        <f>IF(AND(F1006&lt;&gt;"", B1002&lt;&gt;""), B1002+1, "")</f>
        <v>46001</v>
      </c>
      <c r="C1007" s="409"/>
      <c r="D1007" s="409"/>
      <c r="E1007" s="246" t="s">
        <v>764</v>
      </c>
      <c r="F1007" s="202">
        <v>1975</v>
      </c>
      <c r="G1007" s="203"/>
      <c r="H1007" s="203"/>
      <c r="I1007" s="263">
        <f t="shared" si="20"/>
        <v>1975</v>
      </c>
    </row>
    <row r="1008" spans="2:9" ht="15.75" hidden="1" customHeight="1" outlineLevel="1" thickBot="1" x14ac:dyDescent="0.3">
      <c r="B1008" s="245">
        <f>IF(AND(F1006&lt;&gt;"", B1003&lt;&gt;""), B1003+1, "")</f>
        <v>46001</v>
      </c>
      <c r="C1008" s="409"/>
      <c r="D1008" s="409"/>
      <c r="E1008" s="246" t="s">
        <v>765</v>
      </c>
      <c r="F1008" s="202">
        <v>2627</v>
      </c>
      <c r="G1008" s="203"/>
      <c r="H1008" s="203"/>
      <c r="I1008" s="263">
        <f t="shared" si="20"/>
        <v>2627</v>
      </c>
    </row>
    <row r="1009" spans="2:9" ht="15.75" hidden="1" customHeight="1" outlineLevel="1" thickBot="1" x14ac:dyDescent="0.3">
      <c r="B1009" s="245">
        <f>IF(AND(F1006&lt;&gt;"", B1004&lt;&gt;""), B1004+1, "")</f>
        <v>46001</v>
      </c>
      <c r="C1009" s="409"/>
      <c r="D1009" s="409"/>
      <c r="E1009" s="246" t="s">
        <v>766</v>
      </c>
      <c r="F1009" s="202">
        <v>0</v>
      </c>
      <c r="G1009" s="203"/>
      <c r="H1009" s="203"/>
      <c r="I1009" s="263">
        <f t="shared" si="20"/>
        <v>0</v>
      </c>
    </row>
    <row r="1010" spans="2:9" ht="15.75" hidden="1" customHeight="1" outlineLevel="1" thickBot="1" x14ac:dyDescent="0.3">
      <c r="B1010" s="249">
        <f>IF(AND(F1006&lt;&gt;"", B1005&lt;&gt;""), B1005+1, "")</f>
        <v>46001</v>
      </c>
      <c r="C1010" s="416"/>
      <c r="D1010" s="416"/>
      <c r="E1010" s="250" t="s">
        <v>767</v>
      </c>
      <c r="F1010" s="204">
        <v>163</v>
      </c>
      <c r="G1010" s="205"/>
      <c r="H1010" s="205"/>
      <c r="I1010" s="264">
        <f t="shared" si="20"/>
        <v>163</v>
      </c>
    </row>
    <row r="1011" spans="2:9" ht="15.75" hidden="1" customHeight="1" outlineLevel="1" thickBot="1" x14ac:dyDescent="0.3">
      <c r="B1011" s="241">
        <f>IF(AND(F1011&lt;&gt;"", B1006&lt;&gt;""), B1006+1, "")</f>
        <v>46002</v>
      </c>
      <c r="C1011" s="442">
        <v>46002</v>
      </c>
      <c r="D1011" s="443">
        <f>D1006+1</f>
        <v>46002</v>
      </c>
      <c r="E1011" s="246" t="s">
        <v>394</v>
      </c>
      <c r="F1011" s="202">
        <v>2728</v>
      </c>
      <c r="G1011" s="203">
        <v>1670</v>
      </c>
      <c r="H1011" s="203">
        <v>1500</v>
      </c>
      <c r="I1011" s="263">
        <f t="shared" si="20"/>
        <v>2898</v>
      </c>
    </row>
    <row r="1012" spans="2:9" ht="15.75" hidden="1" customHeight="1" outlineLevel="1" thickBot="1" x14ac:dyDescent="0.3">
      <c r="B1012" s="245">
        <f>IF(AND(F1011&lt;&gt;"", B1007&lt;&gt;""), B1007+1, "")</f>
        <v>46002</v>
      </c>
      <c r="C1012" s="409"/>
      <c r="D1012" s="409"/>
      <c r="E1012" s="246" t="s">
        <v>764</v>
      </c>
      <c r="F1012" s="202">
        <v>1975</v>
      </c>
      <c r="G1012" s="203"/>
      <c r="H1012" s="203"/>
      <c r="I1012" s="263">
        <f t="shared" si="20"/>
        <v>1975</v>
      </c>
    </row>
    <row r="1013" spans="2:9" ht="15.75" hidden="1" customHeight="1" outlineLevel="1" thickBot="1" x14ac:dyDescent="0.3">
      <c r="B1013" s="245">
        <f>IF(AND(F1011&lt;&gt;"", B1008&lt;&gt;""), B1008+1, "")</f>
        <v>46002</v>
      </c>
      <c r="C1013" s="409"/>
      <c r="D1013" s="409"/>
      <c r="E1013" s="246" t="s">
        <v>765</v>
      </c>
      <c r="F1013" s="202">
        <v>2627</v>
      </c>
      <c r="G1013" s="203"/>
      <c r="H1013" s="203">
        <v>100</v>
      </c>
      <c r="I1013" s="263">
        <f t="shared" si="20"/>
        <v>2527</v>
      </c>
    </row>
    <row r="1014" spans="2:9" ht="15.75" hidden="1" customHeight="1" outlineLevel="1" thickBot="1" x14ac:dyDescent="0.3">
      <c r="B1014" s="245">
        <f>IF(AND(F1011&lt;&gt;"", B1009&lt;&gt;""), B1009+1, "")</f>
        <v>46002</v>
      </c>
      <c r="C1014" s="409"/>
      <c r="D1014" s="409"/>
      <c r="E1014" s="246" t="s">
        <v>766</v>
      </c>
      <c r="F1014" s="202">
        <v>0</v>
      </c>
      <c r="G1014" s="203"/>
      <c r="H1014" s="203"/>
      <c r="I1014" s="263">
        <f t="shared" si="20"/>
        <v>0</v>
      </c>
    </row>
    <row r="1015" spans="2:9" ht="15.75" hidden="1" customHeight="1" outlineLevel="1" thickBot="1" x14ac:dyDescent="0.3">
      <c r="B1015" s="249">
        <f>IF(AND(F1011&lt;&gt;"", B1010&lt;&gt;""), B1010+1, "")</f>
        <v>46002</v>
      </c>
      <c r="C1015" s="416"/>
      <c r="D1015" s="416"/>
      <c r="E1015" s="250" t="s">
        <v>767</v>
      </c>
      <c r="F1015" s="204">
        <v>163</v>
      </c>
      <c r="G1015" s="205"/>
      <c r="H1015" s="205"/>
      <c r="I1015" s="264">
        <f t="shared" ref="I1015:I1078" si="21">F1015+G1015-H1015</f>
        <v>163</v>
      </c>
    </row>
    <row r="1016" spans="2:9" ht="15.75" hidden="1" customHeight="1" outlineLevel="1" thickBot="1" x14ac:dyDescent="0.3">
      <c r="B1016" s="241">
        <f>IF(AND(F1016&lt;&gt;"", B1011&lt;&gt;""), B1011+1, "")</f>
        <v>46003</v>
      </c>
      <c r="C1016" s="442">
        <v>46003</v>
      </c>
      <c r="D1016" s="443">
        <f>D1011+1</f>
        <v>46003</v>
      </c>
      <c r="E1016" s="246" t="s">
        <v>394</v>
      </c>
      <c r="F1016" s="202">
        <v>0</v>
      </c>
      <c r="G1016" s="203"/>
      <c r="H1016" s="203"/>
      <c r="I1016" s="263">
        <f t="shared" si="21"/>
        <v>0</v>
      </c>
    </row>
    <row r="1017" spans="2:9" ht="15.75" hidden="1" customHeight="1" outlineLevel="1" thickBot="1" x14ac:dyDescent="0.3">
      <c r="B1017" s="245">
        <f>IF(AND(F1016&lt;&gt;"", B1012&lt;&gt;""), B1012+1, "")</f>
        <v>46003</v>
      </c>
      <c r="C1017" s="409"/>
      <c r="D1017" s="409"/>
      <c r="E1017" s="246" t="s">
        <v>764</v>
      </c>
      <c r="F1017" s="202">
        <v>0</v>
      </c>
      <c r="G1017" s="203"/>
      <c r="H1017" s="203"/>
      <c r="I1017" s="263">
        <f t="shared" si="21"/>
        <v>0</v>
      </c>
    </row>
    <row r="1018" spans="2:9" ht="15.75" hidden="1" customHeight="1" outlineLevel="1" thickBot="1" x14ac:dyDescent="0.3">
      <c r="B1018" s="245">
        <f>IF(AND(F1016&lt;&gt;"", B1013&lt;&gt;""), B1013+1, "")</f>
        <v>46003</v>
      </c>
      <c r="C1018" s="409"/>
      <c r="D1018" s="409"/>
      <c r="E1018" s="246" t="s">
        <v>765</v>
      </c>
      <c r="F1018" s="202">
        <v>0</v>
      </c>
      <c r="G1018" s="203"/>
      <c r="H1018" s="203"/>
      <c r="I1018" s="263">
        <f t="shared" si="21"/>
        <v>0</v>
      </c>
    </row>
    <row r="1019" spans="2:9" ht="15.75" hidden="1" customHeight="1" outlineLevel="1" thickBot="1" x14ac:dyDescent="0.3">
      <c r="B1019" s="245">
        <f>IF(AND(F1016&lt;&gt;"", B1014&lt;&gt;""), B1014+1, "")</f>
        <v>46003</v>
      </c>
      <c r="C1019" s="409"/>
      <c r="D1019" s="409"/>
      <c r="E1019" s="246" t="s">
        <v>766</v>
      </c>
      <c r="F1019" s="202">
        <v>0</v>
      </c>
      <c r="G1019" s="203"/>
      <c r="H1019" s="203"/>
      <c r="I1019" s="263">
        <f t="shared" si="21"/>
        <v>0</v>
      </c>
    </row>
    <row r="1020" spans="2:9" ht="15.75" hidden="1" customHeight="1" outlineLevel="1" thickBot="1" x14ac:dyDescent="0.3">
      <c r="B1020" s="249">
        <f>IF(AND(F1016&lt;&gt;"", B1015&lt;&gt;""), B1015+1, "")</f>
        <v>46003</v>
      </c>
      <c r="C1020" s="416"/>
      <c r="D1020" s="416"/>
      <c r="E1020" s="250" t="s">
        <v>767</v>
      </c>
      <c r="F1020" s="204">
        <v>0</v>
      </c>
      <c r="G1020" s="205"/>
      <c r="H1020" s="205"/>
      <c r="I1020" s="264">
        <f t="shared" si="21"/>
        <v>0</v>
      </c>
    </row>
    <row r="1021" spans="2:9" ht="15.75" hidden="1" customHeight="1" outlineLevel="1" thickBot="1" x14ac:dyDescent="0.3">
      <c r="B1021" s="241">
        <f>IF(AND(F1021&lt;&gt;"", B1016&lt;&gt;""), B1016+1, "")</f>
        <v>46004</v>
      </c>
      <c r="C1021" s="442">
        <v>46004</v>
      </c>
      <c r="D1021" s="443">
        <f>D1016+1</f>
        <v>46004</v>
      </c>
      <c r="E1021" s="246" t="s">
        <v>394</v>
      </c>
      <c r="F1021" s="202">
        <v>2898</v>
      </c>
      <c r="G1021" s="203">
        <v>1440</v>
      </c>
      <c r="H1021" s="203"/>
      <c r="I1021" s="263">
        <f t="shared" si="21"/>
        <v>4338</v>
      </c>
    </row>
    <row r="1022" spans="2:9" ht="15.75" hidden="1" customHeight="1" outlineLevel="1" thickBot="1" x14ac:dyDescent="0.3">
      <c r="B1022" s="245">
        <f>IF(AND(F1021&lt;&gt;"", B1017&lt;&gt;""), B1017+1, "")</f>
        <v>46004</v>
      </c>
      <c r="C1022" s="409"/>
      <c r="D1022" s="409"/>
      <c r="E1022" s="246" t="s">
        <v>764</v>
      </c>
      <c r="F1022" s="202">
        <v>1975</v>
      </c>
      <c r="G1022" s="203"/>
      <c r="H1022" s="203"/>
      <c r="I1022" s="263">
        <f t="shared" si="21"/>
        <v>1975</v>
      </c>
    </row>
    <row r="1023" spans="2:9" ht="15.75" hidden="1" customHeight="1" outlineLevel="1" thickBot="1" x14ac:dyDescent="0.3">
      <c r="B1023" s="245">
        <f>IF(AND(F1021&lt;&gt;"", B1018&lt;&gt;""), B1018+1, "")</f>
        <v>46004</v>
      </c>
      <c r="C1023" s="409"/>
      <c r="D1023" s="409"/>
      <c r="E1023" s="246" t="s">
        <v>765</v>
      </c>
      <c r="F1023" s="202">
        <v>2527</v>
      </c>
      <c r="G1023" s="203">
        <v>90</v>
      </c>
      <c r="H1023" s="203">
        <v>1300</v>
      </c>
      <c r="I1023" s="263">
        <f t="shared" si="21"/>
        <v>1317</v>
      </c>
    </row>
    <row r="1024" spans="2:9" ht="15.75" hidden="1" customHeight="1" outlineLevel="1" thickBot="1" x14ac:dyDescent="0.3">
      <c r="B1024" s="245">
        <f>IF(AND(F1021&lt;&gt;"", B1019&lt;&gt;""), B1019+1, "")</f>
        <v>46004</v>
      </c>
      <c r="C1024" s="409"/>
      <c r="D1024" s="409"/>
      <c r="E1024" s="246" t="s">
        <v>766</v>
      </c>
      <c r="F1024" s="202">
        <v>0</v>
      </c>
      <c r="G1024" s="203"/>
      <c r="H1024" s="203"/>
      <c r="I1024" s="263">
        <f t="shared" si="21"/>
        <v>0</v>
      </c>
    </row>
    <row r="1025" spans="2:9" ht="15.75" hidden="1" customHeight="1" outlineLevel="1" thickBot="1" x14ac:dyDescent="0.3">
      <c r="B1025" s="249">
        <f>IF(AND(F1021&lt;&gt;"", B1020&lt;&gt;""), B1020+1, "")</f>
        <v>46004</v>
      </c>
      <c r="C1025" s="416"/>
      <c r="D1025" s="416"/>
      <c r="E1025" s="250" t="s">
        <v>767</v>
      </c>
      <c r="F1025" s="204">
        <v>163</v>
      </c>
      <c r="G1025" s="205"/>
      <c r="H1025" s="205">
        <v>70</v>
      </c>
      <c r="I1025" s="264">
        <f t="shared" si="21"/>
        <v>93</v>
      </c>
    </row>
    <row r="1026" spans="2:9" ht="15.75" hidden="1" customHeight="1" outlineLevel="1" thickBot="1" x14ac:dyDescent="0.3">
      <c r="B1026" s="241">
        <f>IF(AND(F1026&lt;&gt;"", B1021&lt;&gt;""), B1021+1, "")</f>
        <v>46005</v>
      </c>
      <c r="C1026" s="442">
        <v>46005</v>
      </c>
      <c r="D1026" s="443">
        <f>D1021+1</f>
        <v>46005</v>
      </c>
      <c r="E1026" s="246" t="s">
        <v>394</v>
      </c>
      <c r="F1026" s="202">
        <v>4338</v>
      </c>
      <c r="G1026" s="203">
        <v>1120</v>
      </c>
      <c r="H1026" s="203">
        <v>200</v>
      </c>
      <c r="I1026" s="263">
        <f t="shared" si="21"/>
        <v>5258</v>
      </c>
    </row>
    <row r="1027" spans="2:9" ht="15.75" hidden="1" customHeight="1" outlineLevel="1" thickBot="1" x14ac:dyDescent="0.3">
      <c r="B1027" s="245">
        <f>IF(AND(F1026&lt;&gt;"", B1022&lt;&gt;""), B1022+1, "")</f>
        <v>46005</v>
      </c>
      <c r="C1027" s="409"/>
      <c r="D1027" s="409"/>
      <c r="E1027" s="246" t="s">
        <v>764</v>
      </c>
      <c r="F1027" s="202">
        <v>1975</v>
      </c>
      <c r="G1027" s="203"/>
      <c r="H1027" s="203"/>
      <c r="I1027" s="263">
        <f t="shared" si="21"/>
        <v>1975</v>
      </c>
    </row>
    <row r="1028" spans="2:9" ht="15.75" hidden="1" customHeight="1" outlineLevel="1" thickBot="1" x14ac:dyDescent="0.3">
      <c r="B1028" s="245">
        <f>IF(AND(F1026&lt;&gt;"", B1023&lt;&gt;""), B1023+1, "")</f>
        <v>46005</v>
      </c>
      <c r="C1028" s="409"/>
      <c r="D1028" s="409"/>
      <c r="E1028" s="246" t="s">
        <v>765</v>
      </c>
      <c r="F1028" s="202">
        <v>1317</v>
      </c>
      <c r="G1028" s="203">
        <v>685</v>
      </c>
      <c r="H1028" s="203">
        <v>1000</v>
      </c>
      <c r="I1028" s="263">
        <f t="shared" si="21"/>
        <v>1002</v>
      </c>
    </row>
    <row r="1029" spans="2:9" ht="15.75" hidden="1" customHeight="1" outlineLevel="1" thickBot="1" x14ac:dyDescent="0.3">
      <c r="B1029" s="245">
        <f>IF(AND(F1026&lt;&gt;"", B1024&lt;&gt;""), B1024+1, "")</f>
        <v>46005</v>
      </c>
      <c r="C1029" s="409"/>
      <c r="D1029" s="409"/>
      <c r="E1029" s="246" t="s">
        <v>766</v>
      </c>
      <c r="F1029" s="202">
        <v>0</v>
      </c>
      <c r="G1029" s="203"/>
      <c r="H1029" s="203"/>
      <c r="I1029" s="263">
        <f t="shared" si="21"/>
        <v>0</v>
      </c>
    </row>
    <row r="1030" spans="2:9" ht="15.75" hidden="1" customHeight="1" outlineLevel="1" thickBot="1" x14ac:dyDescent="0.3">
      <c r="B1030" s="249">
        <f>IF(AND(F1026&lt;&gt;"", B1025&lt;&gt;""), B1025+1, "")</f>
        <v>46005</v>
      </c>
      <c r="C1030" s="416"/>
      <c r="D1030" s="416"/>
      <c r="E1030" s="250" t="s">
        <v>767</v>
      </c>
      <c r="F1030" s="204">
        <v>93</v>
      </c>
      <c r="G1030" s="205"/>
      <c r="H1030" s="205"/>
      <c r="I1030" s="264">
        <f t="shared" si="21"/>
        <v>93</v>
      </c>
    </row>
    <row r="1031" spans="2:9" ht="15.75" hidden="1" customHeight="1" outlineLevel="1" thickBot="1" x14ac:dyDescent="0.3">
      <c r="B1031" s="241">
        <f>IF(AND(F1031&lt;&gt;"", B1026&lt;&gt;""), B1026+1, "")</f>
        <v>46006</v>
      </c>
      <c r="C1031" s="442">
        <v>46006</v>
      </c>
      <c r="D1031" s="443">
        <f>D1026+1</f>
        <v>46006</v>
      </c>
      <c r="E1031" s="246" t="s">
        <v>394</v>
      </c>
      <c r="F1031" s="202">
        <v>5258</v>
      </c>
      <c r="G1031" s="203">
        <v>1120</v>
      </c>
      <c r="H1031" s="203">
        <v>1920</v>
      </c>
      <c r="I1031" s="263">
        <f t="shared" si="21"/>
        <v>4458</v>
      </c>
    </row>
    <row r="1032" spans="2:9" ht="15.75" hidden="1" customHeight="1" outlineLevel="1" thickBot="1" x14ac:dyDescent="0.3">
      <c r="B1032" s="245">
        <f>IF(AND(F1031&lt;&gt;"", B1027&lt;&gt;""), B1027+1, "")</f>
        <v>46006</v>
      </c>
      <c r="C1032" s="409"/>
      <c r="D1032" s="409"/>
      <c r="E1032" s="246" t="s">
        <v>764</v>
      </c>
      <c r="F1032" s="202">
        <v>1975</v>
      </c>
      <c r="G1032" s="203"/>
      <c r="H1032" s="203"/>
      <c r="I1032" s="263">
        <f t="shared" si="21"/>
        <v>1975</v>
      </c>
    </row>
    <row r="1033" spans="2:9" ht="15.75" hidden="1" customHeight="1" outlineLevel="1" thickBot="1" x14ac:dyDescent="0.3">
      <c r="B1033" s="245">
        <f>IF(AND(F1031&lt;&gt;"", B1028&lt;&gt;""), B1028+1, "")</f>
        <v>46006</v>
      </c>
      <c r="C1033" s="409"/>
      <c r="D1033" s="409"/>
      <c r="E1033" s="246" t="s">
        <v>765</v>
      </c>
      <c r="F1033" s="202">
        <v>1002</v>
      </c>
      <c r="G1033" s="203">
        <v>679</v>
      </c>
      <c r="H1033" s="203"/>
      <c r="I1033" s="263">
        <f t="shared" si="21"/>
        <v>1681</v>
      </c>
    </row>
    <row r="1034" spans="2:9" ht="15.75" hidden="1" customHeight="1" outlineLevel="1" thickBot="1" x14ac:dyDescent="0.3">
      <c r="B1034" s="245">
        <f>IF(AND(F1031&lt;&gt;"", B1029&lt;&gt;""), B1029+1, "")</f>
        <v>46006</v>
      </c>
      <c r="C1034" s="409"/>
      <c r="D1034" s="409"/>
      <c r="E1034" s="246" t="s">
        <v>766</v>
      </c>
      <c r="F1034" s="202">
        <v>0</v>
      </c>
      <c r="G1034" s="203"/>
      <c r="H1034" s="203"/>
      <c r="I1034" s="263">
        <f t="shared" si="21"/>
        <v>0</v>
      </c>
    </row>
    <row r="1035" spans="2:9" ht="15.75" hidden="1" customHeight="1" outlineLevel="1" thickBot="1" x14ac:dyDescent="0.3">
      <c r="B1035" s="249">
        <f>IF(AND(F1031&lt;&gt;"", B1030&lt;&gt;""), B1030+1, "")</f>
        <v>46006</v>
      </c>
      <c r="C1035" s="416"/>
      <c r="D1035" s="416"/>
      <c r="E1035" s="250" t="s">
        <v>767</v>
      </c>
      <c r="F1035" s="204">
        <v>93</v>
      </c>
      <c r="G1035" s="205"/>
      <c r="H1035" s="205"/>
      <c r="I1035" s="264">
        <f t="shared" si="21"/>
        <v>93</v>
      </c>
    </row>
    <row r="1036" spans="2:9" ht="15.75" hidden="1" customHeight="1" outlineLevel="1" thickBot="1" x14ac:dyDescent="0.3">
      <c r="B1036" s="241">
        <f>IF(AND(F1036&lt;&gt;"", B1031&lt;&gt;""), B1031+1, "")</f>
        <v>46007</v>
      </c>
      <c r="C1036" s="442">
        <v>46007</v>
      </c>
      <c r="D1036" s="443">
        <f>D1031+1</f>
        <v>46007</v>
      </c>
      <c r="E1036" s="246" t="s">
        <v>394</v>
      </c>
      <c r="F1036" s="202">
        <v>0</v>
      </c>
      <c r="G1036" s="203"/>
      <c r="H1036" s="203"/>
      <c r="I1036" s="263">
        <f t="shared" si="21"/>
        <v>0</v>
      </c>
    </row>
    <row r="1037" spans="2:9" ht="15.75" hidden="1" customHeight="1" outlineLevel="1" thickBot="1" x14ac:dyDescent="0.3">
      <c r="B1037" s="245">
        <f>IF(AND(F1036&lt;&gt;"", B1032&lt;&gt;""), B1032+1, "")</f>
        <v>46007</v>
      </c>
      <c r="C1037" s="409"/>
      <c r="D1037" s="409"/>
      <c r="E1037" s="246" t="s">
        <v>764</v>
      </c>
      <c r="F1037" s="202">
        <v>0</v>
      </c>
      <c r="G1037" s="203"/>
      <c r="H1037" s="203"/>
      <c r="I1037" s="263">
        <f t="shared" si="21"/>
        <v>0</v>
      </c>
    </row>
    <row r="1038" spans="2:9" ht="15.75" hidden="1" customHeight="1" outlineLevel="1" thickBot="1" x14ac:dyDescent="0.3">
      <c r="B1038" s="245">
        <f>IF(AND(F1036&lt;&gt;"", B1033&lt;&gt;""), B1033+1, "")</f>
        <v>46007</v>
      </c>
      <c r="C1038" s="409"/>
      <c r="D1038" s="409"/>
      <c r="E1038" s="246" t="s">
        <v>765</v>
      </c>
      <c r="F1038" s="202">
        <v>0</v>
      </c>
      <c r="G1038" s="203"/>
      <c r="H1038" s="203"/>
      <c r="I1038" s="263">
        <f t="shared" si="21"/>
        <v>0</v>
      </c>
    </row>
    <row r="1039" spans="2:9" ht="15.75" hidden="1" customHeight="1" outlineLevel="1" thickBot="1" x14ac:dyDescent="0.3">
      <c r="B1039" s="245">
        <f>IF(AND(F1036&lt;&gt;"", B1034&lt;&gt;""), B1034+1, "")</f>
        <v>46007</v>
      </c>
      <c r="C1039" s="409"/>
      <c r="D1039" s="409"/>
      <c r="E1039" s="246" t="s">
        <v>766</v>
      </c>
      <c r="F1039" s="202">
        <v>0</v>
      </c>
      <c r="G1039" s="203"/>
      <c r="H1039" s="203"/>
      <c r="I1039" s="263">
        <f t="shared" si="21"/>
        <v>0</v>
      </c>
    </row>
    <row r="1040" spans="2:9" ht="15.75" hidden="1" customHeight="1" outlineLevel="1" thickBot="1" x14ac:dyDescent="0.3">
      <c r="B1040" s="249">
        <f>IF(AND(F1036&lt;&gt;"", B1035&lt;&gt;""), B1035+1, "")</f>
        <v>46007</v>
      </c>
      <c r="C1040" s="416"/>
      <c r="D1040" s="416"/>
      <c r="E1040" s="250" t="s">
        <v>767</v>
      </c>
      <c r="F1040" s="204">
        <v>0</v>
      </c>
      <c r="G1040" s="205"/>
      <c r="H1040" s="205"/>
      <c r="I1040" s="264">
        <f t="shared" si="21"/>
        <v>0</v>
      </c>
    </row>
    <row r="1041" spans="2:9" ht="15.75" hidden="1" customHeight="1" outlineLevel="1" thickBot="1" x14ac:dyDescent="0.3">
      <c r="B1041" s="241">
        <f>IF(AND(F1041&lt;&gt;"", B1036&lt;&gt;""), B1036+1, "")</f>
        <v>46008</v>
      </c>
      <c r="C1041" s="442">
        <v>46008</v>
      </c>
      <c r="D1041" s="443">
        <f>D1036+1</f>
        <v>46008</v>
      </c>
      <c r="E1041" s="246" t="s">
        <v>394</v>
      </c>
      <c r="F1041" s="202">
        <v>4458</v>
      </c>
      <c r="G1041" s="203">
        <v>1115</v>
      </c>
      <c r="H1041" s="203">
        <v>1800</v>
      </c>
      <c r="I1041" s="263">
        <f t="shared" si="21"/>
        <v>3773</v>
      </c>
    </row>
    <row r="1042" spans="2:9" ht="15.75" hidden="1" customHeight="1" outlineLevel="1" thickBot="1" x14ac:dyDescent="0.3">
      <c r="B1042" s="245">
        <f>IF(AND(F1041&lt;&gt;"", B1037&lt;&gt;""), B1037+1, "")</f>
        <v>46008</v>
      </c>
      <c r="C1042" s="409"/>
      <c r="D1042" s="409"/>
      <c r="E1042" s="246" t="s">
        <v>764</v>
      </c>
      <c r="F1042" s="202">
        <v>1975</v>
      </c>
      <c r="G1042" s="203"/>
      <c r="H1042" s="203"/>
      <c r="I1042" s="263">
        <f t="shared" si="21"/>
        <v>1975</v>
      </c>
    </row>
    <row r="1043" spans="2:9" ht="15.75" hidden="1" customHeight="1" outlineLevel="1" thickBot="1" x14ac:dyDescent="0.3">
      <c r="B1043" s="245">
        <f>IF(AND(F1041&lt;&gt;"", B1038&lt;&gt;""), B1038+1, "")</f>
        <v>46008</v>
      </c>
      <c r="C1043" s="409"/>
      <c r="D1043" s="409"/>
      <c r="E1043" s="246" t="s">
        <v>765</v>
      </c>
      <c r="F1043" s="202">
        <v>1681</v>
      </c>
      <c r="G1043" s="203">
        <v>690</v>
      </c>
      <c r="H1043" s="203"/>
      <c r="I1043" s="263">
        <f t="shared" si="21"/>
        <v>2371</v>
      </c>
    </row>
    <row r="1044" spans="2:9" ht="15.75" hidden="1" customHeight="1" outlineLevel="1" thickBot="1" x14ac:dyDescent="0.3">
      <c r="B1044" s="245">
        <f>IF(AND(F1041&lt;&gt;"", B1039&lt;&gt;""), B1039+1, "")</f>
        <v>46008</v>
      </c>
      <c r="C1044" s="409"/>
      <c r="D1044" s="409"/>
      <c r="E1044" s="246" t="s">
        <v>766</v>
      </c>
      <c r="F1044" s="202">
        <v>0</v>
      </c>
      <c r="G1044" s="203"/>
      <c r="H1044" s="203"/>
      <c r="I1044" s="263">
        <f t="shared" si="21"/>
        <v>0</v>
      </c>
    </row>
    <row r="1045" spans="2:9" ht="15.75" hidden="1" customHeight="1" outlineLevel="1" thickBot="1" x14ac:dyDescent="0.3">
      <c r="B1045" s="249">
        <f>IF(AND(F1041&lt;&gt;"", B1040&lt;&gt;""), B1040+1, "")</f>
        <v>46008</v>
      </c>
      <c r="C1045" s="416"/>
      <c r="D1045" s="416"/>
      <c r="E1045" s="250" t="s">
        <v>767</v>
      </c>
      <c r="F1045" s="204">
        <v>93</v>
      </c>
      <c r="G1045" s="205"/>
      <c r="H1045" s="205"/>
      <c r="I1045" s="264">
        <f t="shared" si="21"/>
        <v>93</v>
      </c>
    </row>
    <row r="1046" spans="2:9" ht="15.75" hidden="1" customHeight="1" outlineLevel="1" thickBot="1" x14ac:dyDescent="0.3">
      <c r="B1046" s="241">
        <f>IF(AND(F1046&lt;&gt;"", B1041&lt;&gt;""), B1041+1, "")</f>
        <v>46009</v>
      </c>
      <c r="C1046" s="442">
        <v>46009</v>
      </c>
      <c r="D1046" s="443">
        <f>D1041+1</f>
        <v>46009</v>
      </c>
      <c r="E1046" s="246" t="s">
        <v>394</v>
      </c>
      <c r="F1046" s="202">
        <v>3773</v>
      </c>
      <c r="G1046" s="203">
        <v>1125</v>
      </c>
      <c r="H1046" s="203">
        <v>1600</v>
      </c>
      <c r="I1046" s="263">
        <f t="shared" si="21"/>
        <v>3298</v>
      </c>
    </row>
    <row r="1047" spans="2:9" ht="15.75" hidden="1" customHeight="1" outlineLevel="1" thickBot="1" x14ac:dyDescent="0.3">
      <c r="B1047" s="245">
        <f>IF(AND(F1046&lt;&gt;"", B1042&lt;&gt;""), B1042+1, "")</f>
        <v>46009</v>
      </c>
      <c r="C1047" s="409"/>
      <c r="D1047" s="409"/>
      <c r="E1047" s="246" t="s">
        <v>764</v>
      </c>
      <c r="F1047" s="202">
        <v>1975</v>
      </c>
      <c r="G1047" s="203"/>
      <c r="H1047" s="203"/>
      <c r="I1047" s="263">
        <f t="shared" si="21"/>
        <v>1975</v>
      </c>
    </row>
    <row r="1048" spans="2:9" ht="15.75" hidden="1" customHeight="1" outlineLevel="1" thickBot="1" x14ac:dyDescent="0.3">
      <c r="B1048" s="245">
        <f>IF(AND(F1046&lt;&gt;"", B1043&lt;&gt;""), B1043+1, "")</f>
        <v>46009</v>
      </c>
      <c r="C1048" s="409"/>
      <c r="D1048" s="409"/>
      <c r="E1048" s="246" t="s">
        <v>765</v>
      </c>
      <c r="F1048" s="202">
        <v>2371</v>
      </c>
      <c r="G1048" s="203">
        <v>715</v>
      </c>
      <c r="H1048" s="203"/>
      <c r="I1048" s="263">
        <f t="shared" si="21"/>
        <v>3086</v>
      </c>
    </row>
    <row r="1049" spans="2:9" ht="15.75" hidden="1" customHeight="1" outlineLevel="1" thickBot="1" x14ac:dyDescent="0.3">
      <c r="B1049" s="245">
        <f>IF(AND(F1046&lt;&gt;"", B1044&lt;&gt;""), B1044+1, "")</f>
        <v>46009</v>
      </c>
      <c r="C1049" s="409"/>
      <c r="D1049" s="409"/>
      <c r="E1049" s="246" t="s">
        <v>766</v>
      </c>
      <c r="F1049" s="202">
        <v>0</v>
      </c>
      <c r="G1049" s="203"/>
      <c r="H1049" s="203"/>
      <c r="I1049" s="263">
        <f t="shared" si="21"/>
        <v>0</v>
      </c>
    </row>
    <row r="1050" spans="2:9" ht="15.75" hidden="1" customHeight="1" outlineLevel="1" thickBot="1" x14ac:dyDescent="0.3">
      <c r="B1050" s="249">
        <f>IF(AND(F1046&lt;&gt;"", B1045&lt;&gt;""), B1045+1, "")</f>
        <v>46009</v>
      </c>
      <c r="C1050" s="416"/>
      <c r="D1050" s="416"/>
      <c r="E1050" s="250" t="s">
        <v>767</v>
      </c>
      <c r="F1050" s="204">
        <v>93</v>
      </c>
      <c r="G1050" s="205"/>
      <c r="H1050" s="205"/>
      <c r="I1050" s="264">
        <f t="shared" si="21"/>
        <v>93</v>
      </c>
    </row>
    <row r="1051" spans="2:9" ht="15.75" hidden="1" customHeight="1" outlineLevel="1" thickBot="1" x14ac:dyDescent="0.3">
      <c r="B1051" s="241">
        <f>IF(AND(F1051&lt;&gt;"", B1046&lt;&gt;""), B1046+1, "")</f>
        <v>46010</v>
      </c>
      <c r="C1051" s="442">
        <v>46010</v>
      </c>
      <c r="D1051" s="443">
        <f>D1046+1</f>
        <v>46010</v>
      </c>
      <c r="E1051" s="246" t="s">
        <v>394</v>
      </c>
      <c r="F1051" s="202">
        <v>3298</v>
      </c>
      <c r="G1051" s="203"/>
      <c r="H1051" s="203"/>
      <c r="I1051" s="263">
        <f t="shared" si="21"/>
        <v>3298</v>
      </c>
    </row>
    <row r="1052" spans="2:9" ht="15.75" hidden="1" customHeight="1" outlineLevel="1" thickBot="1" x14ac:dyDescent="0.3">
      <c r="B1052" s="245">
        <f>IF(AND(F1051&lt;&gt;"", B1047&lt;&gt;""), B1047+1, "")</f>
        <v>46010</v>
      </c>
      <c r="C1052" s="409"/>
      <c r="D1052" s="409"/>
      <c r="E1052" s="246" t="s">
        <v>764</v>
      </c>
      <c r="F1052" s="202">
        <v>1975</v>
      </c>
      <c r="G1052" s="203">
        <v>340</v>
      </c>
      <c r="H1052" s="203"/>
      <c r="I1052" s="263">
        <f t="shared" si="21"/>
        <v>2315</v>
      </c>
    </row>
    <row r="1053" spans="2:9" ht="15.75" hidden="1" customHeight="1" outlineLevel="1" thickBot="1" x14ac:dyDescent="0.3">
      <c r="B1053" s="245">
        <f>IF(AND(F1051&lt;&gt;"", B1048&lt;&gt;""), B1048+1, "")</f>
        <v>46010</v>
      </c>
      <c r="C1053" s="409"/>
      <c r="D1053" s="409"/>
      <c r="E1053" s="246" t="s">
        <v>765</v>
      </c>
      <c r="F1053" s="202">
        <v>2371</v>
      </c>
      <c r="G1053" s="203"/>
      <c r="H1053" s="203"/>
      <c r="I1053" s="263">
        <f t="shared" si="21"/>
        <v>2371</v>
      </c>
    </row>
    <row r="1054" spans="2:9" ht="15.75" hidden="1" customHeight="1" outlineLevel="1" thickBot="1" x14ac:dyDescent="0.3">
      <c r="B1054" s="245">
        <f>IF(AND(F1051&lt;&gt;"", B1049&lt;&gt;""), B1049+1, "")</f>
        <v>46010</v>
      </c>
      <c r="C1054" s="409"/>
      <c r="D1054" s="409"/>
      <c r="E1054" s="246" t="s">
        <v>766</v>
      </c>
      <c r="F1054" s="202">
        <v>0</v>
      </c>
      <c r="G1054" s="203"/>
      <c r="H1054" s="203"/>
      <c r="I1054" s="263">
        <f t="shared" si="21"/>
        <v>0</v>
      </c>
    </row>
    <row r="1055" spans="2:9" ht="15.75" hidden="1" customHeight="1" outlineLevel="1" thickBot="1" x14ac:dyDescent="0.3">
      <c r="B1055" s="249">
        <f>IF(AND(F1051&lt;&gt;"", B1050&lt;&gt;""), B1050+1, "")</f>
        <v>46010</v>
      </c>
      <c r="C1055" s="416"/>
      <c r="D1055" s="416"/>
      <c r="E1055" s="250" t="s">
        <v>767</v>
      </c>
      <c r="F1055" s="204">
        <v>93</v>
      </c>
      <c r="G1055" s="205"/>
      <c r="H1055" s="205"/>
      <c r="I1055" s="264">
        <f t="shared" si="21"/>
        <v>93</v>
      </c>
    </row>
    <row r="1056" spans="2:9" ht="15.75" hidden="1" customHeight="1" outlineLevel="1" thickBot="1" x14ac:dyDescent="0.3">
      <c r="B1056" s="241">
        <f>IF(AND(F1056&lt;&gt;"", B1051&lt;&gt;""), B1051+1, "")</f>
        <v>46011</v>
      </c>
      <c r="C1056" s="442">
        <v>46011</v>
      </c>
      <c r="D1056" s="443">
        <f>D1051+1</f>
        <v>46011</v>
      </c>
      <c r="E1056" s="246" t="s">
        <v>394</v>
      </c>
      <c r="F1056" s="202">
        <v>3298</v>
      </c>
      <c r="G1056" s="203">
        <v>445</v>
      </c>
      <c r="H1056" s="203">
        <v>200</v>
      </c>
      <c r="I1056" s="263">
        <f t="shared" si="21"/>
        <v>3543</v>
      </c>
    </row>
    <row r="1057" spans="2:9" ht="15.75" hidden="1" customHeight="1" outlineLevel="1" thickBot="1" x14ac:dyDescent="0.3">
      <c r="B1057" s="245">
        <f>IF(AND(F1056&lt;&gt;"", B1052&lt;&gt;""), B1052+1, "")</f>
        <v>46011</v>
      </c>
      <c r="C1057" s="409"/>
      <c r="D1057" s="409"/>
      <c r="E1057" s="246" t="s">
        <v>764</v>
      </c>
      <c r="F1057" s="202">
        <v>2315</v>
      </c>
      <c r="G1057" s="203">
        <v>675</v>
      </c>
      <c r="H1057" s="203"/>
      <c r="I1057" s="263">
        <f t="shared" si="21"/>
        <v>2990</v>
      </c>
    </row>
    <row r="1058" spans="2:9" ht="15.75" hidden="1" customHeight="1" outlineLevel="1" thickBot="1" x14ac:dyDescent="0.3">
      <c r="B1058" s="245">
        <f>IF(AND(F1056&lt;&gt;"", B1053&lt;&gt;""), B1053+1, "")</f>
        <v>46011</v>
      </c>
      <c r="C1058" s="409"/>
      <c r="D1058" s="409"/>
      <c r="E1058" s="246" t="s">
        <v>765</v>
      </c>
      <c r="F1058" s="202">
        <v>2371</v>
      </c>
      <c r="G1058" s="203">
        <v>670</v>
      </c>
      <c r="H1058" s="203">
        <v>1200</v>
      </c>
      <c r="I1058" s="263">
        <f t="shared" si="21"/>
        <v>1841</v>
      </c>
    </row>
    <row r="1059" spans="2:9" ht="15.75" hidden="1" customHeight="1" outlineLevel="1" thickBot="1" x14ac:dyDescent="0.3">
      <c r="B1059" s="245">
        <f>IF(AND(F1056&lt;&gt;"", B1054&lt;&gt;""), B1054+1, "")</f>
        <v>46011</v>
      </c>
      <c r="C1059" s="409"/>
      <c r="D1059" s="409"/>
      <c r="E1059" s="246" t="s">
        <v>766</v>
      </c>
      <c r="F1059" s="202">
        <v>0</v>
      </c>
      <c r="G1059" s="203"/>
      <c r="H1059" s="203"/>
      <c r="I1059" s="263">
        <f t="shared" si="21"/>
        <v>0</v>
      </c>
    </row>
    <row r="1060" spans="2:9" ht="15.75" hidden="1" customHeight="1" outlineLevel="1" thickBot="1" x14ac:dyDescent="0.3">
      <c r="B1060" s="249">
        <f>IF(AND(F1056&lt;&gt;"", B1055&lt;&gt;""), B1055+1, "")</f>
        <v>46011</v>
      </c>
      <c r="C1060" s="416"/>
      <c r="D1060" s="416"/>
      <c r="E1060" s="250" t="s">
        <v>767</v>
      </c>
      <c r="F1060" s="204">
        <v>93</v>
      </c>
      <c r="G1060" s="205"/>
      <c r="H1060" s="205"/>
      <c r="I1060" s="264">
        <f t="shared" si="21"/>
        <v>93</v>
      </c>
    </row>
    <row r="1061" spans="2:9" ht="15.75" hidden="1" customHeight="1" outlineLevel="1" thickBot="1" x14ac:dyDescent="0.3">
      <c r="B1061" s="241">
        <f>IF(AND(F1061&lt;&gt;"", B1056&lt;&gt;""), B1056+1, "")</f>
        <v>46012</v>
      </c>
      <c r="C1061" s="442">
        <v>46012</v>
      </c>
      <c r="D1061" s="443">
        <f>D1056+1</f>
        <v>46012</v>
      </c>
      <c r="E1061" s="246" t="s">
        <v>394</v>
      </c>
      <c r="F1061" s="202">
        <v>3543</v>
      </c>
      <c r="G1061" s="203"/>
      <c r="H1061" s="203">
        <v>500</v>
      </c>
      <c r="I1061" s="263">
        <f t="shared" si="21"/>
        <v>3043</v>
      </c>
    </row>
    <row r="1062" spans="2:9" ht="15.75" hidden="1" customHeight="1" outlineLevel="1" thickBot="1" x14ac:dyDescent="0.3">
      <c r="B1062" s="245">
        <f>IF(AND(F1061&lt;&gt;"", B1057&lt;&gt;""), B1057+1, "")</f>
        <v>46012</v>
      </c>
      <c r="C1062" s="409"/>
      <c r="D1062" s="409"/>
      <c r="E1062" s="246" t="s">
        <v>764</v>
      </c>
      <c r="F1062" s="202">
        <v>2990</v>
      </c>
      <c r="G1062" s="203">
        <v>1120</v>
      </c>
      <c r="H1062" s="203"/>
      <c r="I1062" s="263">
        <f t="shared" si="21"/>
        <v>4110</v>
      </c>
    </row>
    <row r="1063" spans="2:9" ht="15.75" hidden="1" customHeight="1" outlineLevel="1" thickBot="1" x14ac:dyDescent="0.3">
      <c r="B1063" s="245">
        <f>IF(AND(F1061&lt;&gt;"", B1058&lt;&gt;""), B1058+1, "")</f>
        <v>46012</v>
      </c>
      <c r="C1063" s="409"/>
      <c r="D1063" s="409"/>
      <c r="E1063" s="246" t="s">
        <v>765</v>
      </c>
      <c r="F1063" s="202">
        <v>1841</v>
      </c>
      <c r="G1063" s="203">
        <v>700</v>
      </c>
      <c r="H1063" s="203">
        <v>1100</v>
      </c>
      <c r="I1063" s="263">
        <f t="shared" si="21"/>
        <v>1441</v>
      </c>
    </row>
    <row r="1064" spans="2:9" ht="15.75" hidden="1" customHeight="1" outlineLevel="1" thickBot="1" x14ac:dyDescent="0.3">
      <c r="B1064" s="245">
        <f>IF(AND(F1061&lt;&gt;"", B1059&lt;&gt;""), B1059+1, "")</f>
        <v>46012</v>
      </c>
      <c r="C1064" s="409"/>
      <c r="D1064" s="409"/>
      <c r="E1064" s="246" t="s">
        <v>766</v>
      </c>
      <c r="F1064" s="202">
        <v>0</v>
      </c>
      <c r="G1064" s="203"/>
      <c r="H1064" s="203"/>
      <c r="I1064" s="263">
        <f t="shared" si="21"/>
        <v>0</v>
      </c>
    </row>
    <row r="1065" spans="2:9" ht="15.75" hidden="1" customHeight="1" outlineLevel="1" thickBot="1" x14ac:dyDescent="0.3">
      <c r="B1065" s="249">
        <f>IF(AND(F1061&lt;&gt;"", B1060&lt;&gt;""), B1060+1, "")</f>
        <v>46012</v>
      </c>
      <c r="C1065" s="416"/>
      <c r="D1065" s="416"/>
      <c r="E1065" s="250" t="s">
        <v>767</v>
      </c>
      <c r="F1065" s="204">
        <v>93</v>
      </c>
      <c r="G1065" s="205"/>
      <c r="H1065" s="205"/>
      <c r="I1065" s="264">
        <f t="shared" si="21"/>
        <v>93</v>
      </c>
    </row>
    <row r="1066" spans="2:9" ht="15.75" hidden="1" customHeight="1" outlineLevel="1" thickBot="1" x14ac:dyDescent="0.3">
      <c r="B1066" s="241">
        <f>IF(AND(F1066&lt;&gt;"", B1061&lt;&gt;""), B1061+1, "")</f>
        <v>46013</v>
      </c>
      <c r="C1066" s="442">
        <v>46013</v>
      </c>
      <c r="D1066" s="443">
        <f>D1061+1</f>
        <v>46013</v>
      </c>
      <c r="E1066" s="246" t="s">
        <v>394</v>
      </c>
      <c r="F1066" s="202">
        <v>3043</v>
      </c>
      <c r="G1066" s="203"/>
      <c r="H1066" s="203"/>
      <c r="I1066" s="263">
        <f t="shared" si="21"/>
        <v>3043</v>
      </c>
    </row>
    <row r="1067" spans="2:9" ht="15.75" hidden="1" customHeight="1" outlineLevel="1" thickBot="1" x14ac:dyDescent="0.3">
      <c r="B1067" s="245">
        <f>IF(AND(F1066&lt;&gt;"", B1062&lt;&gt;""), B1062+1, "")</f>
        <v>46013</v>
      </c>
      <c r="C1067" s="409"/>
      <c r="D1067" s="409"/>
      <c r="E1067" s="246" t="s">
        <v>764</v>
      </c>
      <c r="F1067" s="202">
        <v>4110</v>
      </c>
      <c r="G1067" s="203">
        <v>1020</v>
      </c>
      <c r="H1067" s="203"/>
      <c r="I1067" s="263">
        <f t="shared" si="21"/>
        <v>5130</v>
      </c>
    </row>
    <row r="1068" spans="2:9" ht="15.75" hidden="1" customHeight="1" outlineLevel="1" thickBot="1" x14ac:dyDescent="0.3">
      <c r="B1068" s="245">
        <f>IF(AND(F1066&lt;&gt;"", B1063&lt;&gt;""), B1063+1, "")</f>
        <v>46013</v>
      </c>
      <c r="C1068" s="409"/>
      <c r="D1068" s="409"/>
      <c r="E1068" s="246" t="s">
        <v>765</v>
      </c>
      <c r="F1068" s="202">
        <v>1441</v>
      </c>
      <c r="G1068" s="203">
        <v>610</v>
      </c>
      <c r="H1068" s="203">
        <v>1450</v>
      </c>
      <c r="I1068" s="263">
        <f t="shared" si="21"/>
        <v>601</v>
      </c>
    </row>
    <row r="1069" spans="2:9" ht="15.75" hidden="1" customHeight="1" outlineLevel="1" thickBot="1" x14ac:dyDescent="0.3">
      <c r="B1069" s="245">
        <f>IF(AND(F1066&lt;&gt;"", B1064&lt;&gt;""), B1064+1, "")</f>
        <v>46013</v>
      </c>
      <c r="C1069" s="409"/>
      <c r="D1069" s="409"/>
      <c r="E1069" s="246" t="s">
        <v>766</v>
      </c>
      <c r="F1069" s="202">
        <v>0</v>
      </c>
      <c r="G1069" s="203"/>
      <c r="H1069" s="203"/>
      <c r="I1069" s="263">
        <f t="shared" si="21"/>
        <v>0</v>
      </c>
    </row>
    <row r="1070" spans="2:9" ht="15.75" hidden="1" customHeight="1" outlineLevel="1" thickBot="1" x14ac:dyDescent="0.3">
      <c r="B1070" s="249">
        <f>IF(AND(F1066&lt;&gt;"", B1065&lt;&gt;""), B1065+1, "")</f>
        <v>46013</v>
      </c>
      <c r="C1070" s="416"/>
      <c r="D1070" s="416"/>
      <c r="E1070" s="250" t="s">
        <v>767</v>
      </c>
      <c r="F1070" s="204">
        <v>93</v>
      </c>
      <c r="G1070" s="205"/>
      <c r="H1070" s="205"/>
      <c r="I1070" s="264">
        <f t="shared" si="21"/>
        <v>93</v>
      </c>
    </row>
    <row r="1071" spans="2:9" ht="15.75" hidden="1" customHeight="1" outlineLevel="1" thickBot="1" x14ac:dyDescent="0.3">
      <c r="B1071" s="241">
        <f>IF(AND(F1071&lt;&gt;"", B1066&lt;&gt;""), B1066+1, "")</f>
        <v>46014</v>
      </c>
      <c r="C1071" s="442">
        <v>46014</v>
      </c>
      <c r="D1071" s="443">
        <f>D1066+1</f>
        <v>46014</v>
      </c>
      <c r="E1071" s="246" t="s">
        <v>394</v>
      </c>
      <c r="F1071" s="202">
        <v>3043</v>
      </c>
      <c r="G1071" s="203">
        <v>338</v>
      </c>
      <c r="H1071" s="203"/>
      <c r="I1071" s="263">
        <f t="shared" si="21"/>
        <v>3381</v>
      </c>
    </row>
    <row r="1072" spans="2:9" ht="15.75" hidden="1" customHeight="1" outlineLevel="1" thickBot="1" x14ac:dyDescent="0.3">
      <c r="B1072" s="245">
        <f>IF(AND(F1071&lt;&gt;"", B1067&lt;&gt;""), B1067+1, "")</f>
        <v>46014</v>
      </c>
      <c r="C1072" s="409"/>
      <c r="D1072" s="409"/>
      <c r="E1072" s="246" t="s">
        <v>764</v>
      </c>
      <c r="F1072" s="202">
        <v>5130</v>
      </c>
      <c r="G1072" s="203">
        <v>445</v>
      </c>
      <c r="H1072" s="203">
        <v>1500</v>
      </c>
      <c r="I1072" s="263">
        <f t="shared" si="21"/>
        <v>4075</v>
      </c>
    </row>
    <row r="1073" spans="2:9" ht="15.75" hidden="1" customHeight="1" outlineLevel="1" thickBot="1" x14ac:dyDescent="0.3">
      <c r="B1073" s="245">
        <f>IF(AND(F1071&lt;&gt;"", B1068&lt;&gt;""), B1068+1, "")</f>
        <v>46014</v>
      </c>
      <c r="C1073" s="409"/>
      <c r="D1073" s="409"/>
      <c r="E1073" s="246" t="s">
        <v>765</v>
      </c>
      <c r="F1073" s="202">
        <v>601</v>
      </c>
      <c r="G1073" s="203">
        <v>690</v>
      </c>
      <c r="H1073" s="203"/>
      <c r="I1073" s="263">
        <f t="shared" si="21"/>
        <v>1291</v>
      </c>
    </row>
    <row r="1074" spans="2:9" ht="15.75" hidden="1" customHeight="1" outlineLevel="1" thickBot="1" x14ac:dyDescent="0.3">
      <c r="B1074" s="245">
        <f>IF(AND(F1071&lt;&gt;"", B1069&lt;&gt;""), B1069+1, "")</f>
        <v>46014</v>
      </c>
      <c r="C1074" s="409"/>
      <c r="D1074" s="409"/>
      <c r="E1074" s="246" t="s">
        <v>766</v>
      </c>
      <c r="F1074" s="202">
        <v>0</v>
      </c>
      <c r="G1074" s="203"/>
      <c r="H1074" s="203"/>
      <c r="I1074" s="263">
        <f t="shared" si="21"/>
        <v>0</v>
      </c>
    </row>
    <row r="1075" spans="2:9" ht="15.75" hidden="1" customHeight="1" outlineLevel="1" thickBot="1" x14ac:dyDescent="0.3">
      <c r="B1075" s="249">
        <f>IF(AND(F1071&lt;&gt;"", B1070&lt;&gt;""), B1070+1, "")</f>
        <v>46014</v>
      </c>
      <c r="C1075" s="416"/>
      <c r="D1075" s="416"/>
      <c r="E1075" s="250" t="s">
        <v>767</v>
      </c>
      <c r="F1075" s="204">
        <v>93</v>
      </c>
      <c r="G1075" s="205">
        <v>172</v>
      </c>
      <c r="H1075" s="205"/>
      <c r="I1075" s="264">
        <f t="shared" si="21"/>
        <v>265</v>
      </c>
    </row>
    <row r="1076" spans="2:9" ht="15.75" hidden="1" customHeight="1" outlineLevel="1" thickBot="1" x14ac:dyDescent="0.3">
      <c r="B1076" s="241">
        <f>IF(AND(F1076&lt;&gt;"", B1071&lt;&gt;""), B1071+1, "")</f>
        <v>46015</v>
      </c>
      <c r="C1076" s="442">
        <v>46015</v>
      </c>
      <c r="D1076" s="443">
        <f>D1071+1</f>
        <v>46015</v>
      </c>
      <c r="E1076" s="246" t="s">
        <v>394</v>
      </c>
      <c r="F1076" s="202">
        <v>3381</v>
      </c>
      <c r="G1076" s="203">
        <v>1091</v>
      </c>
      <c r="H1076" s="203"/>
      <c r="I1076" s="263">
        <f t="shared" si="21"/>
        <v>4472</v>
      </c>
    </row>
    <row r="1077" spans="2:9" ht="15.75" hidden="1" customHeight="1" outlineLevel="1" thickBot="1" x14ac:dyDescent="0.3">
      <c r="B1077" s="245">
        <f>IF(AND(F1076&lt;&gt;"", B1072&lt;&gt;""), B1072+1, "")</f>
        <v>46015</v>
      </c>
      <c r="C1077" s="409"/>
      <c r="D1077" s="409"/>
      <c r="E1077" s="246" t="s">
        <v>764</v>
      </c>
      <c r="F1077" s="202">
        <v>4075</v>
      </c>
      <c r="G1077" s="203"/>
      <c r="H1077" s="203">
        <v>1600</v>
      </c>
      <c r="I1077" s="263">
        <f t="shared" si="21"/>
        <v>2475</v>
      </c>
    </row>
    <row r="1078" spans="2:9" ht="15.75" hidden="1" customHeight="1" outlineLevel="1" thickBot="1" x14ac:dyDescent="0.3">
      <c r="B1078" s="245">
        <f>IF(AND(F1076&lt;&gt;"", B1073&lt;&gt;""), B1073+1, "")</f>
        <v>46015</v>
      </c>
      <c r="C1078" s="409"/>
      <c r="D1078" s="409"/>
      <c r="E1078" s="246" t="s">
        <v>765</v>
      </c>
      <c r="F1078" s="202">
        <v>1291</v>
      </c>
      <c r="G1078" s="203">
        <v>710</v>
      </c>
      <c r="H1078" s="203"/>
      <c r="I1078" s="263">
        <f t="shared" si="21"/>
        <v>2001</v>
      </c>
    </row>
    <row r="1079" spans="2:9" ht="15.75" hidden="1" customHeight="1" outlineLevel="1" thickBot="1" x14ac:dyDescent="0.3">
      <c r="B1079" s="245">
        <f>IF(AND(F1076&lt;&gt;"", B1074&lt;&gt;""), B1074+1, "")</f>
        <v>46015</v>
      </c>
      <c r="C1079" s="409"/>
      <c r="D1079" s="409"/>
      <c r="E1079" s="246" t="s">
        <v>766</v>
      </c>
      <c r="F1079" s="202">
        <v>0</v>
      </c>
      <c r="G1079" s="203"/>
      <c r="H1079" s="203"/>
      <c r="I1079" s="263">
        <f t="shared" ref="I1079:I1105" si="22">F1079+G1079-H1079</f>
        <v>0</v>
      </c>
    </row>
    <row r="1080" spans="2:9" ht="15.75" hidden="1" customHeight="1" outlineLevel="1" thickBot="1" x14ac:dyDescent="0.3">
      <c r="B1080" s="249">
        <f>IF(AND(F1076&lt;&gt;"", B1075&lt;&gt;""), B1075+1, "")</f>
        <v>46015</v>
      </c>
      <c r="C1080" s="416"/>
      <c r="D1080" s="416"/>
      <c r="E1080" s="250" t="s">
        <v>767</v>
      </c>
      <c r="F1080" s="204">
        <v>265</v>
      </c>
      <c r="G1080" s="205"/>
      <c r="H1080" s="205"/>
      <c r="I1080" s="264">
        <f t="shared" si="22"/>
        <v>265</v>
      </c>
    </row>
    <row r="1081" spans="2:9" ht="15.75" hidden="1" customHeight="1" outlineLevel="1" thickBot="1" x14ac:dyDescent="0.3">
      <c r="B1081" s="241">
        <f>IF(AND(F1081&lt;&gt;"", B1076&lt;&gt;""), B1076+1, "")</f>
        <v>46016</v>
      </c>
      <c r="C1081" s="442">
        <v>46016</v>
      </c>
      <c r="D1081" s="443">
        <f>D1076+1</f>
        <v>46016</v>
      </c>
      <c r="E1081" s="246" t="s">
        <v>394</v>
      </c>
      <c r="F1081" s="202">
        <v>4472</v>
      </c>
      <c r="G1081" s="203">
        <v>1120</v>
      </c>
      <c r="H1081" s="203">
        <v>10</v>
      </c>
      <c r="I1081" s="263">
        <f t="shared" si="22"/>
        <v>5582</v>
      </c>
    </row>
    <row r="1082" spans="2:9" ht="15.75" hidden="1" customHeight="1" outlineLevel="1" thickBot="1" x14ac:dyDescent="0.3">
      <c r="B1082" s="245">
        <f>IF(AND(F1081&lt;&gt;"", B1077&lt;&gt;""), B1077+1, "")</f>
        <v>46016</v>
      </c>
      <c r="C1082" s="409"/>
      <c r="D1082" s="409"/>
      <c r="E1082" s="246" t="s">
        <v>764</v>
      </c>
      <c r="F1082" s="202">
        <v>2475</v>
      </c>
      <c r="G1082" s="203"/>
      <c r="H1082" s="203">
        <v>1838</v>
      </c>
      <c r="I1082" s="263">
        <f t="shared" si="22"/>
        <v>637</v>
      </c>
    </row>
    <row r="1083" spans="2:9" ht="15.75" hidden="1" customHeight="1" outlineLevel="1" thickBot="1" x14ac:dyDescent="0.3">
      <c r="B1083" s="245">
        <f>IF(AND(F1081&lt;&gt;"", B1078&lt;&gt;""), B1078+1, "")</f>
        <v>46016</v>
      </c>
      <c r="C1083" s="409"/>
      <c r="D1083" s="409"/>
      <c r="E1083" s="246" t="s">
        <v>765</v>
      </c>
      <c r="F1083" s="202">
        <v>2001</v>
      </c>
      <c r="G1083" s="203">
        <v>710</v>
      </c>
      <c r="H1083" s="203"/>
      <c r="I1083" s="263">
        <f t="shared" si="22"/>
        <v>2711</v>
      </c>
    </row>
    <row r="1084" spans="2:9" ht="15.75" hidden="1" customHeight="1" outlineLevel="1" thickBot="1" x14ac:dyDescent="0.3">
      <c r="B1084" s="245">
        <f>IF(AND(F1081&lt;&gt;"", B1079&lt;&gt;""), B1079+1, "")</f>
        <v>46016</v>
      </c>
      <c r="C1084" s="409"/>
      <c r="D1084" s="409"/>
      <c r="E1084" s="246" t="s">
        <v>766</v>
      </c>
      <c r="F1084" s="202">
        <v>0</v>
      </c>
      <c r="G1084" s="203"/>
      <c r="H1084" s="203"/>
      <c r="I1084" s="263">
        <f t="shared" si="22"/>
        <v>0</v>
      </c>
    </row>
    <row r="1085" spans="2:9" ht="15.75" hidden="1" customHeight="1" outlineLevel="1" thickBot="1" x14ac:dyDescent="0.3">
      <c r="B1085" s="249">
        <f>IF(AND(F1081&lt;&gt;"", B1080&lt;&gt;""), B1080+1, "")</f>
        <v>46016</v>
      </c>
      <c r="C1085" s="416"/>
      <c r="D1085" s="416"/>
      <c r="E1085" s="250" t="s">
        <v>767</v>
      </c>
      <c r="F1085" s="204">
        <v>265</v>
      </c>
      <c r="G1085" s="205"/>
      <c r="H1085" s="205"/>
      <c r="I1085" s="264">
        <f t="shared" si="22"/>
        <v>265</v>
      </c>
    </row>
    <row r="1086" spans="2:9" ht="15.75" hidden="1" customHeight="1" outlineLevel="1" thickBot="1" x14ac:dyDescent="0.3">
      <c r="B1086" s="241">
        <f>IF(AND(F1086&lt;&gt;"", B1081&lt;&gt;""), B1081+1, "")</f>
        <v>46017</v>
      </c>
      <c r="C1086" s="442">
        <v>46017</v>
      </c>
      <c r="D1086" s="443">
        <f>D1081+1</f>
        <v>46017</v>
      </c>
      <c r="E1086" s="246" t="s">
        <v>394</v>
      </c>
      <c r="F1086" s="202">
        <v>0</v>
      </c>
      <c r="G1086" s="203"/>
      <c r="H1086" s="203"/>
      <c r="I1086" s="263">
        <f t="shared" si="22"/>
        <v>0</v>
      </c>
    </row>
    <row r="1087" spans="2:9" ht="15.75" hidden="1" customHeight="1" outlineLevel="1" thickBot="1" x14ac:dyDescent="0.3">
      <c r="B1087" s="245">
        <f>IF(AND(F1086&lt;&gt;"", B1082&lt;&gt;""), B1082+1, "")</f>
        <v>46017</v>
      </c>
      <c r="C1087" s="409"/>
      <c r="D1087" s="409"/>
      <c r="E1087" s="246" t="s">
        <v>764</v>
      </c>
      <c r="F1087" s="202">
        <v>0</v>
      </c>
      <c r="G1087" s="203"/>
      <c r="H1087" s="203"/>
      <c r="I1087" s="263">
        <f t="shared" si="22"/>
        <v>0</v>
      </c>
    </row>
    <row r="1088" spans="2:9" ht="15.75" hidden="1" customHeight="1" outlineLevel="1" thickBot="1" x14ac:dyDescent="0.3">
      <c r="B1088" s="245">
        <f>IF(AND(F1086&lt;&gt;"", B1083&lt;&gt;""), B1083+1, "")</f>
        <v>46017</v>
      </c>
      <c r="C1088" s="409"/>
      <c r="D1088" s="409"/>
      <c r="E1088" s="246" t="s">
        <v>765</v>
      </c>
      <c r="F1088" s="202">
        <v>0</v>
      </c>
      <c r="G1088" s="203"/>
      <c r="H1088" s="203"/>
      <c r="I1088" s="263">
        <f t="shared" si="22"/>
        <v>0</v>
      </c>
    </row>
    <row r="1089" spans="2:9" ht="15.75" hidden="1" customHeight="1" outlineLevel="1" thickBot="1" x14ac:dyDescent="0.3">
      <c r="B1089" s="245">
        <f>IF(AND(F1086&lt;&gt;"", B1084&lt;&gt;""), B1084+1, "")</f>
        <v>46017</v>
      </c>
      <c r="C1089" s="409"/>
      <c r="D1089" s="409"/>
      <c r="E1089" s="246" t="s">
        <v>766</v>
      </c>
      <c r="F1089" s="202">
        <v>0</v>
      </c>
      <c r="G1089" s="203"/>
      <c r="H1089" s="203"/>
      <c r="I1089" s="263">
        <f t="shared" si="22"/>
        <v>0</v>
      </c>
    </row>
    <row r="1090" spans="2:9" ht="15.75" hidden="1" customHeight="1" outlineLevel="1" thickBot="1" x14ac:dyDescent="0.3">
      <c r="B1090" s="249">
        <f>IF(AND(F1086&lt;&gt;"", B1085&lt;&gt;""), B1085+1, "")</f>
        <v>46017</v>
      </c>
      <c r="C1090" s="416"/>
      <c r="D1090" s="416"/>
      <c r="E1090" s="250" t="s">
        <v>767</v>
      </c>
      <c r="F1090" s="204">
        <v>0</v>
      </c>
      <c r="G1090" s="205"/>
      <c r="H1090" s="205"/>
      <c r="I1090" s="264">
        <f t="shared" si="22"/>
        <v>0</v>
      </c>
    </row>
    <row r="1091" spans="2:9" ht="15.75" hidden="1" customHeight="1" outlineLevel="1" thickBot="1" x14ac:dyDescent="0.3">
      <c r="B1091" s="241">
        <f>IF(AND(F1091&lt;&gt;"", B1086&lt;&gt;""), B1086+1, "")</f>
        <v>46018</v>
      </c>
      <c r="C1091" s="442">
        <v>46018</v>
      </c>
      <c r="D1091" s="443">
        <f>D1086+1</f>
        <v>46018</v>
      </c>
      <c r="E1091" s="246" t="s">
        <v>394</v>
      </c>
      <c r="F1091" s="202">
        <v>5582</v>
      </c>
      <c r="G1091" s="203">
        <v>1115</v>
      </c>
      <c r="H1091" s="203">
        <v>1300</v>
      </c>
      <c r="I1091" s="263">
        <f t="shared" si="22"/>
        <v>5397</v>
      </c>
    </row>
    <row r="1092" spans="2:9" ht="15.75" hidden="1" customHeight="1" outlineLevel="1" thickBot="1" x14ac:dyDescent="0.3">
      <c r="B1092" s="245">
        <f>IF(AND(F1091&lt;&gt;"", B1087&lt;&gt;""), B1087+1, "")</f>
        <v>46018</v>
      </c>
      <c r="C1092" s="409"/>
      <c r="D1092" s="409"/>
      <c r="E1092" s="246" t="s">
        <v>764</v>
      </c>
      <c r="F1092" s="202">
        <v>637</v>
      </c>
      <c r="G1092" s="203"/>
      <c r="H1092" s="203">
        <v>150</v>
      </c>
      <c r="I1092" s="263">
        <f t="shared" si="22"/>
        <v>487</v>
      </c>
    </row>
    <row r="1093" spans="2:9" ht="15.75" hidden="1" customHeight="1" outlineLevel="1" thickBot="1" x14ac:dyDescent="0.3">
      <c r="B1093" s="245">
        <f>IF(AND(F1091&lt;&gt;"", B1088&lt;&gt;""), B1088+1, "")</f>
        <v>46018</v>
      </c>
      <c r="C1093" s="409"/>
      <c r="D1093" s="409"/>
      <c r="E1093" s="246" t="s">
        <v>765</v>
      </c>
      <c r="F1093" s="202">
        <v>2711</v>
      </c>
      <c r="G1093" s="203">
        <v>715</v>
      </c>
      <c r="H1093" s="203"/>
      <c r="I1093" s="263">
        <f t="shared" si="22"/>
        <v>3426</v>
      </c>
    </row>
    <row r="1094" spans="2:9" ht="15.75" hidden="1" customHeight="1" outlineLevel="1" thickBot="1" x14ac:dyDescent="0.3">
      <c r="B1094" s="245">
        <f>IF(AND(F1091&lt;&gt;"", B1089&lt;&gt;""), B1089+1, "")</f>
        <v>46018</v>
      </c>
      <c r="C1094" s="409"/>
      <c r="D1094" s="409"/>
      <c r="E1094" s="246" t="s">
        <v>766</v>
      </c>
      <c r="F1094" s="202">
        <v>0</v>
      </c>
      <c r="G1094" s="203"/>
      <c r="H1094" s="203"/>
      <c r="I1094" s="263">
        <f t="shared" si="22"/>
        <v>0</v>
      </c>
    </row>
    <row r="1095" spans="2:9" ht="15.75" hidden="1" customHeight="1" outlineLevel="1" thickBot="1" x14ac:dyDescent="0.3">
      <c r="B1095" s="249">
        <f>IF(AND(F1091&lt;&gt;"", B1090&lt;&gt;""), B1090+1, "")</f>
        <v>46018</v>
      </c>
      <c r="C1095" s="416"/>
      <c r="D1095" s="416"/>
      <c r="E1095" s="250" t="s">
        <v>767</v>
      </c>
      <c r="F1095" s="204">
        <v>265</v>
      </c>
      <c r="G1095" s="205"/>
      <c r="H1095" s="205">
        <v>50</v>
      </c>
      <c r="I1095" s="264">
        <f t="shared" si="22"/>
        <v>215</v>
      </c>
    </row>
    <row r="1096" spans="2:9" ht="15.75" hidden="1" customHeight="1" outlineLevel="1" thickBot="1" x14ac:dyDescent="0.3">
      <c r="B1096" s="241">
        <f>IF(AND(F1096&lt;&gt;"", B1091&lt;&gt;""), B1091+1, "")</f>
        <v>46019</v>
      </c>
      <c r="C1096" s="442">
        <v>46019</v>
      </c>
      <c r="D1096" s="443">
        <f>D1091+1</f>
        <v>46019</v>
      </c>
      <c r="E1096" s="246" t="s">
        <v>394</v>
      </c>
      <c r="F1096" s="202">
        <v>5397</v>
      </c>
      <c r="G1096" s="203">
        <v>1300</v>
      </c>
      <c r="H1096" s="203">
        <v>1250</v>
      </c>
      <c r="I1096" s="263">
        <f t="shared" si="22"/>
        <v>5447</v>
      </c>
    </row>
    <row r="1097" spans="2:9" ht="15.75" hidden="1" customHeight="1" outlineLevel="1" thickBot="1" x14ac:dyDescent="0.3">
      <c r="B1097" s="245">
        <f>IF(AND(F1096&lt;&gt;"", B1092&lt;&gt;""), B1092+1, "")</f>
        <v>46019</v>
      </c>
      <c r="C1097" s="409"/>
      <c r="D1097" s="409"/>
      <c r="E1097" s="246" t="s">
        <v>764</v>
      </c>
      <c r="F1097" s="202">
        <v>487</v>
      </c>
      <c r="G1097" s="203"/>
      <c r="H1097" s="203"/>
      <c r="I1097" s="263">
        <f t="shared" si="22"/>
        <v>487</v>
      </c>
    </row>
    <row r="1098" spans="2:9" ht="15.75" hidden="1" customHeight="1" outlineLevel="1" thickBot="1" x14ac:dyDescent="0.3">
      <c r="B1098" s="245">
        <f>IF(AND(F1096&lt;&gt;"", B1093&lt;&gt;""), B1093+1, "")</f>
        <v>46019</v>
      </c>
      <c r="C1098" s="409"/>
      <c r="D1098" s="409"/>
      <c r="E1098" s="246" t="s">
        <v>765</v>
      </c>
      <c r="F1098" s="202">
        <v>3426</v>
      </c>
      <c r="G1098" s="203">
        <v>260</v>
      </c>
      <c r="H1098" s="203"/>
      <c r="I1098" s="263">
        <f t="shared" si="22"/>
        <v>3686</v>
      </c>
    </row>
    <row r="1099" spans="2:9" ht="15.75" hidden="1" customHeight="1" outlineLevel="1" thickBot="1" x14ac:dyDescent="0.3">
      <c r="B1099" s="245">
        <f>IF(AND(F1096&lt;&gt;"", B1094&lt;&gt;""), B1094+1, "")</f>
        <v>46019</v>
      </c>
      <c r="C1099" s="409"/>
      <c r="D1099" s="409"/>
      <c r="E1099" s="246" t="s">
        <v>766</v>
      </c>
      <c r="F1099" s="202">
        <v>0</v>
      </c>
      <c r="G1099" s="203"/>
      <c r="H1099" s="203"/>
      <c r="I1099" s="263">
        <f t="shared" si="22"/>
        <v>0</v>
      </c>
    </row>
    <row r="1100" spans="2:9" ht="15.75" hidden="1" customHeight="1" outlineLevel="1" thickBot="1" x14ac:dyDescent="0.3">
      <c r="B1100" s="249">
        <f>IF(AND(F1096&lt;&gt;"", B1095&lt;&gt;""), B1095+1, "")</f>
        <v>46019</v>
      </c>
      <c r="C1100" s="416"/>
      <c r="D1100" s="416"/>
      <c r="E1100" s="250" t="s">
        <v>767</v>
      </c>
      <c r="F1100" s="204">
        <v>215</v>
      </c>
      <c r="G1100" s="205"/>
      <c r="H1100" s="205"/>
      <c r="I1100" s="264">
        <f t="shared" si="22"/>
        <v>215</v>
      </c>
    </row>
    <row r="1101" spans="2:9" ht="15.75" hidden="1" customHeight="1" outlineLevel="1" thickBot="1" x14ac:dyDescent="0.3">
      <c r="B1101" s="241">
        <f>IF(AND(F1101&lt;&gt;"", B1096&lt;&gt;""), B1096+1, "")</f>
        <v>46020</v>
      </c>
      <c r="C1101" s="442">
        <v>46020</v>
      </c>
      <c r="D1101" s="443">
        <f>D1096+1</f>
        <v>46020</v>
      </c>
      <c r="E1101" s="246" t="s">
        <v>394</v>
      </c>
      <c r="F1101" s="202">
        <v>5447</v>
      </c>
      <c r="G1101" s="203">
        <v>1600</v>
      </c>
      <c r="H1101" s="203">
        <v>1550</v>
      </c>
      <c r="I1101" s="263">
        <f t="shared" si="22"/>
        <v>5497</v>
      </c>
    </row>
    <row r="1102" spans="2:9" ht="15.75" hidden="1" customHeight="1" outlineLevel="1" thickBot="1" x14ac:dyDescent="0.3">
      <c r="B1102" s="245">
        <f>IF(AND(F1101&lt;&gt;"", B1097&lt;&gt;""), B1097+1, "")</f>
        <v>46020</v>
      </c>
      <c r="C1102" s="409"/>
      <c r="D1102" s="409"/>
      <c r="E1102" s="246" t="s">
        <v>764</v>
      </c>
      <c r="F1102" s="202">
        <v>487</v>
      </c>
      <c r="G1102" s="203"/>
      <c r="H1102" s="203"/>
      <c r="I1102" s="263">
        <f t="shared" si="22"/>
        <v>487</v>
      </c>
    </row>
    <row r="1103" spans="2:9" ht="15.75" hidden="1" customHeight="1" outlineLevel="1" thickBot="1" x14ac:dyDescent="0.3">
      <c r="B1103" s="245">
        <f>IF(AND(F1101&lt;&gt;"", B1098&lt;&gt;""), B1098+1, "")</f>
        <v>46020</v>
      </c>
      <c r="C1103" s="409"/>
      <c r="D1103" s="409"/>
      <c r="E1103" s="246" t="s">
        <v>765</v>
      </c>
      <c r="F1103" s="202">
        <v>3686</v>
      </c>
      <c r="G1103" s="203"/>
      <c r="H1103" s="203"/>
      <c r="I1103" s="263">
        <f t="shared" si="22"/>
        <v>3686</v>
      </c>
    </row>
    <row r="1104" spans="2:9" ht="15.75" hidden="1" customHeight="1" outlineLevel="1" thickBot="1" x14ac:dyDescent="0.3">
      <c r="B1104" s="245">
        <f>IF(AND(F1101&lt;&gt;"", B1099&lt;&gt;""), B1099+1, "")</f>
        <v>46020</v>
      </c>
      <c r="C1104" s="409"/>
      <c r="D1104" s="409"/>
      <c r="E1104" s="246" t="s">
        <v>766</v>
      </c>
      <c r="F1104" s="202">
        <v>0</v>
      </c>
      <c r="G1104" s="203"/>
      <c r="H1104" s="203"/>
      <c r="I1104" s="263">
        <f t="shared" si="22"/>
        <v>0</v>
      </c>
    </row>
    <row r="1105" spans="1:13" ht="15.75" hidden="1" customHeight="1" outlineLevel="1" thickBot="1" x14ac:dyDescent="0.3">
      <c r="B1105" s="249">
        <f>IF(AND(F1101&lt;&gt;"", B1100&lt;&gt;""), B1100+1, "")</f>
        <v>46020</v>
      </c>
      <c r="C1105" s="416"/>
      <c r="D1105" s="416"/>
      <c r="E1105" s="250" t="s">
        <v>767</v>
      </c>
      <c r="F1105" s="204">
        <v>215</v>
      </c>
      <c r="G1105" s="205"/>
      <c r="H1105" s="205">
        <v>50</v>
      </c>
      <c r="I1105" s="264">
        <f t="shared" si="22"/>
        <v>165</v>
      </c>
    </row>
    <row r="1106" spans="1:13" s="231" customFormat="1" ht="15.75" customHeight="1" collapsed="1" thickBot="1" x14ac:dyDescent="0.3">
      <c r="A1106" s="1"/>
      <c r="B1106" s="241" t="e">
        <f>IF(AND(F1106&lt;&gt;"",#REF!&lt;&gt; ""),#REF!+ 1, "")</f>
        <v>#REF!</v>
      </c>
      <c r="C1106" s="442">
        <v>46251</v>
      </c>
      <c r="D1106" s="444">
        <f>C1106</f>
        <v>46251</v>
      </c>
      <c r="E1106" s="246" t="s">
        <v>394</v>
      </c>
      <c r="F1106" s="202">
        <f t="array" ref="F1106:I1810">'[2]Armature SFG Report Entry'!$F$2256:$I$2960</f>
        <v>8400</v>
      </c>
      <c r="G1106" s="203">
        <v>1800</v>
      </c>
      <c r="H1106" s="203">
        <v>1250</v>
      </c>
      <c r="I1106" s="263">
        <v>8950</v>
      </c>
      <c r="K1106" s="230"/>
      <c r="L1106" s="230"/>
      <c r="M1106" s="230"/>
    </row>
    <row r="1107" spans="1:13" s="231" customFormat="1" x14ac:dyDescent="0.25">
      <c r="A1107" s="1"/>
      <c r="B1107" s="245" t="e">
        <f>IF(AND(F1106&lt;&gt;"",#REF!&lt;&gt; ""),#REF!+ 1, "")</f>
        <v>#REF!</v>
      </c>
      <c r="C1107" s="409"/>
      <c r="D1107" s="445"/>
      <c r="E1107" s="246" t="s">
        <v>764</v>
      </c>
      <c r="F1107" s="202">
        <v>1017</v>
      </c>
      <c r="G1107" s="203">
        <v>0</v>
      </c>
      <c r="H1107" s="203">
        <v>0</v>
      </c>
      <c r="I1107" s="263">
        <v>1017</v>
      </c>
      <c r="K1107" s="230"/>
      <c r="L1107" s="230"/>
      <c r="M1107" s="230"/>
    </row>
    <row r="1108" spans="1:13" s="231" customFormat="1" x14ac:dyDescent="0.25">
      <c r="A1108" s="1"/>
      <c r="B1108" s="245" t="e">
        <f>IF(AND(F1106&lt;&gt;"",#REF!&lt;&gt; ""),#REF!+ 1, "")</f>
        <v>#REF!</v>
      </c>
      <c r="C1108" s="409"/>
      <c r="D1108" s="445"/>
      <c r="E1108" s="246" t="s">
        <v>765</v>
      </c>
      <c r="F1108" s="202">
        <v>9538</v>
      </c>
      <c r="G1108" s="203">
        <v>0</v>
      </c>
      <c r="H1108" s="203">
        <v>0</v>
      </c>
      <c r="I1108" s="263">
        <v>9538</v>
      </c>
      <c r="K1108" s="230"/>
      <c r="L1108" s="230"/>
      <c r="M1108" s="230"/>
    </row>
    <row r="1109" spans="1:13" s="231" customFormat="1" x14ac:dyDescent="0.25">
      <c r="A1109" s="1"/>
      <c r="B1109" s="245" t="e">
        <f>IF(AND(F1106&lt;&gt;"",#REF!&lt;&gt; ""),#REF!+ 1, "")</f>
        <v>#REF!</v>
      </c>
      <c r="C1109" s="409"/>
      <c r="D1109" s="445"/>
      <c r="E1109" s="246" t="s">
        <v>766</v>
      </c>
      <c r="F1109" s="202">
        <v>96</v>
      </c>
      <c r="G1109" s="203">
        <v>0</v>
      </c>
      <c r="H1109" s="203">
        <v>0</v>
      </c>
      <c r="I1109" s="263">
        <v>96</v>
      </c>
      <c r="K1109" s="230"/>
      <c r="L1109" s="230"/>
      <c r="M1109" s="230"/>
    </row>
    <row r="1110" spans="1:13" s="231" customFormat="1" ht="15.75" customHeight="1" thickBot="1" x14ac:dyDescent="0.3">
      <c r="A1110" s="1"/>
      <c r="B1110" s="249" t="e">
        <f>IF(AND(F1106&lt;&gt;"",#REF!&lt;&gt; ""),#REF!+ 1, "")</f>
        <v>#REF!</v>
      </c>
      <c r="C1110" s="416"/>
      <c r="D1110" s="446"/>
      <c r="E1110" s="250" t="s">
        <v>767</v>
      </c>
      <c r="F1110" s="204">
        <v>257</v>
      </c>
      <c r="G1110" s="205">
        <v>0</v>
      </c>
      <c r="H1110" s="205">
        <v>0</v>
      </c>
      <c r="I1110" s="264">
        <v>257</v>
      </c>
      <c r="K1110" s="230"/>
      <c r="L1110" s="230"/>
      <c r="M1110" s="230"/>
    </row>
    <row r="1111" spans="1:13" s="231" customFormat="1" x14ac:dyDescent="0.25">
      <c r="A1111" s="1"/>
      <c r="B1111" s="241" t="e">
        <f>IF(AND(F1111&lt;&gt;"", B1106&lt;&gt;""), B1106+1, "")</f>
        <v>#REF!</v>
      </c>
      <c r="C1111" s="442">
        <v>46252</v>
      </c>
      <c r="D1111" s="444">
        <f>D1106+1</f>
        <v>46252</v>
      </c>
      <c r="E1111" s="246" t="s">
        <v>394</v>
      </c>
      <c r="F1111" s="202">
        <v>8950</v>
      </c>
      <c r="G1111" s="203">
        <v>1790</v>
      </c>
      <c r="H1111" s="203">
        <v>1800</v>
      </c>
      <c r="I1111" s="263">
        <v>8940</v>
      </c>
      <c r="K1111" s="230"/>
      <c r="L1111" s="230"/>
      <c r="M1111" s="230"/>
    </row>
    <row r="1112" spans="1:13" s="231" customFormat="1" x14ac:dyDescent="0.25">
      <c r="A1112" s="1"/>
      <c r="B1112" s="245" t="e">
        <f>IF(AND(F1111&lt;&gt;"", B1107&lt;&gt;""), B1107+1, "")</f>
        <v>#REF!</v>
      </c>
      <c r="C1112" s="409"/>
      <c r="D1112" s="445"/>
      <c r="E1112" s="246" t="s">
        <v>764</v>
      </c>
      <c r="F1112" s="202">
        <v>1017</v>
      </c>
      <c r="G1112" s="203">
        <v>0</v>
      </c>
      <c r="H1112" s="203">
        <v>0</v>
      </c>
      <c r="I1112" s="263">
        <v>1017</v>
      </c>
      <c r="K1112" s="230"/>
      <c r="L1112" s="230"/>
      <c r="M1112" s="230"/>
    </row>
    <row r="1113" spans="1:13" s="231" customFormat="1" x14ac:dyDescent="0.25">
      <c r="A1113" s="1"/>
      <c r="B1113" s="245" t="e">
        <f>IF(AND(F1111&lt;&gt;"", B1108&lt;&gt;""), B1108+1, "")</f>
        <v>#REF!</v>
      </c>
      <c r="C1113" s="409"/>
      <c r="D1113" s="445"/>
      <c r="E1113" s="246" t="s">
        <v>765</v>
      </c>
      <c r="F1113" s="202">
        <v>9538</v>
      </c>
      <c r="G1113" s="203">
        <v>0</v>
      </c>
      <c r="H1113" s="203">
        <v>0</v>
      </c>
      <c r="I1113" s="263">
        <v>9538</v>
      </c>
      <c r="K1113" s="230"/>
      <c r="L1113" s="230"/>
      <c r="M1113" s="230"/>
    </row>
    <row r="1114" spans="1:13" s="231" customFormat="1" x14ac:dyDescent="0.25">
      <c r="A1114" s="1"/>
      <c r="B1114" s="245" t="e">
        <f>IF(AND(F1111&lt;&gt;"", B1109&lt;&gt;""), B1109+1, "")</f>
        <v>#REF!</v>
      </c>
      <c r="C1114" s="409"/>
      <c r="D1114" s="445"/>
      <c r="E1114" s="246" t="s">
        <v>766</v>
      </c>
      <c r="F1114" s="202">
        <v>96</v>
      </c>
      <c r="G1114" s="203">
        <v>0</v>
      </c>
      <c r="H1114" s="203">
        <v>0</v>
      </c>
      <c r="I1114" s="263">
        <v>96</v>
      </c>
      <c r="K1114" s="230"/>
      <c r="L1114" s="230"/>
      <c r="M1114" s="230"/>
    </row>
    <row r="1115" spans="1:13" s="231" customFormat="1" ht="15.75" customHeight="1" thickBot="1" x14ac:dyDescent="0.3">
      <c r="A1115" s="1"/>
      <c r="B1115" s="249" t="e">
        <f>IF(AND(F1111&lt;&gt;"", B1110&lt;&gt;""), B1110+1, "")</f>
        <v>#REF!</v>
      </c>
      <c r="C1115" s="416"/>
      <c r="D1115" s="446"/>
      <c r="E1115" s="250" t="s">
        <v>767</v>
      </c>
      <c r="F1115" s="204">
        <v>257</v>
      </c>
      <c r="G1115" s="205">
        <v>0</v>
      </c>
      <c r="H1115" s="205">
        <v>0</v>
      </c>
      <c r="I1115" s="264">
        <v>257</v>
      </c>
      <c r="K1115" s="230"/>
      <c r="L1115" s="230"/>
      <c r="M1115" s="230"/>
    </row>
    <row r="1116" spans="1:13" s="231" customFormat="1" x14ac:dyDescent="0.25">
      <c r="A1116" s="1"/>
      <c r="B1116" s="241" t="e">
        <f>IF(AND(F1116&lt;&gt;"", B1111&lt;&gt;""), B1111+1, "")</f>
        <v>#REF!</v>
      </c>
      <c r="C1116" s="442">
        <v>46253</v>
      </c>
      <c r="D1116" s="444">
        <f>D1111+1</f>
        <v>46253</v>
      </c>
      <c r="E1116" s="246" t="s">
        <v>394</v>
      </c>
      <c r="F1116" s="202">
        <v>8940</v>
      </c>
      <c r="G1116" s="203">
        <v>1790</v>
      </c>
      <c r="H1116" s="203">
        <v>240</v>
      </c>
      <c r="I1116" s="263">
        <v>10490</v>
      </c>
      <c r="K1116" s="230"/>
      <c r="L1116" s="230"/>
      <c r="M1116" s="230"/>
    </row>
    <row r="1117" spans="1:13" s="231" customFormat="1" x14ac:dyDescent="0.25">
      <c r="A1117" s="1"/>
      <c r="B1117" s="245" t="e">
        <f>IF(AND(F1116&lt;&gt;"", B1112&lt;&gt;""), B1112+1, "")</f>
        <v>#REF!</v>
      </c>
      <c r="C1117" s="409"/>
      <c r="D1117" s="445"/>
      <c r="E1117" s="246" t="s">
        <v>764</v>
      </c>
      <c r="F1117" s="202">
        <v>1017</v>
      </c>
      <c r="G1117" s="203">
        <v>0</v>
      </c>
      <c r="H1117" s="203">
        <v>0</v>
      </c>
      <c r="I1117" s="263">
        <v>1017</v>
      </c>
      <c r="K1117" s="230"/>
      <c r="L1117" s="230"/>
      <c r="M1117" s="230"/>
    </row>
    <row r="1118" spans="1:13" s="231" customFormat="1" x14ac:dyDescent="0.25">
      <c r="A1118" s="1"/>
      <c r="B1118" s="245" t="e">
        <f>IF(AND(F1116&lt;&gt;"", B1113&lt;&gt;""), B1113+1, "")</f>
        <v>#REF!</v>
      </c>
      <c r="C1118" s="409"/>
      <c r="D1118" s="445"/>
      <c r="E1118" s="246" t="s">
        <v>765</v>
      </c>
      <c r="F1118" s="202">
        <v>9538</v>
      </c>
      <c r="G1118" s="203">
        <v>0</v>
      </c>
      <c r="H1118" s="203">
        <v>960</v>
      </c>
      <c r="I1118" s="263">
        <v>8578</v>
      </c>
      <c r="K1118" s="230"/>
      <c r="L1118" s="230"/>
      <c r="M1118" s="230"/>
    </row>
    <row r="1119" spans="1:13" s="231" customFormat="1" x14ac:dyDescent="0.25">
      <c r="A1119" s="1"/>
      <c r="B1119" s="245" t="e">
        <f>IF(AND(F1116&lt;&gt;"", B1114&lt;&gt;""), B1114+1, "")</f>
        <v>#REF!</v>
      </c>
      <c r="C1119" s="409"/>
      <c r="D1119" s="445"/>
      <c r="E1119" s="246" t="s">
        <v>766</v>
      </c>
      <c r="F1119" s="202">
        <v>96</v>
      </c>
      <c r="G1119" s="203">
        <v>0</v>
      </c>
      <c r="H1119" s="203">
        <v>0</v>
      </c>
      <c r="I1119" s="263">
        <v>96</v>
      </c>
      <c r="K1119" s="230"/>
      <c r="L1119" s="230"/>
      <c r="M1119" s="230"/>
    </row>
    <row r="1120" spans="1:13" s="231" customFormat="1" ht="15.75" customHeight="1" thickBot="1" x14ac:dyDescent="0.3">
      <c r="A1120" s="1"/>
      <c r="B1120" s="249" t="e">
        <f>IF(AND(F1116&lt;&gt;"", B1115&lt;&gt;""), B1115+1, "")</f>
        <v>#REF!</v>
      </c>
      <c r="C1120" s="416"/>
      <c r="D1120" s="446"/>
      <c r="E1120" s="250" t="s">
        <v>767</v>
      </c>
      <c r="F1120" s="204">
        <v>257</v>
      </c>
      <c r="G1120" s="205">
        <v>0</v>
      </c>
      <c r="H1120" s="205">
        <v>0</v>
      </c>
      <c r="I1120" s="264">
        <v>257</v>
      </c>
      <c r="K1120" s="230"/>
      <c r="L1120" s="230"/>
      <c r="M1120" s="230"/>
    </row>
    <row r="1121" spans="1:13" s="231" customFormat="1" x14ac:dyDescent="0.25">
      <c r="A1121" s="1"/>
      <c r="B1121" s="241" t="e">
        <f>IF(AND(F1121&lt;&gt;"", B1116&lt;&gt;""), B1116+1, "")</f>
        <v>#REF!</v>
      </c>
      <c r="C1121" s="442">
        <v>46254</v>
      </c>
      <c r="D1121" s="444">
        <f>D1116+1</f>
        <v>46254</v>
      </c>
      <c r="E1121" s="246" t="s">
        <v>394</v>
      </c>
      <c r="F1121" s="202">
        <v>10319</v>
      </c>
      <c r="G1121" s="203">
        <v>1580</v>
      </c>
      <c r="H1121" s="203">
        <v>0</v>
      </c>
      <c r="I1121" s="263">
        <v>11899</v>
      </c>
      <c r="K1121" s="230"/>
      <c r="L1121" s="230"/>
      <c r="M1121" s="230"/>
    </row>
    <row r="1122" spans="1:13" s="231" customFormat="1" x14ac:dyDescent="0.25">
      <c r="A1122" s="1"/>
      <c r="B1122" s="245" t="e">
        <f>IF(AND(F1121&lt;&gt;"", B1117&lt;&gt;""), B1117+1, "")</f>
        <v>#REF!</v>
      </c>
      <c r="C1122" s="409"/>
      <c r="D1122" s="445"/>
      <c r="E1122" s="246" t="s">
        <v>764</v>
      </c>
      <c r="F1122" s="202">
        <v>1017</v>
      </c>
      <c r="G1122" s="203">
        <v>0</v>
      </c>
      <c r="H1122" s="203">
        <v>0</v>
      </c>
      <c r="I1122" s="263">
        <v>1017</v>
      </c>
      <c r="K1122" s="230"/>
      <c r="L1122" s="230"/>
      <c r="M1122" s="230"/>
    </row>
    <row r="1123" spans="1:13" s="231" customFormat="1" x14ac:dyDescent="0.25">
      <c r="A1123" s="1"/>
      <c r="B1123" s="245" t="e">
        <f>IF(AND(F1121&lt;&gt;"", B1118&lt;&gt;""), B1118+1, "")</f>
        <v>#REF!</v>
      </c>
      <c r="C1123" s="409"/>
      <c r="D1123" s="445"/>
      <c r="E1123" s="246" t="s">
        <v>765</v>
      </c>
      <c r="F1123" s="202">
        <v>8578</v>
      </c>
      <c r="G1123" s="203">
        <v>0</v>
      </c>
      <c r="H1123" s="203">
        <v>1430</v>
      </c>
      <c r="I1123" s="263">
        <v>7148</v>
      </c>
      <c r="K1123" s="230"/>
      <c r="L1123" s="230"/>
      <c r="M1123" s="230"/>
    </row>
    <row r="1124" spans="1:13" s="231" customFormat="1" x14ac:dyDescent="0.25">
      <c r="A1124" s="1"/>
      <c r="B1124" s="245" t="e">
        <f>IF(AND(F1121&lt;&gt;"", B1119&lt;&gt;""), B1119+1, "")</f>
        <v>#REF!</v>
      </c>
      <c r="C1124" s="409"/>
      <c r="D1124" s="445"/>
      <c r="E1124" s="246" t="s">
        <v>766</v>
      </c>
      <c r="F1124" s="202">
        <v>96</v>
      </c>
      <c r="G1124" s="203">
        <v>200</v>
      </c>
      <c r="H1124" s="203">
        <v>0</v>
      </c>
      <c r="I1124" s="263">
        <v>296</v>
      </c>
      <c r="K1124" s="230"/>
      <c r="L1124" s="230"/>
      <c r="M1124" s="230"/>
    </row>
    <row r="1125" spans="1:13" s="231" customFormat="1" ht="15.75" customHeight="1" thickBot="1" x14ac:dyDescent="0.3">
      <c r="A1125" s="1"/>
      <c r="B1125" s="249" t="e">
        <f>IF(AND(F1121&lt;&gt;"", B1120&lt;&gt;""), B1120+1, "")</f>
        <v>#REF!</v>
      </c>
      <c r="C1125" s="416"/>
      <c r="D1125" s="446"/>
      <c r="E1125" s="250" t="s">
        <v>767</v>
      </c>
      <c r="F1125" s="204">
        <v>257</v>
      </c>
      <c r="G1125" s="205">
        <v>0</v>
      </c>
      <c r="H1125" s="205">
        <v>0</v>
      </c>
      <c r="I1125" s="264">
        <v>257</v>
      </c>
      <c r="K1125" s="230"/>
      <c r="L1125" s="230"/>
      <c r="M1125" s="230"/>
    </row>
    <row r="1126" spans="1:13" s="231" customFormat="1" x14ac:dyDescent="0.25">
      <c r="A1126" s="1"/>
      <c r="B1126" s="241" t="e">
        <f>IF(AND(F1126&lt;&gt;"", B1121&lt;&gt;""), B1121+1, "")</f>
        <v>#REF!</v>
      </c>
      <c r="C1126" s="442">
        <v>46255</v>
      </c>
      <c r="D1126" s="444">
        <f>D1121+1</f>
        <v>46255</v>
      </c>
      <c r="E1126" s="246" t="s">
        <v>394</v>
      </c>
      <c r="F1126" s="202">
        <v>11899</v>
      </c>
      <c r="G1126" s="203">
        <v>0</v>
      </c>
      <c r="H1126" s="203">
        <v>0</v>
      </c>
      <c r="I1126" s="263">
        <v>11899</v>
      </c>
      <c r="K1126" s="230"/>
      <c r="L1126" s="230"/>
      <c r="M1126" s="230"/>
    </row>
    <row r="1127" spans="1:13" s="231" customFormat="1" x14ac:dyDescent="0.25">
      <c r="A1127" s="1"/>
      <c r="B1127" s="245" t="e">
        <f>IF(AND(F1126&lt;&gt;"", B1122&lt;&gt;""), B1122+1, "")</f>
        <v>#REF!</v>
      </c>
      <c r="C1127" s="409"/>
      <c r="D1127" s="445"/>
      <c r="E1127" s="246" t="s">
        <v>764</v>
      </c>
      <c r="F1127" s="202">
        <v>1017</v>
      </c>
      <c r="G1127" s="203">
        <v>0</v>
      </c>
      <c r="H1127" s="203">
        <v>0</v>
      </c>
      <c r="I1127" s="263">
        <v>1017</v>
      </c>
      <c r="K1127" s="230"/>
      <c r="L1127" s="230"/>
      <c r="M1127" s="230"/>
    </row>
    <row r="1128" spans="1:13" s="231" customFormat="1" x14ac:dyDescent="0.25">
      <c r="A1128" s="1"/>
      <c r="B1128" s="245" t="e">
        <f>IF(AND(F1126&lt;&gt;"", B1123&lt;&gt;""), B1123+1, "")</f>
        <v>#REF!</v>
      </c>
      <c r="C1128" s="409"/>
      <c r="D1128" s="445"/>
      <c r="E1128" s="246" t="s">
        <v>765</v>
      </c>
      <c r="F1128" s="202">
        <v>7148</v>
      </c>
      <c r="G1128" s="203">
        <v>0</v>
      </c>
      <c r="H1128" s="203">
        <v>0</v>
      </c>
      <c r="I1128" s="263">
        <v>7148</v>
      </c>
      <c r="K1128" s="230"/>
      <c r="L1128" s="230"/>
      <c r="M1128" s="230"/>
    </row>
    <row r="1129" spans="1:13" s="231" customFormat="1" x14ac:dyDescent="0.25">
      <c r="A1129" s="1"/>
      <c r="B1129" s="245" t="e">
        <f>IF(AND(F1126&lt;&gt;"", B1124&lt;&gt;""), B1124+1, "")</f>
        <v>#REF!</v>
      </c>
      <c r="C1129" s="409"/>
      <c r="D1129" s="445"/>
      <c r="E1129" s="246" t="s">
        <v>766</v>
      </c>
      <c r="F1129" s="202">
        <v>296</v>
      </c>
      <c r="G1129" s="203">
        <v>0</v>
      </c>
      <c r="H1129" s="203">
        <v>0</v>
      </c>
      <c r="I1129" s="263">
        <v>296</v>
      </c>
      <c r="K1129" s="230"/>
      <c r="L1129" s="230"/>
      <c r="M1129" s="230"/>
    </row>
    <row r="1130" spans="1:13" s="231" customFormat="1" ht="15.75" customHeight="1" thickBot="1" x14ac:dyDescent="0.3">
      <c r="A1130" s="1"/>
      <c r="B1130" s="249" t="e">
        <f>IF(AND(F1126&lt;&gt;"", B1125&lt;&gt;""), B1125+1, "")</f>
        <v>#REF!</v>
      </c>
      <c r="C1130" s="416"/>
      <c r="D1130" s="446"/>
      <c r="E1130" s="250" t="s">
        <v>767</v>
      </c>
      <c r="F1130" s="204">
        <v>257</v>
      </c>
      <c r="G1130" s="205">
        <v>0</v>
      </c>
      <c r="H1130" s="205">
        <v>0</v>
      </c>
      <c r="I1130" s="264">
        <v>257</v>
      </c>
      <c r="K1130" s="230"/>
      <c r="L1130" s="230"/>
      <c r="M1130" s="230"/>
    </row>
    <row r="1131" spans="1:13" s="231" customFormat="1" x14ac:dyDescent="0.25">
      <c r="A1131" s="1"/>
      <c r="B1131" s="241" t="e">
        <f>IF(AND(F1131&lt;&gt;"", B1126&lt;&gt;""), B1126+1, "")</f>
        <v>#REF!</v>
      </c>
      <c r="C1131" s="442">
        <v>46256</v>
      </c>
      <c r="D1131" s="444">
        <f>D1126+1</f>
        <v>46256</v>
      </c>
      <c r="E1131" s="246" t="s">
        <v>394</v>
      </c>
      <c r="F1131" s="202">
        <v>11899</v>
      </c>
      <c r="G1131" s="203">
        <v>1790</v>
      </c>
      <c r="H1131" s="203">
        <v>0</v>
      </c>
      <c r="I1131" s="263">
        <v>13689</v>
      </c>
      <c r="K1131" s="230"/>
      <c r="L1131" s="230"/>
      <c r="M1131" s="230"/>
    </row>
    <row r="1132" spans="1:13" s="231" customFormat="1" x14ac:dyDescent="0.25">
      <c r="A1132" s="1"/>
      <c r="B1132" s="245" t="e">
        <f>IF(AND(F1131&lt;&gt;"", B1127&lt;&gt;""), B1127+1, "")</f>
        <v>#REF!</v>
      </c>
      <c r="C1132" s="409"/>
      <c r="D1132" s="445"/>
      <c r="E1132" s="246" t="s">
        <v>764</v>
      </c>
      <c r="F1132" s="202">
        <v>1017</v>
      </c>
      <c r="G1132" s="203">
        <v>0</v>
      </c>
      <c r="H1132" s="203">
        <v>0</v>
      </c>
      <c r="I1132" s="263">
        <v>1017</v>
      </c>
      <c r="K1132" s="230"/>
      <c r="L1132" s="230"/>
      <c r="M1132" s="230"/>
    </row>
    <row r="1133" spans="1:13" s="231" customFormat="1" x14ac:dyDescent="0.25">
      <c r="A1133" s="1"/>
      <c r="B1133" s="245" t="e">
        <f>IF(AND(F1131&lt;&gt;"", B1128&lt;&gt;""), B1128+1, "")</f>
        <v>#REF!</v>
      </c>
      <c r="C1133" s="409"/>
      <c r="D1133" s="445"/>
      <c r="E1133" s="246" t="s">
        <v>765</v>
      </c>
      <c r="F1133" s="202">
        <v>7148</v>
      </c>
      <c r="G1133" s="203">
        <v>0</v>
      </c>
      <c r="H1133" s="203">
        <v>1850</v>
      </c>
      <c r="I1133" s="263">
        <v>5298</v>
      </c>
      <c r="K1133" s="230"/>
      <c r="L1133" s="230"/>
      <c r="M1133" s="230"/>
    </row>
    <row r="1134" spans="1:13" s="231" customFormat="1" x14ac:dyDescent="0.25">
      <c r="A1134" s="1"/>
      <c r="B1134" s="245" t="e">
        <f>IF(AND(F1131&lt;&gt;"", B1129&lt;&gt;""), B1129+1, "")</f>
        <v>#REF!</v>
      </c>
      <c r="C1134" s="409"/>
      <c r="D1134" s="445"/>
      <c r="E1134" s="246" t="s">
        <v>766</v>
      </c>
      <c r="F1134" s="202">
        <v>296</v>
      </c>
      <c r="G1134" s="203">
        <v>0</v>
      </c>
      <c r="H1134" s="203">
        <v>0</v>
      </c>
      <c r="I1134" s="263">
        <v>296</v>
      </c>
      <c r="K1134" s="230"/>
      <c r="L1134" s="230"/>
      <c r="M1134" s="230"/>
    </row>
    <row r="1135" spans="1:13" s="231" customFormat="1" ht="15.75" customHeight="1" thickBot="1" x14ac:dyDescent="0.3">
      <c r="A1135" s="1"/>
      <c r="B1135" s="249" t="e">
        <f>IF(AND(F1131&lt;&gt;"", B1130&lt;&gt;""), B1130+1, "")</f>
        <v>#REF!</v>
      </c>
      <c r="C1135" s="416"/>
      <c r="D1135" s="446"/>
      <c r="E1135" s="250" t="s">
        <v>767</v>
      </c>
      <c r="F1135" s="204">
        <v>257</v>
      </c>
      <c r="G1135" s="205">
        <v>0</v>
      </c>
      <c r="H1135" s="205">
        <v>0</v>
      </c>
      <c r="I1135" s="264">
        <v>257</v>
      </c>
      <c r="K1135" s="230"/>
      <c r="L1135" s="230"/>
      <c r="M1135" s="230"/>
    </row>
    <row r="1136" spans="1:13" s="231" customFormat="1" x14ac:dyDescent="0.25">
      <c r="A1136" s="1"/>
      <c r="B1136" s="241" t="e">
        <f>IF(AND(F1136&lt;&gt;"", B1131&lt;&gt;""), B1131+1, "")</f>
        <v>#REF!</v>
      </c>
      <c r="C1136" s="442">
        <v>46257</v>
      </c>
      <c r="D1136" s="444">
        <f>D1131+1</f>
        <v>46257</v>
      </c>
      <c r="E1136" s="246" t="s">
        <v>394</v>
      </c>
      <c r="F1136" s="202">
        <v>13689</v>
      </c>
      <c r="G1136" s="203">
        <v>1790</v>
      </c>
      <c r="H1136" s="203">
        <v>200</v>
      </c>
      <c r="I1136" s="263">
        <v>15279</v>
      </c>
      <c r="K1136" s="230"/>
      <c r="L1136" s="230"/>
      <c r="M1136" s="230"/>
    </row>
    <row r="1137" spans="1:13" s="231" customFormat="1" x14ac:dyDescent="0.25">
      <c r="A1137" s="1"/>
      <c r="B1137" s="245" t="e">
        <f>IF(AND(F1136&lt;&gt;"", B1132&lt;&gt;""), B1132+1, "")</f>
        <v>#REF!</v>
      </c>
      <c r="C1137" s="409"/>
      <c r="D1137" s="445"/>
      <c r="E1137" s="246" t="s">
        <v>764</v>
      </c>
      <c r="F1137" s="202">
        <v>1017</v>
      </c>
      <c r="G1137" s="203">
        <v>0</v>
      </c>
      <c r="H1137" s="203">
        <v>0</v>
      </c>
      <c r="I1137" s="263">
        <v>1017</v>
      </c>
      <c r="K1137" s="230"/>
      <c r="L1137" s="230"/>
      <c r="M1137" s="230"/>
    </row>
    <row r="1138" spans="1:13" s="231" customFormat="1" x14ac:dyDescent="0.25">
      <c r="A1138" s="1"/>
      <c r="B1138" s="245" t="e">
        <f>IF(AND(F1136&lt;&gt;"", B1133&lt;&gt;""), B1133+1, "")</f>
        <v>#REF!</v>
      </c>
      <c r="C1138" s="409"/>
      <c r="D1138" s="445"/>
      <c r="E1138" s="246" t="s">
        <v>765</v>
      </c>
      <c r="F1138" s="202">
        <v>5298</v>
      </c>
      <c r="G1138" s="203">
        <v>0</v>
      </c>
      <c r="H1138" s="203">
        <v>900</v>
      </c>
      <c r="I1138" s="263">
        <v>4398</v>
      </c>
      <c r="K1138" s="230"/>
      <c r="L1138" s="230"/>
      <c r="M1138" s="230"/>
    </row>
    <row r="1139" spans="1:13" s="231" customFormat="1" x14ac:dyDescent="0.25">
      <c r="A1139" s="1"/>
      <c r="B1139" s="245" t="e">
        <f>IF(AND(F1136&lt;&gt;"", B1134&lt;&gt;""), B1134+1, "")</f>
        <v>#REF!</v>
      </c>
      <c r="C1139" s="409"/>
      <c r="D1139" s="445"/>
      <c r="E1139" s="246" t="s">
        <v>766</v>
      </c>
      <c r="F1139" s="202">
        <v>296</v>
      </c>
      <c r="G1139" s="203">
        <v>0</v>
      </c>
      <c r="H1139" s="203">
        <v>0</v>
      </c>
      <c r="I1139" s="263">
        <v>296</v>
      </c>
      <c r="K1139" s="230"/>
      <c r="L1139" s="230"/>
      <c r="M1139" s="230"/>
    </row>
    <row r="1140" spans="1:13" s="231" customFormat="1" ht="15.75" customHeight="1" thickBot="1" x14ac:dyDescent="0.3">
      <c r="A1140" s="1"/>
      <c r="B1140" s="249" t="e">
        <f>IF(AND(F1136&lt;&gt;"", B1135&lt;&gt;""), B1135+1, "")</f>
        <v>#REF!</v>
      </c>
      <c r="C1140" s="416"/>
      <c r="D1140" s="446"/>
      <c r="E1140" s="250" t="s">
        <v>767</v>
      </c>
      <c r="F1140" s="204">
        <v>257</v>
      </c>
      <c r="G1140" s="205">
        <v>0</v>
      </c>
      <c r="H1140" s="205">
        <v>0</v>
      </c>
      <c r="I1140" s="264">
        <v>257</v>
      </c>
      <c r="K1140" s="230"/>
      <c r="L1140" s="230"/>
      <c r="M1140" s="230"/>
    </row>
    <row r="1141" spans="1:13" s="231" customFormat="1" x14ac:dyDescent="0.25">
      <c r="A1141" s="1"/>
      <c r="B1141" s="241" t="e">
        <f>IF(AND(F1141&lt;&gt;"", B1136&lt;&gt;""), B1136+1, "")</f>
        <v>#REF!</v>
      </c>
      <c r="C1141" s="442">
        <v>46258</v>
      </c>
      <c r="D1141" s="444">
        <f>D1136+1</f>
        <v>46258</v>
      </c>
      <c r="E1141" s="246" t="s">
        <v>394</v>
      </c>
      <c r="F1141" s="202">
        <v>15279</v>
      </c>
      <c r="G1141" s="203">
        <v>1800</v>
      </c>
      <c r="H1141" s="203">
        <v>1700</v>
      </c>
      <c r="I1141" s="263">
        <v>15379</v>
      </c>
      <c r="K1141" s="230"/>
      <c r="L1141" s="230"/>
      <c r="M1141" s="230"/>
    </row>
    <row r="1142" spans="1:13" s="231" customFormat="1" x14ac:dyDescent="0.25">
      <c r="A1142" s="1"/>
      <c r="B1142" s="245" t="e">
        <f>IF(AND(F1141&lt;&gt;"", B1137&lt;&gt;""), B1137+1, "")</f>
        <v>#REF!</v>
      </c>
      <c r="C1142" s="409"/>
      <c r="D1142" s="445"/>
      <c r="E1142" s="246" t="s">
        <v>764</v>
      </c>
      <c r="F1142" s="202">
        <v>1017</v>
      </c>
      <c r="G1142" s="203">
        <v>0</v>
      </c>
      <c r="H1142" s="203">
        <v>0</v>
      </c>
      <c r="I1142" s="263">
        <v>1017</v>
      </c>
      <c r="K1142" s="230"/>
      <c r="L1142" s="230"/>
      <c r="M1142" s="230"/>
    </row>
    <row r="1143" spans="1:13" s="231" customFormat="1" x14ac:dyDescent="0.25">
      <c r="A1143" s="1"/>
      <c r="B1143" s="245" t="e">
        <f>IF(AND(F1141&lt;&gt;"", B1138&lt;&gt;""), B1138+1, "")</f>
        <v>#REF!</v>
      </c>
      <c r="C1143" s="409"/>
      <c r="D1143" s="445"/>
      <c r="E1143" s="246" t="s">
        <v>765</v>
      </c>
      <c r="F1143" s="202">
        <v>5685</v>
      </c>
      <c r="G1143" s="203">
        <v>0</v>
      </c>
      <c r="H1143" s="203">
        <v>0</v>
      </c>
      <c r="I1143" s="263">
        <v>5685</v>
      </c>
      <c r="K1143" s="230"/>
      <c r="L1143" s="230"/>
      <c r="M1143" s="230"/>
    </row>
    <row r="1144" spans="1:13" s="231" customFormat="1" x14ac:dyDescent="0.25">
      <c r="A1144" s="1"/>
      <c r="B1144" s="245" t="e">
        <f>IF(AND(F1141&lt;&gt;"", B1139&lt;&gt;""), B1139+1, "")</f>
        <v>#REF!</v>
      </c>
      <c r="C1144" s="409"/>
      <c r="D1144" s="445"/>
      <c r="E1144" s="246" t="s">
        <v>766</v>
      </c>
      <c r="F1144" s="202">
        <v>296</v>
      </c>
      <c r="G1144" s="203">
        <v>0</v>
      </c>
      <c r="H1144" s="203">
        <v>0</v>
      </c>
      <c r="I1144" s="263">
        <v>296</v>
      </c>
      <c r="K1144" s="230"/>
      <c r="L1144" s="230"/>
      <c r="M1144" s="230"/>
    </row>
    <row r="1145" spans="1:13" s="231" customFormat="1" ht="15.75" customHeight="1" thickBot="1" x14ac:dyDescent="0.3">
      <c r="A1145" s="1"/>
      <c r="B1145" s="249" t="e">
        <f>IF(AND(F1141&lt;&gt;"", B1140&lt;&gt;""), B1140+1, "")</f>
        <v>#REF!</v>
      </c>
      <c r="C1145" s="416"/>
      <c r="D1145" s="446"/>
      <c r="E1145" s="250" t="s">
        <v>767</v>
      </c>
      <c r="F1145" s="204">
        <v>257</v>
      </c>
      <c r="G1145" s="205">
        <v>0</v>
      </c>
      <c r="H1145" s="205">
        <v>0</v>
      </c>
      <c r="I1145" s="264">
        <v>257</v>
      </c>
      <c r="K1145" s="230"/>
      <c r="L1145" s="230"/>
      <c r="M1145" s="230"/>
    </row>
    <row r="1146" spans="1:13" s="231" customFormat="1" x14ac:dyDescent="0.25">
      <c r="A1146" s="1"/>
      <c r="B1146" s="241" t="e">
        <f>IF(AND(F1146&lt;&gt;"", B1141&lt;&gt;""), B1141+1, "")</f>
        <v>#REF!</v>
      </c>
      <c r="C1146" s="442">
        <v>46259</v>
      </c>
      <c r="D1146" s="444">
        <f>D1141+1</f>
        <v>46259</v>
      </c>
      <c r="E1146" s="246" t="s">
        <v>394</v>
      </c>
      <c r="F1146" s="202">
        <v>0</v>
      </c>
      <c r="G1146" s="203">
        <v>0</v>
      </c>
      <c r="H1146" s="203">
        <v>0</v>
      </c>
      <c r="I1146" s="263">
        <v>0</v>
      </c>
      <c r="K1146" s="230"/>
      <c r="L1146" s="230"/>
      <c r="M1146" s="230"/>
    </row>
    <row r="1147" spans="1:13" s="231" customFormat="1" x14ac:dyDescent="0.25">
      <c r="A1147" s="1"/>
      <c r="B1147" s="245" t="e">
        <f>IF(AND(F1146&lt;&gt;"", B1142&lt;&gt;""), B1142+1, "")</f>
        <v>#REF!</v>
      </c>
      <c r="C1147" s="409"/>
      <c r="D1147" s="445"/>
      <c r="E1147" s="246" t="s">
        <v>764</v>
      </c>
      <c r="F1147" s="202">
        <v>0</v>
      </c>
      <c r="G1147" s="203">
        <v>0</v>
      </c>
      <c r="H1147" s="203">
        <v>0</v>
      </c>
      <c r="I1147" s="263">
        <v>0</v>
      </c>
      <c r="K1147" s="230"/>
      <c r="L1147" s="230"/>
      <c r="M1147" s="230"/>
    </row>
    <row r="1148" spans="1:13" s="231" customFormat="1" x14ac:dyDescent="0.25">
      <c r="A1148" s="1"/>
      <c r="B1148" s="245" t="e">
        <f>IF(AND(F1146&lt;&gt;"", B1143&lt;&gt;""), B1143+1, "")</f>
        <v>#REF!</v>
      </c>
      <c r="C1148" s="409"/>
      <c r="D1148" s="445"/>
      <c r="E1148" s="246" t="s">
        <v>765</v>
      </c>
      <c r="F1148" s="202">
        <v>0</v>
      </c>
      <c r="G1148" s="203">
        <v>0</v>
      </c>
      <c r="H1148" s="203">
        <v>0</v>
      </c>
      <c r="I1148" s="263">
        <v>0</v>
      </c>
      <c r="K1148" s="230"/>
      <c r="L1148" s="230"/>
      <c r="M1148" s="230"/>
    </row>
    <row r="1149" spans="1:13" s="231" customFormat="1" x14ac:dyDescent="0.25">
      <c r="A1149" s="1"/>
      <c r="B1149" s="245" t="e">
        <f>IF(AND(F1146&lt;&gt;"", B1144&lt;&gt;""), B1144+1, "")</f>
        <v>#REF!</v>
      </c>
      <c r="C1149" s="409"/>
      <c r="D1149" s="445"/>
      <c r="E1149" s="246" t="s">
        <v>766</v>
      </c>
      <c r="F1149" s="202">
        <v>0</v>
      </c>
      <c r="G1149" s="203">
        <v>0</v>
      </c>
      <c r="H1149" s="203">
        <v>0</v>
      </c>
      <c r="I1149" s="263">
        <v>0</v>
      </c>
      <c r="K1149" s="230"/>
      <c r="L1149" s="230"/>
      <c r="M1149" s="230"/>
    </row>
    <row r="1150" spans="1:13" s="231" customFormat="1" ht="15.75" customHeight="1" thickBot="1" x14ac:dyDescent="0.3">
      <c r="A1150" s="1"/>
      <c r="B1150" s="249" t="e">
        <f>IF(AND(F1146&lt;&gt;"", B1145&lt;&gt;""), B1145+1, "")</f>
        <v>#REF!</v>
      </c>
      <c r="C1150" s="416"/>
      <c r="D1150" s="446"/>
      <c r="E1150" s="250" t="s">
        <v>767</v>
      </c>
      <c r="F1150" s="204">
        <v>0</v>
      </c>
      <c r="G1150" s="205">
        <v>0</v>
      </c>
      <c r="H1150" s="205">
        <v>0</v>
      </c>
      <c r="I1150" s="264">
        <v>0</v>
      </c>
      <c r="K1150" s="230"/>
      <c r="L1150" s="230"/>
      <c r="M1150" s="230"/>
    </row>
    <row r="1151" spans="1:13" s="231" customFormat="1" x14ac:dyDescent="0.25">
      <c r="A1151" s="1"/>
      <c r="B1151" s="241" t="e">
        <f>IF(AND(F1151&lt;&gt;"", B1146&lt;&gt;""), B1146+1, "")</f>
        <v>#REF!</v>
      </c>
      <c r="C1151" s="442">
        <v>46260</v>
      </c>
      <c r="D1151" s="444">
        <f>D1146+1</f>
        <v>46260</v>
      </c>
      <c r="E1151" s="246" t="s">
        <v>394</v>
      </c>
      <c r="F1151" s="202">
        <v>0</v>
      </c>
      <c r="G1151" s="203">
        <v>0</v>
      </c>
      <c r="H1151" s="203">
        <v>0</v>
      </c>
      <c r="I1151" s="263">
        <v>0</v>
      </c>
      <c r="K1151" s="230"/>
      <c r="L1151" s="230"/>
      <c r="M1151" s="230"/>
    </row>
    <row r="1152" spans="1:13" s="231" customFormat="1" x14ac:dyDescent="0.25">
      <c r="A1152" s="1"/>
      <c r="B1152" s="245" t="e">
        <f>IF(AND(F1151&lt;&gt;"", B1147&lt;&gt;""), B1147+1, "")</f>
        <v>#REF!</v>
      </c>
      <c r="C1152" s="409"/>
      <c r="D1152" s="445"/>
      <c r="E1152" s="246" t="s">
        <v>764</v>
      </c>
      <c r="F1152" s="202">
        <v>0</v>
      </c>
      <c r="G1152" s="203">
        <v>0</v>
      </c>
      <c r="H1152" s="203">
        <v>0</v>
      </c>
      <c r="I1152" s="263">
        <v>0</v>
      </c>
      <c r="K1152" s="230"/>
      <c r="L1152" s="230"/>
      <c r="M1152" s="230"/>
    </row>
    <row r="1153" spans="1:13" s="231" customFormat="1" x14ac:dyDescent="0.25">
      <c r="A1153" s="1"/>
      <c r="B1153" s="245" t="e">
        <f>IF(AND(F1151&lt;&gt;"", B1148&lt;&gt;""), B1148+1, "")</f>
        <v>#REF!</v>
      </c>
      <c r="C1153" s="409"/>
      <c r="D1153" s="445"/>
      <c r="E1153" s="246" t="s">
        <v>765</v>
      </c>
      <c r="F1153" s="202">
        <v>0</v>
      </c>
      <c r="G1153" s="203">
        <v>0</v>
      </c>
      <c r="H1153" s="203">
        <v>0</v>
      </c>
      <c r="I1153" s="263">
        <v>0</v>
      </c>
      <c r="K1153" s="230"/>
      <c r="L1153" s="230"/>
      <c r="M1153" s="230"/>
    </row>
    <row r="1154" spans="1:13" s="231" customFormat="1" x14ac:dyDescent="0.25">
      <c r="A1154" s="1"/>
      <c r="B1154" s="245" t="e">
        <f>IF(AND(F1151&lt;&gt;"", B1149&lt;&gt;""), B1149+1, "")</f>
        <v>#REF!</v>
      </c>
      <c r="C1154" s="409"/>
      <c r="D1154" s="445"/>
      <c r="E1154" s="246" t="s">
        <v>766</v>
      </c>
      <c r="F1154" s="202">
        <v>0</v>
      </c>
      <c r="G1154" s="203">
        <v>0</v>
      </c>
      <c r="H1154" s="203">
        <v>0</v>
      </c>
      <c r="I1154" s="263">
        <v>0</v>
      </c>
      <c r="K1154" s="230"/>
      <c r="L1154" s="230"/>
      <c r="M1154" s="230"/>
    </row>
    <row r="1155" spans="1:13" s="231" customFormat="1" ht="15.75" customHeight="1" thickBot="1" x14ac:dyDescent="0.3">
      <c r="A1155" s="1"/>
      <c r="B1155" s="249" t="e">
        <f>IF(AND(F1151&lt;&gt;"", B1150&lt;&gt;""), B1150+1, "")</f>
        <v>#REF!</v>
      </c>
      <c r="C1155" s="416"/>
      <c r="D1155" s="446"/>
      <c r="E1155" s="250" t="s">
        <v>767</v>
      </c>
      <c r="F1155" s="204">
        <v>0</v>
      </c>
      <c r="G1155" s="205">
        <v>0</v>
      </c>
      <c r="H1155" s="205">
        <v>0</v>
      </c>
      <c r="I1155" s="264">
        <v>0</v>
      </c>
      <c r="K1155" s="230"/>
      <c r="L1155" s="230"/>
      <c r="M1155" s="230"/>
    </row>
    <row r="1156" spans="1:13" s="231" customFormat="1" x14ac:dyDescent="0.25">
      <c r="A1156" s="1"/>
      <c r="B1156" s="241" t="e">
        <f>IF(AND(F1156&lt;&gt;"", B1151&lt;&gt;""), B1151+1, "")</f>
        <v>#REF!</v>
      </c>
      <c r="C1156" s="442">
        <v>46261</v>
      </c>
      <c r="D1156" s="444">
        <f>D1151+1</f>
        <v>46261</v>
      </c>
      <c r="E1156" s="246" t="s">
        <v>394</v>
      </c>
      <c r="F1156" s="202">
        <v>0</v>
      </c>
      <c r="G1156" s="203">
        <v>0</v>
      </c>
      <c r="H1156" s="203">
        <v>0</v>
      </c>
      <c r="I1156" s="263">
        <v>0</v>
      </c>
      <c r="K1156" s="230"/>
      <c r="L1156" s="230"/>
      <c r="M1156" s="230"/>
    </row>
    <row r="1157" spans="1:13" s="231" customFormat="1" x14ac:dyDescent="0.25">
      <c r="A1157" s="1"/>
      <c r="B1157" s="245" t="e">
        <f>IF(AND(F1156&lt;&gt;"", B1152&lt;&gt;""), B1152+1, "")</f>
        <v>#REF!</v>
      </c>
      <c r="C1157" s="409"/>
      <c r="D1157" s="445"/>
      <c r="E1157" s="246" t="s">
        <v>764</v>
      </c>
      <c r="F1157" s="202">
        <v>0</v>
      </c>
      <c r="G1157" s="203">
        <v>0</v>
      </c>
      <c r="H1157" s="203">
        <v>0</v>
      </c>
      <c r="I1157" s="263">
        <v>0</v>
      </c>
      <c r="K1157" s="230"/>
      <c r="L1157" s="230"/>
      <c r="M1157" s="230"/>
    </row>
    <row r="1158" spans="1:13" s="231" customFormat="1" x14ac:dyDescent="0.25">
      <c r="A1158" s="1"/>
      <c r="B1158" s="245" t="e">
        <f>IF(AND(F1156&lt;&gt;"", B1153&lt;&gt;""), B1153+1, "")</f>
        <v>#REF!</v>
      </c>
      <c r="C1158" s="409"/>
      <c r="D1158" s="445"/>
      <c r="E1158" s="246" t="s">
        <v>765</v>
      </c>
      <c r="F1158" s="202">
        <v>0</v>
      </c>
      <c r="G1158" s="203">
        <v>0</v>
      </c>
      <c r="H1158" s="203">
        <v>0</v>
      </c>
      <c r="I1158" s="263">
        <v>0</v>
      </c>
      <c r="K1158" s="230"/>
      <c r="L1158" s="230"/>
      <c r="M1158" s="230"/>
    </row>
    <row r="1159" spans="1:13" s="231" customFormat="1" x14ac:dyDescent="0.25">
      <c r="A1159" s="1"/>
      <c r="B1159" s="245" t="e">
        <f>IF(AND(F1156&lt;&gt;"", B1154&lt;&gt;""), B1154+1, "")</f>
        <v>#REF!</v>
      </c>
      <c r="C1159" s="409"/>
      <c r="D1159" s="445"/>
      <c r="E1159" s="246" t="s">
        <v>766</v>
      </c>
      <c r="F1159" s="202">
        <v>0</v>
      </c>
      <c r="G1159" s="203">
        <v>0</v>
      </c>
      <c r="H1159" s="203">
        <v>0</v>
      </c>
      <c r="I1159" s="263">
        <v>0</v>
      </c>
      <c r="K1159" s="230"/>
      <c r="L1159" s="230"/>
      <c r="M1159" s="230"/>
    </row>
    <row r="1160" spans="1:13" s="231" customFormat="1" ht="15.75" customHeight="1" thickBot="1" x14ac:dyDescent="0.3">
      <c r="A1160" s="1"/>
      <c r="B1160" s="249" t="e">
        <f>IF(AND(F1156&lt;&gt;"", B1155&lt;&gt;""), B1155+1, "")</f>
        <v>#REF!</v>
      </c>
      <c r="C1160" s="416"/>
      <c r="D1160" s="446"/>
      <c r="E1160" s="250" t="s">
        <v>767</v>
      </c>
      <c r="F1160" s="204">
        <v>0</v>
      </c>
      <c r="G1160" s="205">
        <v>0</v>
      </c>
      <c r="H1160" s="205">
        <v>0</v>
      </c>
      <c r="I1160" s="264">
        <v>0</v>
      </c>
      <c r="K1160" s="230"/>
      <c r="L1160" s="230"/>
      <c r="M1160" s="230"/>
    </row>
    <row r="1161" spans="1:13" s="231" customFormat="1" x14ac:dyDescent="0.25">
      <c r="A1161" s="1"/>
      <c r="B1161" s="241" t="e">
        <f>IF(AND(F1161&lt;&gt;"", B1156&lt;&gt;""), B1156+1, "")</f>
        <v>#REF!</v>
      </c>
      <c r="C1161" s="442">
        <v>46262</v>
      </c>
      <c r="D1161" s="444">
        <f>D1156+1</f>
        <v>46262</v>
      </c>
      <c r="E1161" s="246" t="s">
        <v>394</v>
      </c>
      <c r="F1161" s="202">
        <v>0</v>
      </c>
      <c r="G1161" s="203">
        <v>0</v>
      </c>
      <c r="H1161" s="203">
        <v>0</v>
      </c>
      <c r="I1161" s="263">
        <v>0</v>
      </c>
      <c r="K1161" s="230"/>
      <c r="L1161" s="230"/>
      <c r="M1161" s="230"/>
    </row>
    <row r="1162" spans="1:13" s="231" customFormat="1" x14ac:dyDescent="0.25">
      <c r="A1162" s="1"/>
      <c r="B1162" s="245" t="e">
        <f>IF(AND(F1161&lt;&gt;"", B1157&lt;&gt;""), B1157+1, "")</f>
        <v>#REF!</v>
      </c>
      <c r="C1162" s="409"/>
      <c r="D1162" s="445"/>
      <c r="E1162" s="246" t="s">
        <v>764</v>
      </c>
      <c r="F1162" s="202">
        <v>0</v>
      </c>
      <c r="G1162" s="203">
        <v>0</v>
      </c>
      <c r="H1162" s="203">
        <v>0</v>
      </c>
      <c r="I1162" s="263">
        <v>0</v>
      </c>
      <c r="K1162" s="230"/>
      <c r="L1162" s="230"/>
      <c r="M1162" s="230"/>
    </row>
    <row r="1163" spans="1:13" s="231" customFormat="1" x14ac:dyDescent="0.25">
      <c r="A1163" s="1"/>
      <c r="B1163" s="245" t="e">
        <f>IF(AND(F1161&lt;&gt;"", B1158&lt;&gt;""), B1158+1, "")</f>
        <v>#REF!</v>
      </c>
      <c r="C1163" s="409"/>
      <c r="D1163" s="445"/>
      <c r="E1163" s="246" t="s">
        <v>765</v>
      </c>
      <c r="F1163" s="202">
        <v>0</v>
      </c>
      <c r="G1163" s="203">
        <v>0</v>
      </c>
      <c r="H1163" s="203">
        <v>0</v>
      </c>
      <c r="I1163" s="263">
        <v>0</v>
      </c>
      <c r="K1163" s="230"/>
      <c r="L1163" s="230"/>
      <c r="M1163" s="230"/>
    </row>
    <row r="1164" spans="1:13" s="231" customFormat="1" x14ac:dyDescent="0.25">
      <c r="A1164" s="1"/>
      <c r="B1164" s="245" t="e">
        <f>IF(AND(F1161&lt;&gt;"", B1159&lt;&gt;""), B1159+1, "")</f>
        <v>#REF!</v>
      </c>
      <c r="C1164" s="409"/>
      <c r="D1164" s="445"/>
      <c r="E1164" s="246" t="s">
        <v>766</v>
      </c>
      <c r="F1164" s="202">
        <v>0</v>
      </c>
      <c r="G1164" s="203">
        <v>0</v>
      </c>
      <c r="H1164" s="203">
        <v>0</v>
      </c>
      <c r="I1164" s="263">
        <v>0</v>
      </c>
      <c r="K1164" s="230"/>
      <c r="L1164" s="230"/>
      <c r="M1164" s="230"/>
    </row>
    <row r="1165" spans="1:13" s="231" customFormat="1" ht="15.75" customHeight="1" thickBot="1" x14ac:dyDescent="0.3">
      <c r="A1165" s="1"/>
      <c r="B1165" s="249" t="e">
        <f>IF(AND(F1161&lt;&gt;"", B1160&lt;&gt;""), B1160+1, "")</f>
        <v>#REF!</v>
      </c>
      <c r="C1165" s="416"/>
      <c r="D1165" s="446"/>
      <c r="E1165" s="250" t="s">
        <v>767</v>
      </c>
      <c r="F1165" s="204">
        <v>0</v>
      </c>
      <c r="G1165" s="205">
        <v>0</v>
      </c>
      <c r="H1165" s="205">
        <v>0</v>
      </c>
      <c r="I1165" s="264">
        <v>0</v>
      </c>
      <c r="K1165" s="230"/>
      <c r="L1165" s="230"/>
      <c r="M1165" s="230"/>
    </row>
    <row r="1166" spans="1:13" s="231" customFormat="1" x14ac:dyDescent="0.25">
      <c r="A1166" s="1"/>
      <c r="B1166" s="241" t="e">
        <f>IF(AND(F1166&lt;&gt;"", B1161&lt;&gt;""), B1161+1, "")</f>
        <v>#REF!</v>
      </c>
      <c r="C1166" s="442">
        <v>46263</v>
      </c>
      <c r="D1166" s="444">
        <f>D1161+1</f>
        <v>46263</v>
      </c>
      <c r="E1166" s="246" t="s">
        <v>394</v>
      </c>
      <c r="F1166" s="202">
        <v>0</v>
      </c>
      <c r="G1166" s="203">
        <v>0</v>
      </c>
      <c r="H1166" s="203">
        <v>0</v>
      </c>
      <c r="I1166" s="263">
        <v>0</v>
      </c>
      <c r="K1166" s="230"/>
      <c r="L1166" s="230"/>
      <c r="M1166" s="230"/>
    </row>
    <row r="1167" spans="1:13" s="231" customFormat="1" x14ac:dyDescent="0.25">
      <c r="A1167" s="1"/>
      <c r="B1167" s="245" t="e">
        <f>IF(AND(F1166&lt;&gt;"", B1162&lt;&gt;""), B1162+1, "")</f>
        <v>#REF!</v>
      </c>
      <c r="C1167" s="409"/>
      <c r="D1167" s="445"/>
      <c r="E1167" s="246" t="s">
        <v>764</v>
      </c>
      <c r="F1167" s="202">
        <v>0</v>
      </c>
      <c r="G1167" s="203">
        <v>0</v>
      </c>
      <c r="H1167" s="203">
        <v>0</v>
      </c>
      <c r="I1167" s="263">
        <v>0</v>
      </c>
      <c r="K1167" s="230"/>
      <c r="L1167" s="230"/>
      <c r="M1167" s="230"/>
    </row>
    <row r="1168" spans="1:13" s="231" customFormat="1" x14ac:dyDescent="0.25">
      <c r="A1168" s="1"/>
      <c r="B1168" s="245" t="e">
        <f>IF(AND(F1166&lt;&gt;"", B1163&lt;&gt;""), B1163+1, "")</f>
        <v>#REF!</v>
      </c>
      <c r="C1168" s="409"/>
      <c r="D1168" s="445"/>
      <c r="E1168" s="246" t="s">
        <v>765</v>
      </c>
      <c r="F1168" s="202">
        <v>0</v>
      </c>
      <c r="G1168" s="203">
        <v>0</v>
      </c>
      <c r="H1168" s="203">
        <v>0</v>
      </c>
      <c r="I1168" s="263">
        <v>0</v>
      </c>
      <c r="K1168" s="230"/>
      <c r="L1168" s="230"/>
      <c r="M1168" s="230"/>
    </row>
    <row r="1169" spans="1:13" s="231" customFormat="1" x14ac:dyDescent="0.25">
      <c r="A1169" s="1"/>
      <c r="B1169" s="245" t="e">
        <f>IF(AND(F1166&lt;&gt;"", B1164&lt;&gt;""), B1164+1, "")</f>
        <v>#REF!</v>
      </c>
      <c r="C1169" s="409"/>
      <c r="D1169" s="445"/>
      <c r="E1169" s="246" t="s">
        <v>766</v>
      </c>
      <c r="F1169" s="202">
        <v>0</v>
      </c>
      <c r="G1169" s="203">
        <v>0</v>
      </c>
      <c r="H1169" s="203">
        <v>0</v>
      </c>
      <c r="I1169" s="263">
        <v>0</v>
      </c>
      <c r="K1169" s="230"/>
      <c r="L1169" s="230"/>
      <c r="M1169" s="230"/>
    </row>
    <row r="1170" spans="1:13" s="231" customFormat="1" ht="15.75" customHeight="1" thickBot="1" x14ac:dyDescent="0.3">
      <c r="A1170" s="1"/>
      <c r="B1170" s="249" t="e">
        <f>IF(AND(F1166&lt;&gt;"", B1165&lt;&gt;""), B1165+1, "")</f>
        <v>#REF!</v>
      </c>
      <c r="C1170" s="416"/>
      <c r="D1170" s="446"/>
      <c r="E1170" s="250" t="s">
        <v>767</v>
      </c>
      <c r="F1170" s="204">
        <v>0</v>
      </c>
      <c r="G1170" s="205">
        <v>0</v>
      </c>
      <c r="H1170" s="205">
        <v>0</v>
      </c>
      <c r="I1170" s="264">
        <v>0</v>
      </c>
      <c r="K1170" s="230"/>
      <c r="L1170" s="230"/>
      <c r="M1170" s="230"/>
    </row>
    <row r="1171" spans="1:13" s="231" customFormat="1" x14ac:dyDescent="0.25">
      <c r="A1171" s="1"/>
      <c r="B1171" s="241" t="e">
        <f>IF(AND(F1171&lt;&gt;"", B1166&lt;&gt;""), B1166+1, "")</f>
        <v>#REF!</v>
      </c>
      <c r="C1171" s="442">
        <v>46264</v>
      </c>
      <c r="D1171" s="444">
        <f>D1166+1</f>
        <v>46264</v>
      </c>
      <c r="E1171" s="246" t="s">
        <v>394</v>
      </c>
      <c r="F1171" s="202">
        <v>0</v>
      </c>
      <c r="G1171" s="203">
        <v>0</v>
      </c>
      <c r="H1171" s="203">
        <v>0</v>
      </c>
      <c r="I1171" s="263">
        <v>0</v>
      </c>
      <c r="K1171" s="230"/>
      <c r="L1171" s="230"/>
      <c r="M1171" s="230"/>
    </row>
    <row r="1172" spans="1:13" s="231" customFormat="1" x14ac:dyDescent="0.25">
      <c r="A1172" s="1"/>
      <c r="B1172" s="245" t="e">
        <f>IF(AND(F1171&lt;&gt;"", B1167&lt;&gt;""), B1167+1, "")</f>
        <v>#REF!</v>
      </c>
      <c r="C1172" s="409"/>
      <c r="D1172" s="445"/>
      <c r="E1172" s="246" t="s">
        <v>764</v>
      </c>
      <c r="F1172" s="202">
        <v>0</v>
      </c>
      <c r="G1172" s="203">
        <v>0</v>
      </c>
      <c r="H1172" s="203">
        <v>0</v>
      </c>
      <c r="I1172" s="263">
        <v>0</v>
      </c>
      <c r="K1172" s="230"/>
      <c r="L1172" s="230"/>
      <c r="M1172" s="230"/>
    </row>
    <row r="1173" spans="1:13" s="231" customFormat="1" x14ac:dyDescent="0.25">
      <c r="A1173" s="1"/>
      <c r="B1173" s="245" t="e">
        <f>IF(AND(F1171&lt;&gt;"", B1168&lt;&gt;""), B1168+1, "")</f>
        <v>#REF!</v>
      </c>
      <c r="C1173" s="409"/>
      <c r="D1173" s="445"/>
      <c r="E1173" s="246" t="s">
        <v>765</v>
      </c>
      <c r="F1173" s="202">
        <v>0</v>
      </c>
      <c r="G1173" s="203">
        <v>0</v>
      </c>
      <c r="H1173" s="203">
        <v>0</v>
      </c>
      <c r="I1173" s="263">
        <v>0</v>
      </c>
      <c r="K1173" s="230"/>
      <c r="L1173" s="230"/>
      <c r="M1173" s="230"/>
    </row>
    <row r="1174" spans="1:13" s="231" customFormat="1" x14ac:dyDescent="0.25">
      <c r="A1174" s="1"/>
      <c r="B1174" s="245" t="e">
        <f>IF(AND(F1171&lt;&gt;"", B1169&lt;&gt;""), B1169+1, "")</f>
        <v>#REF!</v>
      </c>
      <c r="C1174" s="409"/>
      <c r="D1174" s="445"/>
      <c r="E1174" s="246" t="s">
        <v>766</v>
      </c>
      <c r="F1174" s="202">
        <v>0</v>
      </c>
      <c r="G1174" s="203">
        <v>0</v>
      </c>
      <c r="H1174" s="203">
        <v>0</v>
      </c>
      <c r="I1174" s="263">
        <v>0</v>
      </c>
      <c r="K1174" s="230"/>
      <c r="L1174" s="230"/>
      <c r="M1174" s="230"/>
    </row>
    <row r="1175" spans="1:13" s="231" customFormat="1" ht="15.75" customHeight="1" thickBot="1" x14ac:dyDescent="0.3">
      <c r="A1175" s="1"/>
      <c r="B1175" s="249" t="e">
        <f>IF(AND(F1171&lt;&gt;"", B1170&lt;&gt;""), B1170+1, "")</f>
        <v>#REF!</v>
      </c>
      <c r="C1175" s="416"/>
      <c r="D1175" s="446"/>
      <c r="E1175" s="250" t="s">
        <v>767</v>
      </c>
      <c r="F1175" s="204">
        <v>0</v>
      </c>
      <c r="G1175" s="205">
        <v>0</v>
      </c>
      <c r="H1175" s="205">
        <v>0</v>
      </c>
      <c r="I1175" s="264">
        <v>0</v>
      </c>
      <c r="K1175" s="230"/>
      <c r="L1175" s="230"/>
      <c r="M1175" s="230"/>
    </row>
    <row r="1176" spans="1:13" s="231" customFormat="1" x14ac:dyDescent="0.25">
      <c r="A1176" s="1"/>
      <c r="B1176" s="241" t="e">
        <f>IF(AND(F1176&lt;&gt;"", B1171&lt;&gt;""), B1171+1, "")</f>
        <v>#REF!</v>
      </c>
      <c r="C1176" s="442">
        <v>46265</v>
      </c>
      <c r="D1176" s="444">
        <f>D1171+1</f>
        <v>46265</v>
      </c>
      <c r="E1176" s="246" t="s">
        <v>394</v>
      </c>
      <c r="F1176" s="202">
        <v>0</v>
      </c>
      <c r="G1176" s="203">
        <v>0</v>
      </c>
      <c r="H1176" s="203">
        <v>0</v>
      </c>
      <c r="I1176" s="263">
        <v>0</v>
      </c>
      <c r="K1176" s="230"/>
      <c r="L1176" s="230"/>
      <c r="M1176" s="230"/>
    </row>
    <row r="1177" spans="1:13" s="231" customFormat="1" x14ac:dyDescent="0.25">
      <c r="A1177" s="1"/>
      <c r="B1177" s="245" t="e">
        <f>IF(AND(F1176&lt;&gt;"", B1172&lt;&gt;""), B1172+1, "")</f>
        <v>#REF!</v>
      </c>
      <c r="C1177" s="409"/>
      <c r="D1177" s="445"/>
      <c r="E1177" s="246" t="s">
        <v>764</v>
      </c>
      <c r="F1177" s="202">
        <v>0</v>
      </c>
      <c r="G1177" s="203">
        <v>0</v>
      </c>
      <c r="H1177" s="203">
        <v>0</v>
      </c>
      <c r="I1177" s="263">
        <v>0</v>
      </c>
      <c r="K1177" s="230"/>
      <c r="L1177" s="230"/>
      <c r="M1177" s="230"/>
    </row>
    <row r="1178" spans="1:13" s="231" customFormat="1" x14ac:dyDescent="0.25">
      <c r="A1178" s="1"/>
      <c r="B1178" s="245" t="e">
        <f>IF(AND(F1176&lt;&gt;"", B1173&lt;&gt;""), B1173+1, "")</f>
        <v>#REF!</v>
      </c>
      <c r="C1178" s="409"/>
      <c r="D1178" s="445"/>
      <c r="E1178" s="246" t="s">
        <v>765</v>
      </c>
      <c r="F1178" s="202">
        <v>0</v>
      </c>
      <c r="G1178" s="203">
        <v>0</v>
      </c>
      <c r="H1178" s="203">
        <v>0</v>
      </c>
      <c r="I1178" s="263">
        <v>0</v>
      </c>
      <c r="K1178" s="230"/>
      <c r="L1178" s="230"/>
      <c r="M1178" s="230"/>
    </row>
    <row r="1179" spans="1:13" s="231" customFormat="1" x14ac:dyDescent="0.25">
      <c r="A1179" s="1"/>
      <c r="B1179" s="245" t="e">
        <f>IF(AND(F1176&lt;&gt;"", B1174&lt;&gt;""), B1174+1, "")</f>
        <v>#REF!</v>
      </c>
      <c r="C1179" s="409"/>
      <c r="D1179" s="445"/>
      <c r="E1179" s="246" t="s">
        <v>766</v>
      </c>
      <c r="F1179" s="202">
        <v>0</v>
      </c>
      <c r="G1179" s="203">
        <v>0</v>
      </c>
      <c r="H1179" s="203">
        <v>0</v>
      </c>
      <c r="I1179" s="263">
        <v>0</v>
      </c>
      <c r="K1179" s="230"/>
      <c r="L1179" s="230"/>
      <c r="M1179" s="230"/>
    </row>
    <row r="1180" spans="1:13" s="231" customFormat="1" ht="15.75" customHeight="1" thickBot="1" x14ac:dyDescent="0.3">
      <c r="A1180" s="1"/>
      <c r="B1180" s="249" t="e">
        <f>IF(AND(F1176&lt;&gt;"", B1175&lt;&gt;""), B1175+1, "")</f>
        <v>#REF!</v>
      </c>
      <c r="C1180" s="416"/>
      <c r="D1180" s="446"/>
      <c r="E1180" s="250" t="s">
        <v>767</v>
      </c>
      <c r="F1180" s="204">
        <v>0</v>
      </c>
      <c r="G1180" s="205">
        <v>0</v>
      </c>
      <c r="H1180" s="205">
        <v>0</v>
      </c>
      <c r="I1180" s="264">
        <v>0</v>
      </c>
      <c r="K1180" s="230"/>
      <c r="L1180" s="230"/>
      <c r="M1180" s="230"/>
    </row>
    <row r="1181" spans="1:13" s="231" customFormat="1" x14ac:dyDescent="0.25">
      <c r="A1181" s="1"/>
      <c r="B1181" s="241" t="e">
        <f>IF(AND(F1181&lt;&gt;"", B1176&lt;&gt;""), B1176+1, "")</f>
        <v>#REF!</v>
      </c>
      <c r="C1181" s="442">
        <v>46266</v>
      </c>
      <c r="D1181" s="444">
        <f>D1176+1</f>
        <v>46266</v>
      </c>
      <c r="E1181" s="246" t="s">
        <v>394</v>
      </c>
      <c r="F1181" s="202">
        <v>0</v>
      </c>
      <c r="G1181" s="203">
        <v>0</v>
      </c>
      <c r="H1181" s="203">
        <v>0</v>
      </c>
      <c r="I1181" s="263">
        <v>0</v>
      </c>
      <c r="K1181" s="230"/>
      <c r="L1181" s="230"/>
      <c r="M1181" s="230"/>
    </row>
    <row r="1182" spans="1:13" s="231" customFormat="1" x14ac:dyDescent="0.25">
      <c r="A1182" s="1"/>
      <c r="B1182" s="245" t="e">
        <f>IF(AND(F1181&lt;&gt;"", B1177&lt;&gt;""), B1177+1, "")</f>
        <v>#REF!</v>
      </c>
      <c r="C1182" s="409"/>
      <c r="D1182" s="445"/>
      <c r="E1182" s="246" t="s">
        <v>764</v>
      </c>
      <c r="F1182" s="202">
        <v>0</v>
      </c>
      <c r="G1182" s="203">
        <v>0</v>
      </c>
      <c r="H1182" s="203">
        <v>0</v>
      </c>
      <c r="I1182" s="263">
        <v>0</v>
      </c>
      <c r="K1182" s="230"/>
      <c r="L1182" s="230"/>
      <c r="M1182" s="230"/>
    </row>
    <row r="1183" spans="1:13" s="231" customFormat="1" x14ac:dyDescent="0.25">
      <c r="A1183" s="1"/>
      <c r="B1183" s="245" t="e">
        <f>IF(AND(F1181&lt;&gt;"", B1178&lt;&gt;""), B1178+1, "")</f>
        <v>#REF!</v>
      </c>
      <c r="C1183" s="409"/>
      <c r="D1183" s="445"/>
      <c r="E1183" s="246" t="s">
        <v>765</v>
      </c>
      <c r="F1183" s="202">
        <v>0</v>
      </c>
      <c r="G1183" s="203">
        <v>0</v>
      </c>
      <c r="H1183" s="203">
        <v>0</v>
      </c>
      <c r="I1183" s="263">
        <v>0</v>
      </c>
      <c r="K1183" s="230"/>
      <c r="L1183" s="230"/>
      <c r="M1183" s="230"/>
    </row>
    <row r="1184" spans="1:13" s="231" customFormat="1" x14ac:dyDescent="0.25">
      <c r="A1184" s="1"/>
      <c r="B1184" s="245" t="e">
        <f>IF(AND(F1181&lt;&gt;"", B1179&lt;&gt;""), B1179+1, "")</f>
        <v>#REF!</v>
      </c>
      <c r="C1184" s="409"/>
      <c r="D1184" s="445"/>
      <c r="E1184" s="246" t="s">
        <v>766</v>
      </c>
      <c r="F1184" s="202">
        <v>0</v>
      </c>
      <c r="G1184" s="203">
        <v>0</v>
      </c>
      <c r="H1184" s="203">
        <v>0</v>
      </c>
      <c r="I1184" s="263">
        <v>0</v>
      </c>
      <c r="K1184" s="230"/>
      <c r="L1184" s="230"/>
      <c r="M1184" s="230"/>
    </row>
    <row r="1185" spans="1:13" s="231" customFormat="1" ht="15.75" customHeight="1" thickBot="1" x14ac:dyDescent="0.3">
      <c r="A1185" s="1"/>
      <c r="B1185" s="249" t="e">
        <f>IF(AND(F1181&lt;&gt;"", B1180&lt;&gt;""), B1180+1, "")</f>
        <v>#REF!</v>
      </c>
      <c r="C1185" s="416"/>
      <c r="D1185" s="446"/>
      <c r="E1185" s="250" t="s">
        <v>767</v>
      </c>
      <c r="F1185" s="204">
        <v>0</v>
      </c>
      <c r="G1185" s="205">
        <v>0</v>
      </c>
      <c r="H1185" s="205">
        <v>0</v>
      </c>
      <c r="I1185" s="264">
        <v>0</v>
      </c>
      <c r="K1185" s="230"/>
      <c r="L1185" s="230"/>
      <c r="M1185" s="230"/>
    </row>
    <row r="1186" spans="1:13" s="231" customFormat="1" x14ac:dyDescent="0.25">
      <c r="A1186" s="1"/>
      <c r="B1186" s="241" t="e">
        <f>IF(AND(F1186&lt;&gt;"", B1181&lt;&gt;""), B1181+1, "")</f>
        <v>#REF!</v>
      </c>
      <c r="C1186" s="442">
        <v>46267</v>
      </c>
      <c r="D1186" s="444">
        <f>D1181+1</f>
        <v>46267</v>
      </c>
      <c r="E1186" s="246" t="s">
        <v>394</v>
      </c>
      <c r="F1186" s="202">
        <v>0</v>
      </c>
      <c r="G1186" s="203">
        <v>0</v>
      </c>
      <c r="H1186" s="203">
        <v>0</v>
      </c>
      <c r="I1186" s="263">
        <v>0</v>
      </c>
      <c r="K1186" s="230"/>
      <c r="L1186" s="230"/>
      <c r="M1186" s="230"/>
    </row>
    <row r="1187" spans="1:13" s="231" customFormat="1" x14ac:dyDescent="0.25">
      <c r="A1187" s="1"/>
      <c r="B1187" s="245" t="e">
        <f>IF(AND(F1186&lt;&gt;"", B1182&lt;&gt;""), B1182+1, "")</f>
        <v>#REF!</v>
      </c>
      <c r="C1187" s="409"/>
      <c r="D1187" s="445"/>
      <c r="E1187" s="246" t="s">
        <v>764</v>
      </c>
      <c r="F1187" s="202">
        <v>0</v>
      </c>
      <c r="G1187" s="203">
        <v>0</v>
      </c>
      <c r="H1187" s="203">
        <v>0</v>
      </c>
      <c r="I1187" s="263">
        <v>0</v>
      </c>
      <c r="K1187" s="230"/>
      <c r="L1187" s="230"/>
      <c r="M1187" s="230"/>
    </row>
    <row r="1188" spans="1:13" s="231" customFormat="1" x14ac:dyDescent="0.25">
      <c r="A1188" s="1"/>
      <c r="B1188" s="245" t="e">
        <f>IF(AND(F1186&lt;&gt;"", B1183&lt;&gt;""), B1183+1, "")</f>
        <v>#REF!</v>
      </c>
      <c r="C1188" s="409"/>
      <c r="D1188" s="445"/>
      <c r="E1188" s="246" t="s">
        <v>765</v>
      </c>
      <c r="F1188" s="202">
        <v>0</v>
      </c>
      <c r="G1188" s="203">
        <v>0</v>
      </c>
      <c r="H1188" s="203">
        <v>0</v>
      </c>
      <c r="I1188" s="263">
        <v>0</v>
      </c>
      <c r="K1188" s="230"/>
      <c r="L1188" s="230"/>
      <c r="M1188" s="230"/>
    </row>
    <row r="1189" spans="1:13" s="231" customFormat="1" x14ac:dyDescent="0.25">
      <c r="A1189" s="1"/>
      <c r="B1189" s="245" t="e">
        <f>IF(AND(F1186&lt;&gt;"", B1184&lt;&gt;""), B1184+1, "")</f>
        <v>#REF!</v>
      </c>
      <c r="C1189" s="409"/>
      <c r="D1189" s="445"/>
      <c r="E1189" s="246" t="s">
        <v>766</v>
      </c>
      <c r="F1189" s="202">
        <v>0</v>
      </c>
      <c r="G1189" s="203">
        <v>0</v>
      </c>
      <c r="H1189" s="203">
        <v>0</v>
      </c>
      <c r="I1189" s="263">
        <v>0</v>
      </c>
      <c r="K1189" s="230"/>
      <c r="L1189" s="230"/>
      <c r="M1189" s="230"/>
    </row>
    <row r="1190" spans="1:13" s="231" customFormat="1" ht="15.75" customHeight="1" thickBot="1" x14ac:dyDescent="0.3">
      <c r="A1190" s="1"/>
      <c r="B1190" s="249" t="e">
        <f>IF(AND(F1186&lt;&gt;"", B1185&lt;&gt;""), B1185+1, "")</f>
        <v>#REF!</v>
      </c>
      <c r="C1190" s="416"/>
      <c r="D1190" s="446"/>
      <c r="E1190" s="250" t="s">
        <v>767</v>
      </c>
      <c r="F1190" s="204">
        <v>0</v>
      </c>
      <c r="G1190" s="205">
        <v>0</v>
      </c>
      <c r="H1190" s="205">
        <v>0</v>
      </c>
      <c r="I1190" s="264">
        <v>0</v>
      </c>
      <c r="K1190" s="230"/>
      <c r="L1190" s="230"/>
      <c r="M1190" s="230"/>
    </row>
    <row r="1191" spans="1:13" s="231" customFormat="1" x14ac:dyDescent="0.25">
      <c r="A1191" s="1"/>
      <c r="B1191" s="241" t="e">
        <f>IF(AND(F1191&lt;&gt;"", B1186&lt;&gt;""), B1186+1, "")</f>
        <v>#REF!</v>
      </c>
      <c r="C1191" s="442">
        <v>46268</v>
      </c>
      <c r="D1191" s="444">
        <f>D1186+1</f>
        <v>46268</v>
      </c>
      <c r="E1191" s="246" t="s">
        <v>394</v>
      </c>
      <c r="F1191" s="202">
        <v>0</v>
      </c>
      <c r="G1191" s="203">
        <v>0</v>
      </c>
      <c r="H1191" s="203">
        <v>0</v>
      </c>
      <c r="I1191" s="263">
        <v>0</v>
      </c>
      <c r="K1191" s="230"/>
      <c r="L1191" s="230"/>
      <c r="M1191" s="230"/>
    </row>
    <row r="1192" spans="1:13" s="231" customFormat="1" x14ac:dyDescent="0.25">
      <c r="A1192" s="1"/>
      <c r="B1192" s="245" t="e">
        <f>IF(AND(F1191&lt;&gt;"", B1187&lt;&gt;""), B1187+1, "")</f>
        <v>#REF!</v>
      </c>
      <c r="C1192" s="409"/>
      <c r="D1192" s="445"/>
      <c r="E1192" s="246" t="s">
        <v>764</v>
      </c>
      <c r="F1192" s="202">
        <v>0</v>
      </c>
      <c r="G1192" s="203">
        <v>0</v>
      </c>
      <c r="H1192" s="203">
        <v>0</v>
      </c>
      <c r="I1192" s="263">
        <v>0</v>
      </c>
      <c r="K1192" s="230"/>
      <c r="L1192" s="230"/>
      <c r="M1192" s="230"/>
    </row>
    <row r="1193" spans="1:13" s="231" customFormat="1" x14ac:dyDescent="0.25">
      <c r="A1193" s="1"/>
      <c r="B1193" s="245" t="e">
        <f>IF(AND(F1191&lt;&gt;"", B1188&lt;&gt;""), B1188+1, "")</f>
        <v>#REF!</v>
      </c>
      <c r="C1193" s="409"/>
      <c r="D1193" s="445"/>
      <c r="E1193" s="246" t="s">
        <v>765</v>
      </c>
      <c r="F1193" s="202">
        <v>0</v>
      </c>
      <c r="G1193" s="203">
        <v>0</v>
      </c>
      <c r="H1193" s="203">
        <v>0</v>
      </c>
      <c r="I1193" s="263">
        <v>0</v>
      </c>
      <c r="K1193" s="230"/>
      <c r="L1193" s="230"/>
      <c r="M1193" s="230"/>
    </row>
    <row r="1194" spans="1:13" s="231" customFormat="1" x14ac:dyDescent="0.25">
      <c r="A1194" s="1"/>
      <c r="B1194" s="245" t="e">
        <f>IF(AND(F1191&lt;&gt;"", B1189&lt;&gt;""), B1189+1, "")</f>
        <v>#REF!</v>
      </c>
      <c r="C1194" s="409"/>
      <c r="D1194" s="445"/>
      <c r="E1194" s="246" t="s">
        <v>766</v>
      </c>
      <c r="F1194" s="202">
        <v>0</v>
      </c>
      <c r="G1194" s="203">
        <v>0</v>
      </c>
      <c r="H1194" s="203">
        <v>0</v>
      </c>
      <c r="I1194" s="263">
        <v>0</v>
      </c>
      <c r="K1194" s="230"/>
      <c r="L1194" s="230"/>
      <c r="M1194" s="230"/>
    </row>
    <row r="1195" spans="1:13" s="231" customFormat="1" ht="15.75" customHeight="1" thickBot="1" x14ac:dyDescent="0.3">
      <c r="A1195" s="1"/>
      <c r="B1195" s="249" t="e">
        <f>IF(AND(F1191&lt;&gt;"", B1190&lt;&gt;""), B1190+1, "")</f>
        <v>#REF!</v>
      </c>
      <c r="C1195" s="416"/>
      <c r="D1195" s="446"/>
      <c r="E1195" s="250" t="s">
        <v>767</v>
      </c>
      <c r="F1195" s="204">
        <v>0</v>
      </c>
      <c r="G1195" s="205">
        <v>0</v>
      </c>
      <c r="H1195" s="205">
        <v>0</v>
      </c>
      <c r="I1195" s="264">
        <v>0</v>
      </c>
      <c r="K1195" s="230"/>
      <c r="L1195" s="230"/>
      <c r="M1195" s="230"/>
    </row>
    <row r="1196" spans="1:13" s="231" customFormat="1" x14ac:dyDescent="0.25">
      <c r="A1196" s="1"/>
      <c r="B1196" s="241" t="e">
        <f>IF(AND(F1196&lt;&gt;"", B1191&lt;&gt;""), B1191+1, "")</f>
        <v>#REF!</v>
      </c>
      <c r="C1196" s="442">
        <v>46269</v>
      </c>
      <c r="D1196" s="444">
        <f>D1191+1</f>
        <v>46269</v>
      </c>
      <c r="E1196" s="246" t="s">
        <v>394</v>
      </c>
      <c r="F1196" s="202">
        <v>0</v>
      </c>
      <c r="G1196" s="203">
        <v>0</v>
      </c>
      <c r="H1196" s="203">
        <v>0</v>
      </c>
      <c r="I1196" s="263">
        <v>0</v>
      </c>
      <c r="K1196" s="230"/>
      <c r="L1196" s="230"/>
      <c r="M1196" s="230"/>
    </row>
    <row r="1197" spans="1:13" s="231" customFormat="1" x14ac:dyDescent="0.25">
      <c r="A1197" s="1"/>
      <c r="B1197" s="245" t="e">
        <f>IF(AND(F1196&lt;&gt;"", B1192&lt;&gt;""), B1192+1, "")</f>
        <v>#REF!</v>
      </c>
      <c r="C1197" s="409"/>
      <c r="D1197" s="445"/>
      <c r="E1197" s="246" t="s">
        <v>764</v>
      </c>
      <c r="F1197" s="202">
        <v>0</v>
      </c>
      <c r="G1197" s="203">
        <v>0</v>
      </c>
      <c r="H1197" s="203">
        <v>0</v>
      </c>
      <c r="I1197" s="263">
        <v>0</v>
      </c>
      <c r="K1197" s="230"/>
      <c r="L1197" s="230"/>
      <c r="M1197" s="230"/>
    </row>
    <row r="1198" spans="1:13" s="231" customFormat="1" x14ac:dyDescent="0.25">
      <c r="A1198" s="1"/>
      <c r="B1198" s="245" t="e">
        <f>IF(AND(F1196&lt;&gt;"", B1193&lt;&gt;""), B1193+1, "")</f>
        <v>#REF!</v>
      </c>
      <c r="C1198" s="409"/>
      <c r="D1198" s="445"/>
      <c r="E1198" s="246" t="s">
        <v>765</v>
      </c>
      <c r="F1198" s="202">
        <v>0</v>
      </c>
      <c r="G1198" s="203">
        <v>0</v>
      </c>
      <c r="H1198" s="203">
        <v>0</v>
      </c>
      <c r="I1198" s="263">
        <v>0</v>
      </c>
      <c r="K1198" s="230"/>
      <c r="L1198" s="230"/>
      <c r="M1198" s="230"/>
    </row>
    <row r="1199" spans="1:13" s="231" customFormat="1" x14ac:dyDescent="0.25">
      <c r="A1199" s="1"/>
      <c r="B1199" s="245" t="e">
        <f>IF(AND(F1196&lt;&gt;"", B1194&lt;&gt;""), B1194+1, "")</f>
        <v>#REF!</v>
      </c>
      <c r="C1199" s="409"/>
      <c r="D1199" s="445"/>
      <c r="E1199" s="246" t="s">
        <v>766</v>
      </c>
      <c r="F1199" s="202">
        <v>0</v>
      </c>
      <c r="G1199" s="203">
        <v>0</v>
      </c>
      <c r="H1199" s="203">
        <v>0</v>
      </c>
      <c r="I1199" s="263">
        <v>0</v>
      </c>
      <c r="K1199" s="230"/>
      <c r="L1199" s="230"/>
      <c r="M1199" s="230"/>
    </row>
    <row r="1200" spans="1:13" s="231" customFormat="1" ht="15.75" customHeight="1" thickBot="1" x14ac:dyDescent="0.3">
      <c r="A1200" s="1"/>
      <c r="B1200" s="249" t="e">
        <f>IF(AND(F1196&lt;&gt;"", B1195&lt;&gt;""), B1195+1, "")</f>
        <v>#REF!</v>
      </c>
      <c r="C1200" s="416"/>
      <c r="D1200" s="446"/>
      <c r="E1200" s="250" t="s">
        <v>767</v>
      </c>
      <c r="F1200" s="204">
        <v>0</v>
      </c>
      <c r="G1200" s="205">
        <v>0</v>
      </c>
      <c r="H1200" s="205">
        <v>0</v>
      </c>
      <c r="I1200" s="264">
        <v>0</v>
      </c>
      <c r="K1200" s="230"/>
      <c r="L1200" s="230"/>
      <c r="M1200" s="230"/>
    </row>
    <row r="1201" spans="1:13" s="231" customFormat="1" x14ac:dyDescent="0.25">
      <c r="A1201" s="1"/>
      <c r="B1201" s="241" t="e">
        <f>IF(AND(F1201&lt;&gt;"", B1196&lt;&gt;""), B1196+1, "")</f>
        <v>#REF!</v>
      </c>
      <c r="C1201" s="442">
        <v>46270</v>
      </c>
      <c r="D1201" s="444">
        <f>D1196+1</f>
        <v>46270</v>
      </c>
      <c r="E1201" s="246" t="s">
        <v>394</v>
      </c>
      <c r="F1201" s="202">
        <v>0</v>
      </c>
      <c r="G1201" s="203">
        <v>0</v>
      </c>
      <c r="H1201" s="203">
        <v>0</v>
      </c>
      <c r="I1201" s="263">
        <v>0</v>
      </c>
      <c r="K1201" s="230"/>
      <c r="L1201" s="230"/>
      <c r="M1201" s="230"/>
    </row>
    <row r="1202" spans="1:13" s="231" customFormat="1" x14ac:dyDescent="0.25">
      <c r="A1202" s="1"/>
      <c r="B1202" s="245" t="e">
        <f>IF(AND(F1201&lt;&gt;"", B1197&lt;&gt;""), B1197+1, "")</f>
        <v>#REF!</v>
      </c>
      <c r="C1202" s="409"/>
      <c r="D1202" s="445"/>
      <c r="E1202" s="246" t="s">
        <v>764</v>
      </c>
      <c r="F1202" s="202">
        <v>0</v>
      </c>
      <c r="G1202" s="203">
        <v>0</v>
      </c>
      <c r="H1202" s="203">
        <v>0</v>
      </c>
      <c r="I1202" s="263">
        <v>0</v>
      </c>
      <c r="K1202" s="230"/>
      <c r="L1202" s="230"/>
      <c r="M1202" s="230"/>
    </row>
    <row r="1203" spans="1:13" s="231" customFormat="1" x14ac:dyDescent="0.25">
      <c r="A1203" s="1"/>
      <c r="B1203" s="245" t="e">
        <f>IF(AND(F1201&lt;&gt;"", B1198&lt;&gt;""), B1198+1, "")</f>
        <v>#REF!</v>
      </c>
      <c r="C1203" s="409"/>
      <c r="D1203" s="445"/>
      <c r="E1203" s="246" t="s">
        <v>765</v>
      </c>
      <c r="F1203" s="202">
        <v>0</v>
      </c>
      <c r="G1203" s="203">
        <v>0</v>
      </c>
      <c r="H1203" s="203">
        <v>0</v>
      </c>
      <c r="I1203" s="263">
        <v>0</v>
      </c>
      <c r="K1203" s="230"/>
      <c r="L1203" s="230"/>
      <c r="M1203" s="230"/>
    </row>
    <row r="1204" spans="1:13" s="231" customFormat="1" x14ac:dyDescent="0.25">
      <c r="A1204" s="1"/>
      <c r="B1204" s="245" t="e">
        <f>IF(AND(F1201&lt;&gt;"", B1199&lt;&gt;""), B1199+1, "")</f>
        <v>#REF!</v>
      </c>
      <c r="C1204" s="409"/>
      <c r="D1204" s="445"/>
      <c r="E1204" s="246" t="s">
        <v>766</v>
      </c>
      <c r="F1204" s="202">
        <v>0</v>
      </c>
      <c r="G1204" s="203">
        <v>0</v>
      </c>
      <c r="H1204" s="203">
        <v>0</v>
      </c>
      <c r="I1204" s="263">
        <v>0</v>
      </c>
      <c r="K1204" s="230"/>
      <c r="L1204" s="230"/>
      <c r="M1204" s="230"/>
    </row>
    <row r="1205" spans="1:13" s="231" customFormat="1" ht="15.75" customHeight="1" thickBot="1" x14ac:dyDescent="0.3">
      <c r="A1205" s="1"/>
      <c r="B1205" s="249" t="e">
        <f>IF(AND(F1201&lt;&gt;"", B1200&lt;&gt;""), B1200+1, "")</f>
        <v>#REF!</v>
      </c>
      <c r="C1205" s="416"/>
      <c r="D1205" s="446"/>
      <c r="E1205" s="250" t="s">
        <v>767</v>
      </c>
      <c r="F1205" s="204">
        <v>0</v>
      </c>
      <c r="G1205" s="205">
        <v>0</v>
      </c>
      <c r="H1205" s="205">
        <v>0</v>
      </c>
      <c r="I1205" s="264">
        <v>0</v>
      </c>
      <c r="K1205" s="230"/>
      <c r="L1205" s="230"/>
      <c r="M1205" s="230"/>
    </row>
    <row r="1206" spans="1:13" s="231" customFormat="1" x14ac:dyDescent="0.25">
      <c r="A1206" s="1"/>
      <c r="B1206" s="241" t="e">
        <f>IF(AND(F1206&lt;&gt;"", B1201&lt;&gt;""), B1201+1, "")</f>
        <v>#REF!</v>
      </c>
      <c r="C1206" s="442">
        <v>46271</v>
      </c>
      <c r="D1206" s="444">
        <f>D1201+1</f>
        <v>46271</v>
      </c>
      <c r="E1206" s="246" t="s">
        <v>394</v>
      </c>
      <c r="F1206" s="202">
        <v>0</v>
      </c>
      <c r="G1206" s="203">
        <v>0</v>
      </c>
      <c r="H1206" s="203">
        <v>0</v>
      </c>
      <c r="I1206" s="263">
        <v>0</v>
      </c>
      <c r="K1206" s="230"/>
      <c r="L1206" s="230"/>
      <c r="M1206" s="230"/>
    </row>
    <row r="1207" spans="1:13" s="231" customFormat="1" x14ac:dyDescent="0.25">
      <c r="A1207" s="1"/>
      <c r="B1207" s="245" t="e">
        <f>IF(AND(F1206&lt;&gt;"", B1202&lt;&gt;""), B1202+1, "")</f>
        <v>#REF!</v>
      </c>
      <c r="C1207" s="409"/>
      <c r="D1207" s="445"/>
      <c r="E1207" s="246" t="s">
        <v>764</v>
      </c>
      <c r="F1207" s="202">
        <v>0</v>
      </c>
      <c r="G1207" s="203">
        <v>0</v>
      </c>
      <c r="H1207" s="203">
        <v>0</v>
      </c>
      <c r="I1207" s="263">
        <v>0</v>
      </c>
      <c r="K1207" s="230"/>
      <c r="L1207" s="230"/>
      <c r="M1207" s="230"/>
    </row>
    <row r="1208" spans="1:13" s="231" customFormat="1" x14ac:dyDescent="0.25">
      <c r="A1208" s="1"/>
      <c r="B1208" s="245" t="e">
        <f>IF(AND(F1206&lt;&gt;"", B1203&lt;&gt;""), B1203+1, "")</f>
        <v>#REF!</v>
      </c>
      <c r="C1208" s="409"/>
      <c r="D1208" s="445"/>
      <c r="E1208" s="246" t="s">
        <v>765</v>
      </c>
      <c r="F1208" s="202">
        <v>0</v>
      </c>
      <c r="G1208" s="203">
        <v>0</v>
      </c>
      <c r="H1208" s="203">
        <v>0</v>
      </c>
      <c r="I1208" s="263">
        <v>0</v>
      </c>
      <c r="K1208" s="230"/>
      <c r="L1208" s="230"/>
      <c r="M1208" s="230"/>
    </row>
    <row r="1209" spans="1:13" s="231" customFormat="1" x14ac:dyDescent="0.25">
      <c r="A1209" s="1"/>
      <c r="B1209" s="245" t="e">
        <f>IF(AND(F1206&lt;&gt;"", B1204&lt;&gt;""), B1204+1, "")</f>
        <v>#REF!</v>
      </c>
      <c r="C1209" s="409"/>
      <c r="D1209" s="445"/>
      <c r="E1209" s="246" t="s">
        <v>766</v>
      </c>
      <c r="F1209" s="202">
        <v>0</v>
      </c>
      <c r="G1209" s="203">
        <v>0</v>
      </c>
      <c r="H1209" s="203">
        <v>0</v>
      </c>
      <c r="I1209" s="263">
        <v>0</v>
      </c>
      <c r="K1209" s="230"/>
      <c r="L1209" s="230"/>
      <c r="M1209" s="230"/>
    </row>
    <row r="1210" spans="1:13" s="231" customFormat="1" ht="15.75" customHeight="1" thickBot="1" x14ac:dyDescent="0.3">
      <c r="A1210" s="1"/>
      <c r="B1210" s="249" t="e">
        <f>IF(AND(F1206&lt;&gt;"", B1205&lt;&gt;""), B1205+1, "")</f>
        <v>#REF!</v>
      </c>
      <c r="C1210" s="416"/>
      <c r="D1210" s="446"/>
      <c r="E1210" s="250" t="s">
        <v>767</v>
      </c>
      <c r="F1210" s="204">
        <v>0</v>
      </c>
      <c r="G1210" s="205">
        <v>0</v>
      </c>
      <c r="H1210" s="205">
        <v>0</v>
      </c>
      <c r="I1210" s="264">
        <v>0</v>
      </c>
      <c r="K1210" s="230"/>
      <c r="L1210" s="230"/>
      <c r="M1210" s="230"/>
    </row>
    <row r="1211" spans="1:13" s="231" customFormat="1" x14ac:dyDescent="0.25">
      <c r="A1211" s="1"/>
      <c r="B1211" s="241" t="e">
        <f>IF(AND(F1211&lt;&gt;"", B1206&lt;&gt;""), B1206+1, "")</f>
        <v>#REF!</v>
      </c>
      <c r="C1211" s="442">
        <v>46272</v>
      </c>
      <c r="D1211" s="444">
        <f>D1206+1</f>
        <v>46272</v>
      </c>
      <c r="E1211" s="246" t="s">
        <v>394</v>
      </c>
      <c r="F1211" s="202">
        <v>0</v>
      </c>
      <c r="G1211" s="203">
        <v>0</v>
      </c>
      <c r="H1211" s="203">
        <v>0</v>
      </c>
      <c r="I1211" s="263">
        <v>0</v>
      </c>
      <c r="K1211" s="230"/>
      <c r="L1211" s="230"/>
      <c r="M1211" s="230"/>
    </row>
    <row r="1212" spans="1:13" s="231" customFormat="1" x14ac:dyDescent="0.25">
      <c r="A1212" s="1"/>
      <c r="B1212" s="245" t="e">
        <f>IF(AND(F1211&lt;&gt;"", B1207&lt;&gt;""), B1207+1, "")</f>
        <v>#REF!</v>
      </c>
      <c r="C1212" s="409"/>
      <c r="D1212" s="445"/>
      <c r="E1212" s="246" t="s">
        <v>764</v>
      </c>
      <c r="F1212" s="202">
        <v>0</v>
      </c>
      <c r="G1212" s="203">
        <v>0</v>
      </c>
      <c r="H1212" s="203">
        <v>0</v>
      </c>
      <c r="I1212" s="263">
        <v>0</v>
      </c>
      <c r="K1212" s="230"/>
      <c r="L1212" s="230"/>
      <c r="M1212" s="230"/>
    </row>
    <row r="1213" spans="1:13" s="231" customFormat="1" x14ac:dyDescent="0.25">
      <c r="A1213" s="1"/>
      <c r="B1213" s="245" t="e">
        <f>IF(AND(F1211&lt;&gt;"", B1208&lt;&gt;""), B1208+1, "")</f>
        <v>#REF!</v>
      </c>
      <c r="C1213" s="409"/>
      <c r="D1213" s="445"/>
      <c r="E1213" s="246" t="s">
        <v>765</v>
      </c>
      <c r="F1213" s="202">
        <v>0</v>
      </c>
      <c r="G1213" s="203">
        <v>0</v>
      </c>
      <c r="H1213" s="203">
        <v>0</v>
      </c>
      <c r="I1213" s="263">
        <v>0</v>
      </c>
      <c r="K1213" s="230"/>
      <c r="L1213" s="230"/>
      <c r="M1213" s="230"/>
    </row>
    <row r="1214" spans="1:13" s="231" customFormat="1" x14ac:dyDescent="0.25">
      <c r="A1214" s="1"/>
      <c r="B1214" s="245" t="e">
        <f>IF(AND(F1211&lt;&gt;"", B1209&lt;&gt;""), B1209+1, "")</f>
        <v>#REF!</v>
      </c>
      <c r="C1214" s="409"/>
      <c r="D1214" s="445"/>
      <c r="E1214" s="246" t="s">
        <v>766</v>
      </c>
      <c r="F1214" s="202">
        <v>0</v>
      </c>
      <c r="G1214" s="203">
        <v>0</v>
      </c>
      <c r="H1214" s="203">
        <v>0</v>
      </c>
      <c r="I1214" s="263">
        <v>0</v>
      </c>
      <c r="K1214" s="230"/>
      <c r="L1214" s="230"/>
      <c r="M1214" s="230"/>
    </row>
    <row r="1215" spans="1:13" s="231" customFormat="1" ht="15.75" customHeight="1" thickBot="1" x14ac:dyDescent="0.3">
      <c r="A1215" s="1"/>
      <c r="B1215" s="249" t="e">
        <f>IF(AND(F1211&lt;&gt;"", B1210&lt;&gt;""), B1210+1, "")</f>
        <v>#REF!</v>
      </c>
      <c r="C1215" s="416"/>
      <c r="D1215" s="446"/>
      <c r="E1215" s="250" t="s">
        <v>767</v>
      </c>
      <c r="F1215" s="204">
        <v>0</v>
      </c>
      <c r="G1215" s="205">
        <v>0</v>
      </c>
      <c r="H1215" s="205">
        <v>0</v>
      </c>
      <c r="I1215" s="264">
        <v>0</v>
      </c>
      <c r="K1215" s="230"/>
      <c r="L1215" s="230"/>
      <c r="M1215" s="230"/>
    </row>
    <row r="1216" spans="1:13" s="231" customFormat="1" x14ac:dyDescent="0.25">
      <c r="A1216" s="1"/>
      <c r="B1216" s="241" t="e">
        <f>IF(AND(F1216&lt;&gt;"", B1211&lt;&gt;""), B1211+1, "")</f>
        <v>#REF!</v>
      </c>
      <c r="C1216" s="442">
        <v>46273</v>
      </c>
      <c r="D1216" s="444">
        <f>D1211+1</f>
        <v>46273</v>
      </c>
      <c r="E1216" s="246" t="s">
        <v>394</v>
      </c>
      <c r="F1216" s="202">
        <v>0</v>
      </c>
      <c r="G1216" s="203">
        <v>0</v>
      </c>
      <c r="H1216" s="203">
        <v>0</v>
      </c>
      <c r="I1216" s="263">
        <v>0</v>
      </c>
      <c r="K1216" s="230"/>
      <c r="L1216" s="230"/>
      <c r="M1216" s="230"/>
    </row>
    <row r="1217" spans="1:13" s="231" customFormat="1" x14ac:dyDescent="0.25">
      <c r="A1217" s="1"/>
      <c r="B1217" s="245" t="e">
        <f>IF(AND(F1216&lt;&gt;"", B1212&lt;&gt;""), B1212+1, "")</f>
        <v>#REF!</v>
      </c>
      <c r="C1217" s="409"/>
      <c r="D1217" s="445"/>
      <c r="E1217" s="246" t="s">
        <v>764</v>
      </c>
      <c r="F1217" s="202">
        <v>0</v>
      </c>
      <c r="G1217" s="203">
        <v>0</v>
      </c>
      <c r="H1217" s="203">
        <v>0</v>
      </c>
      <c r="I1217" s="263">
        <v>0</v>
      </c>
      <c r="K1217" s="230"/>
      <c r="L1217" s="230"/>
      <c r="M1217" s="230"/>
    </row>
    <row r="1218" spans="1:13" s="231" customFormat="1" x14ac:dyDescent="0.25">
      <c r="A1218" s="1"/>
      <c r="B1218" s="245" t="e">
        <f>IF(AND(F1216&lt;&gt;"", B1213&lt;&gt;""), B1213+1, "")</f>
        <v>#REF!</v>
      </c>
      <c r="C1218" s="409"/>
      <c r="D1218" s="445"/>
      <c r="E1218" s="246" t="s">
        <v>765</v>
      </c>
      <c r="F1218" s="202">
        <v>0</v>
      </c>
      <c r="G1218" s="203">
        <v>0</v>
      </c>
      <c r="H1218" s="203">
        <v>0</v>
      </c>
      <c r="I1218" s="263">
        <v>0</v>
      </c>
      <c r="K1218" s="230"/>
      <c r="L1218" s="230"/>
      <c r="M1218" s="230"/>
    </row>
    <row r="1219" spans="1:13" s="231" customFormat="1" x14ac:dyDescent="0.25">
      <c r="A1219" s="1"/>
      <c r="B1219" s="245" t="e">
        <f>IF(AND(F1216&lt;&gt;"", B1214&lt;&gt;""), B1214+1, "")</f>
        <v>#REF!</v>
      </c>
      <c r="C1219" s="409"/>
      <c r="D1219" s="445"/>
      <c r="E1219" s="246" t="s">
        <v>766</v>
      </c>
      <c r="F1219" s="202">
        <v>0</v>
      </c>
      <c r="G1219" s="203">
        <v>0</v>
      </c>
      <c r="H1219" s="203">
        <v>0</v>
      </c>
      <c r="I1219" s="263">
        <v>0</v>
      </c>
      <c r="K1219" s="230"/>
      <c r="L1219" s="230"/>
      <c r="M1219" s="230"/>
    </row>
    <row r="1220" spans="1:13" s="231" customFormat="1" ht="15.75" customHeight="1" thickBot="1" x14ac:dyDescent="0.3">
      <c r="A1220" s="1"/>
      <c r="B1220" s="249" t="e">
        <f>IF(AND(F1216&lt;&gt;"", B1215&lt;&gt;""), B1215+1, "")</f>
        <v>#REF!</v>
      </c>
      <c r="C1220" s="416"/>
      <c r="D1220" s="446"/>
      <c r="E1220" s="250" t="s">
        <v>767</v>
      </c>
      <c r="F1220" s="204">
        <v>0</v>
      </c>
      <c r="G1220" s="205">
        <v>0</v>
      </c>
      <c r="H1220" s="205">
        <v>0</v>
      </c>
      <c r="I1220" s="264">
        <v>0</v>
      </c>
      <c r="K1220" s="230"/>
      <c r="L1220" s="230"/>
      <c r="M1220" s="230"/>
    </row>
    <row r="1221" spans="1:13" s="231" customFormat="1" x14ac:dyDescent="0.25">
      <c r="A1221" s="1"/>
      <c r="B1221" s="241" t="e">
        <f>IF(AND(F1221&lt;&gt;"", B1216&lt;&gt;""), B1216+1, "")</f>
        <v>#REF!</v>
      </c>
      <c r="C1221" s="442">
        <v>46274</v>
      </c>
      <c r="D1221" s="444">
        <f>D1216+1</f>
        <v>46274</v>
      </c>
      <c r="E1221" s="246" t="s">
        <v>394</v>
      </c>
      <c r="F1221" s="202">
        <v>0</v>
      </c>
      <c r="G1221" s="203">
        <v>0</v>
      </c>
      <c r="H1221" s="203">
        <v>0</v>
      </c>
      <c r="I1221" s="263">
        <v>0</v>
      </c>
      <c r="K1221" s="230"/>
      <c r="L1221" s="230"/>
      <c r="M1221" s="230"/>
    </row>
    <row r="1222" spans="1:13" s="231" customFormat="1" x14ac:dyDescent="0.25">
      <c r="A1222" s="1"/>
      <c r="B1222" s="245" t="e">
        <f>IF(AND(F1221&lt;&gt;"", B1217&lt;&gt;""), B1217+1, "")</f>
        <v>#REF!</v>
      </c>
      <c r="C1222" s="409"/>
      <c r="D1222" s="445"/>
      <c r="E1222" s="246" t="s">
        <v>764</v>
      </c>
      <c r="F1222" s="202">
        <v>0</v>
      </c>
      <c r="G1222" s="203">
        <v>0</v>
      </c>
      <c r="H1222" s="203">
        <v>0</v>
      </c>
      <c r="I1222" s="263">
        <v>0</v>
      </c>
      <c r="K1222" s="230"/>
      <c r="L1222" s="230"/>
      <c r="M1222" s="230"/>
    </row>
    <row r="1223" spans="1:13" s="231" customFormat="1" x14ac:dyDescent="0.25">
      <c r="A1223" s="1"/>
      <c r="B1223" s="245" t="e">
        <f>IF(AND(F1221&lt;&gt;"", B1218&lt;&gt;""), B1218+1, "")</f>
        <v>#REF!</v>
      </c>
      <c r="C1223" s="409"/>
      <c r="D1223" s="445"/>
      <c r="E1223" s="246" t="s">
        <v>765</v>
      </c>
      <c r="F1223" s="202">
        <v>0</v>
      </c>
      <c r="G1223" s="203">
        <v>0</v>
      </c>
      <c r="H1223" s="203">
        <v>0</v>
      </c>
      <c r="I1223" s="263">
        <v>0</v>
      </c>
      <c r="K1223" s="230"/>
      <c r="L1223" s="230"/>
      <c r="M1223" s="230"/>
    </row>
    <row r="1224" spans="1:13" s="231" customFormat="1" x14ac:dyDescent="0.25">
      <c r="A1224" s="1"/>
      <c r="B1224" s="245" t="e">
        <f>IF(AND(F1221&lt;&gt;"", B1219&lt;&gt;""), B1219+1, "")</f>
        <v>#REF!</v>
      </c>
      <c r="C1224" s="409"/>
      <c r="D1224" s="445"/>
      <c r="E1224" s="246" t="s">
        <v>766</v>
      </c>
      <c r="F1224" s="202">
        <v>0</v>
      </c>
      <c r="G1224" s="203">
        <v>0</v>
      </c>
      <c r="H1224" s="203">
        <v>0</v>
      </c>
      <c r="I1224" s="263">
        <v>0</v>
      </c>
      <c r="K1224" s="230"/>
      <c r="L1224" s="230"/>
      <c r="M1224" s="230"/>
    </row>
    <row r="1225" spans="1:13" s="231" customFormat="1" ht="15.75" customHeight="1" thickBot="1" x14ac:dyDescent="0.3">
      <c r="A1225" s="1"/>
      <c r="B1225" s="249" t="e">
        <f>IF(AND(F1221&lt;&gt;"", B1220&lt;&gt;""), B1220+1, "")</f>
        <v>#REF!</v>
      </c>
      <c r="C1225" s="416"/>
      <c r="D1225" s="446"/>
      <c r="E1225" s="250" t="s">
        <v>767</v>
      </c>
      <c r="F1225" s="204">
        <v>0</v>
      </c>
      <c r="G1225" s="205">
        <v>0</v>
      </c>
      <c r="H1225" s="205">
        <v>0</v>
      </c>
      <c r="I1225" s="264">
        <v>0</v>
      </c>
      <c r="K1225" s="230"/>
      <c r="L1225" s="230"/>
      <c r="M1225" s="230"/>
    </row>
    <row r="1226" spans="1:13" s="231" customFormat="1" x14ac:dyDescent="0.25">
      <c r="A1226" s="1"/>
      <c r="B1226" s="241" t="e">
        <f>IF(AND(F1226&lt;&gt;"", B1221&lt;&gt;""), B1221+1, "")</f>
        <v>#REF!</v>
      </c>
      <c r="C1226" s="442">
        <v>46275</v>
      </c>
      <c r="D1226" s="444">
        <f>D1221+1</f>
        <v>46275</v>
      </c>
      <c r="E1226" s="246" t="s">
        <v>394</v>
      </c>
      <c r="F1226" s="202">
        <v>0</v>
      </c>
      <c r="G1226" s="203">
        <v>0</v>
      </c>
      <c r="H1226" s="203">
        <v>0</v>
      </c>
      <c r="I1226" s="263">
        <v>0</v>
      </c>
      <c r="K1226" s="230"/>
      <c r="L1226" s="230"/>
      <c r="M1226" s="230"/>
    </row>
    <row r="1227" spans="1:13" s="231" customFormat="1" x14ac:dyDescent="0.25">
      <c r="A1227" s="1"/>
      <c r="B1227" s="245" t="e">
        <f>IF(AND(F1226&lt;&gt;"", B1222&lt;&gt;""), B1222+1, "")</f>
        <v>#REF!</v>
      </c>
      <c r="C1227" s="409"/>
      <c r="D1227" s="445"/>
      <c r="E1227" s="246" t="s">
        <v>764</v>
      </c>
      <c r="F1227" s="202">
        <v>0</v>
      </c>
      <c r="G1227" s="203">
        <v>0</v>
      </c>
      <c r="H1227" s="203">
        <v>0</v>
      </c>
      <c r="I1227" s="263">
        <v>0</v>
      </c>
      <c r="K1227" s="230"/>
      <c r="L1227" s="230"/>
      <c r="M1227" s="230"/>
    </row>
    <row r="1228" spans="1:13" s="231" customFormat="1" x14ac:dyDescent="0.25">
      <c r="A1228" s="1"/>
      <c r="B1228" s="245" t="e">
        <f>IF(AND(F1226&lt;&gt;"", B1223&lt;&gt;""), B1223+1, "")</f>
        <v>#REF!</v>
      </c>
      <c r="C1228" s="409"/>
      <c r="D1228" s="445"/>
      <c r="E1228" s="246" t="s">
        <v>765</v>
      </c>
      <c r="F1228" s="202">
        <v>0</v>
      </c>
      <c r="G1228" s="203">
        <v>0</v>
      </c>
      <c r="H1228" s="203">
        <v>0</v>
      </c>
      <c r="I1228" s="263">
        <v>0</v>
      </c>
      <c r="K1228" s="230"/>
      <c r="L1228" s="230"/>
      <c r="M1228" s="230"/>
    </row>
    <row r="1229" spans="1:13" s="231" customFormat="1" x14ac:dyDescent="0.25">
      <c r="A1229" s="1"/>
      <c r="B1229" s="245" t="e">
        <f>IF(AND(F1226&lt;&gt;"", B1224&lt;&gt;""), B1224+1, "")</f>
        <v>#REF!</v>
      </c>
      <c r="C1229" s="409"/>
      <c r="D1229" s="445"/>
      <c r="E1229" s="246" t="s">
        <v>766</v>
      </c>
      <c r="F1229" s="202">
        <v>0</v>
      </c>
      <c r="G1229" s="203">
        <v>0</v>
      </c>
      <c r="H1229" s="203">
        <v>0</v>
      </c>
      <c r="I1229" s="263">
        <v>0</v>
      </c>
      <c r="K1229" s="230"/>
      <c r="L1229" s="230"/>
      <c r="M1229" s="230"/>
    </row>
    <row r="1230" spans="1:13" s="231" customFormat="1" ht="15.75" customHeight="1" thickBot="1" x14ac:dyDescent="0.3">
      <c r="A1230" s="1"/>
      <c r="B1230" s="249" t="e">
        <f>IF(AND(F1226&lt;&gt;"", B1225&lt;&gt;""), B1225+1, "")</f>
        <v>#REF!</v>
      </c>
      <c r="C1230" s="416"/>
      <c r="D1230" s="446"/>
      <c r="E1230" s="250" t="s">
        <v>767</v>
      </c>
      <c r="F1230" s="204">
        <v>0</v>
      </c>
      <c r="G1230" s="205">
        <v>0</v>
      </c>
      <c r="H1230" s="205">
        <v>0</v>
      </c>
      <c r="I1230" s="264">
        <v>0</v>
      </c>
      <c r="K1230" s="230"/>
      <c r="L1230" s="230"/>
      <c r="M1230" s="230"/>
    </row>
    <row r="1231" spans="1:13" s="231" customFormat="1" x14ac:dyDescent="0.25">
      <c r="A1231" s="1"/>
      <c r="B1231" s="241" t="e">
        <f>IF(AND(F1231&lt;&gt;"", B1226&lt;&gt;""), B1226+1, "")</f>
        <v>#REF!</v>
      </c>
      <c r="C1231" s="442">
        <v>46276</v>
      </c>
      <c r="D1231" s="444">
        <f>D1226+1</f>
        <v>46276</v>
      </c>
      <c r="E1231" s="246" t="s">
        <v>394</v>
      </c>
      <c r="F1231" s="202">
        <v>0</v>
      </c>
      <c r="G1231" s="203">
        <v>0</v>
      </c>
      <c r="H1231" s="203">
        <v>0</v>
      </c>
      <c r="I1231" s="263">
        <v>0</v>
      </c>
      <c r="K1231" s="230"/>
      <c r="L1231" s="230"/>
      <c r="M1231" s="230"/>
    </row>
    <row r="1232" spans="1:13" s="231" customFormat="1" x14ac:dyDescent="0.25">
      <c r="A1232" s="1"/>
      <c r="B1232" s="245" t="e">
        <f>IF(AND(F1231&lt;&gt;"", B1227&lt;&gt;""), B1227+1, "")</f>
        <v>#REF!</v>
      </c>
      <c r="C1232" s="409"/>
      <c r="D1232" s="445"/>
      <c r="E1232" s="246" t="s">
        <v>764</v>
      </c>
      <c r="F1232" s="202">
        <v>0</v>
      </c>
      <c r="G1232" s="203">
        <v>0</v>
      </c>
      <c r="H1232" s="203">
        <v>0</v>
      </c>
      <c r="I1232" s="263">
        <v>0</v>
      </c>
      <c r="K1232" s="230"/>
      <c r="L1232" s="230"/>
      <c r="M1232" s="230"/>
    </row>
    <row r="1233" spans="1:13" s="231" customFormat="1" x14ac:dyDescent="0.25">
      <c r="A1233" s="1"/>
      <c r="B1233" s="245" t="e">
        <f>IF(AND(F1231&lt;&gt;"", B1228&lt;&gt;""), B1228+1, "")</f>
        <v>#REF!</v>
      </c>
      <c r="C1233" s="409"/>
      <c r="D1233" s="445"/>
      <c r="E1233" s="246" t="s">
        <v>765</v>
      </c>
      <c r="F1233" s="202">
        <v>0</v>
      </c>
      <c r="G1233" s="203">
        <v>0</v>
      </c>
      <c r="H1233" s="203">
        <v>0</v>
      </c>
      <c r="I1233" s="263">
        <v>0</v>
      </c>
      <c r="K1233" s="230"/>
      <c r="L1233" s="230"/>
      <c r="M1233" s="230"/>
    </row>
    <row r="1234" spans="1:13" s="231" customFormat="1" x14ac:dyDescent="0.25">
      <c r="A1234" s="1"/>
      <c r="B1234" s="245" t="e">
        <f>IF(AND(F1231&lt;&gt;"", B1229&lt;&gt;""), B1229+1, "")</f>
        <v>#REF!</v>
      </c>
      <c r="C1234" s="409"/>
      <c r="D1234" s="445"/>
      <c r="E1234" s="246" t="s">
        <v>766</v>
      </c>
      <c r="F1234" s="202">
        <v>0</v>
      </c>
      <c r="G1234" s="203">
        <v>0</v>
      </c>
      <c r="H1234" s="203">
        <v>0</v>
      </c>
      <c r="I1234" s="263">
        <v>0</v>
      </c>
      <c r="K1234" s="230"/>
      <c r="L1234" s="230"/>
      <c r="M1234" s="230"/>
    </row>
    <row r="1235" spans="1:13" s="231" customFormat="1" ht="15.75" customHeight="1" thickBot="1" x14ac:dyDescent="0.3">
      <c r="A1235" s="1"/>
      <c r="B1235" s="249" t="e">
        <f>IF(AND(F1231&lt;&gt;"", B1230&lt;&gt;""), B1230+1, "")</f>
        <v>#REF!</v>
      </c>
      <c r="C1235" s="416"/>
      <c r="D1235" s="446"/>
      <c r="E1235" s="250" t="s">
        <v>767</v>
      </c>
      <c r="F1235" s="204">
        <v>0</v>
      </c>
      <c r="G1235" s="205">
        <v>0</v>
      </c>
      <c r="H1235" s="205">
        <v>0</v>
      </c>
      <c r="I1235" s="264">
        <v>0</v>
      </c>
      <c r="K1235" s="230"/>
      <c r="L1235" s="230"/>
      <c r="M1235" s="230"/>
    </row>
    <row r="1236" spans="1:13" s="231" customFormat="1" x14ac:dyDescent="0.25">
      <c r="A1236" s="1"/>
      <c r="B1236" s="241" t="e">
        <f>IF(AND(F1236&lt;&gt;"", B1231&lt;&gt;""), B1231+1, "")</f>
        <v>#REF!</v>
      </c>
      <c r="C1236" s="442">
        <v>46277</v>
      </c>
      <c r="D1236" s="444">
        <f>D1231+1</f>
        <v>46277</v>
      </c>
      <c r="E1236" s="246" t="s">
        <v>394</v>
      </c>
      <c r="F1236" s="202">
        <v>0</v>
      </c>
      <c r="G1236" s="203">
        <v>0</v>
      </c>
      <c r="H1236" s="203">
        <v>0</v>
      </c>
      <c r="I1236" s="263">
        <v>0</v>
      </c>
      <c r="K1236" s="230"/>
      <c r="L1236" s="230"/>
      <c r="M1236" s="230"/>
    </row>
    <row r="1237" spans="1:13" s="231" customFormat="1" x14ac:dyDescent="0.25">
      <c r="A1237" s="1"/>
      <c r="B1237" s="245" t="e">
        <f>IF(AND(F1236&lt;&gt;"", B1232&lt;&gt;""), B1232+1, "")</f>
        <v>#REF!</v>
      </c>
      <c r="C1237" s="409"/>
      <c r="D1237" s="445"/>
      <c r="E1237" s="246" t="s">
        <v>764</v>
      </c>
      <c r="F1237" s="202">
        <v>0</v>
      </c>
      <c r="G1237" s="203">
        <v>0</v>
      </c>
      <c r="H1237" s="203">
        <v>0</v>
      </c>
      <c r="I1237" s="263">
        <v>0</v>
      </c>
      <c r="K1237" s="230"/>
      <c r="L1237" s="230"/>
      <c r="M1237" s="230"/>
    </row>
    <row r="1238" spans="1:13" s="231" customFormat="1" x14ac:dyDescent="0.25">
      <c r="A1238" s="1"/>
      <c r="B1238" s="245" t="e">
        <f>IF(AND(F1236&lt;&gt;"", B1233&lt;&gt;""), B1233+1, "")</f>
        <v>#REF!</v>
      </c>
      <c r="C1238" s="409"/>
      <c r="D1238" s="445"/>
      <c r="E1238" s="246" t="s">
        <v>765</v>
      </c>
      <c r="F1238" s="202">
        <v>0</v>
      </c>
      <c r="G1238" s="203">
        <v>0</v>
      </c>
      <c r="H1238" s="203">
        <v>0</v>
      </c>
      <c r="I1238" s="263">
        <v>0</v>
      </c>
      <c r="K1238" s="230"/>
      <c r="L1238" s="230"/>
      <c r="M1238" s="230"/>
    </row>
    <row r="1239" spans="1:13" s="231" customFormat="1" x14ac:dyDescent="0.25">
      <c r="A1239" s="1"/>
      <c r="B1239" s="245" t="e">
        <f>IF(AND(F1236&lt;&gt;"", B1234&lt;&gt;""), B1234+1, "")</f>
        <v>#REF!</v>
      </c>
      <c r="C1239" s="409"/>
      <c r="D1239" s="445"/>
      <c r="E1239" s="246" t="s">
        <v>766</v>
      </c>
      <c r="F1239" s="202">
        <v>0</v>
      </c>
      <c r="G1239" s="203">
        <v>0</v>
      </c>
      <c r="H1239" s="203">
        <v>0</v>
      </c>
      <c r="I1239" s="263">
        <v>0</v>
      </c>
      <c r="K1239" s="230"/>
      <c r="L1239" s="230"/>
      <c r="M1239" s="230"/>
    </row>
    <row r="1240" spans="1:13" s="231" customFormat="1" ht="15.75" customHeight="1" thickBot="1" x14ac:dyDescent="0.3">
      <c r="A1240" s="1"/>
      <c r="B1240" s="249" t="e">
        <f>IF(AND(F1236&lt;&gt;"", B1235&lt;&gt;""), B1235+1, "")</f>
        <v>#REF!</v>
      </c>
      <c r="C1240" s="416"/>
      <c r="D1240" s="446"/>
      <c r="E1240" s="250" t="s">
        <v>767</v>
      </c>
      <c r="F1240" s="204">
        <v>0</v>
      </c>
      <c r="G1240" s="205">
        <v>0</v>
      </c>
      <c r="H1240" s="205">
        <v>0</v>
      </c>
      <c r="I1240" s="264">
        <v>0</v>
      </c>
      <c r="K1240" s="230"/>
      <c r="L1240" s="230"/>
      <c r="M1240" s="230"/>
    </row>
    <row r="1241" spans="1:13" s="231" customFormat="1" x14ac:dyDescent="0.25">
      <c r="A1241" s="1"/>
      <c r="B1241" s="241" t="e">
        <f>IF(AND(F1241&lt;&gt;"", B1236&lt;&gt;""), B1236+1, "")</f>
        <v>#REF!</v>
      </c>
      <c r="C1241" s="442">
        <v>46278</v>
      </c>
      <c r="D1241" s="444">
        <f>D1236+1</f>
        <v>46278</v>
      </c>
      <c r="E1241" s="246" t="s">
        <v>394</v>
      </c>
      <c r="F1241" s="202">
        <v>0</v>
      </c>
      <c r="G1241" s="203">
        <v>0</v>
      </c>
      <c r="H1241" s="203">
        <v>0</v>
      </c>
      <c r="I1241" s="263">
        <v>0</v>
      </c>
      <c r="K1241" s="230"/>
      <c r="L1241" s="230"/>
      <c r="M1241" s="230"/>
    </row>
    <row r="1242" spans="1:13" s="231" customFormat="1" x14ac:dyDescent="0.25">
      <c r="A1242" s="1"/>
      <c r="B1242" s="245" t="e">
        <f>IF(AND(F1241&lt;&gt;"", B1237&lt;&gt;""), B1237+1, "")</f>
        <v>#REF!</v>
      </c>
      <c r="C1242" s="409"/>
      <c r="D1242" s="445"/>
      <c r="E1242" s="246" t="s">
        <v>764</v>
      </c>
      <c r="F1242" s="202">
        <v>0</v>
      </c>
      <c r="G1242" s="203">
        <v>0</v>
      </c>
      <c r="H1242" s="203">
        <v>0</v>
      </c>
      <c r="I1242" s="263">
        <v>0</v>
      </c>
      <c r="K1242" s="230"/>
      <c r="L1242" s="230"/>
      <c r="M1242" s="230"/>
    </row>
    <row r="1243" spans="1:13" s="231" customFormat="1" x14ac:dyDescent="0.25">
      <c r="A1243" s="1"/>
      <c r="B1243" s="245" t="e">
        <f>IF(AND(F1241&lt;&gt;"", B1238&lt;&gt;""), B1238+1, "")</f>
        <v>#REF!</v>
      </c>
      <c r="C1243" s="409"/>
      <c r="D1243" s="445"/>
      <c r="E1243" s="246" t="s">
        <v>765</v>
      </c>
      <c r="F1243" s="202">
        <v>0</v>
      </c>
      <c r="G1243" s="203">
        <v>0</v>
      </c>
      <c r="H1243" s="203">
        <v>0</v>
      </c>
      <c r="I1243" s="263">
        <v>0</v>
      </c>
      <c r="K1243" s="230"/>
      <c r="L1243" s="230"/>
      <c r="M1243" s="230"/>
    </row>
    <row r="1244" spans="1:13" s="231" customFormat="1" x14ac:dyDescent="0.25">
      <c r="A1244" s="1"/>
      <c r="B1244" s="245" t="e">
        <f>IF(AND(F1241&lt;&gt;"", B1239&lt;&gt;""), B1239+1, "")</f>
        <v>#REF!</v>
      </c>
      <c r="C1244" s="409"/>
      <c r="D1244" s="445"/>
      <c r="E1244" s="246" t="s">
        <v>766</v>
      </c>
      <c r="F1244" s="202">
        <v>0</v>
      </c>
      <c r="G1244" s="203">
        <v>0</v>
      </c>
      <c r="H1244" s="203">
        <v>0</v>
      </c>
      <c r="I1244" s="263">
        <v>0</v>
      </c>
      <c r="K1244" s="230"/>
      <c r="L1244" s="230"/>
      <c r="M1244" s="230"/>
    </row>
    <row r="1245" spans="1:13" s="231" customFormat="1" ht="15.75" customHeight="1" thickBot="1" x14ac:dyDescent="0.3">
      <c r="A1245" s="1"/>
      <c r="B1245" s="249" t="e">
        <f>IF(AND(F1241&lt;&gt;"", B1240&lt;&gt;""), B1240+1, "")</f>
        <v>#REF!</v>
      </c>
      <c r="C1245" s="416"/>
      <c r="D1245" s="446"/>
      <c r="E1245" s="250" t="s">
        <v>767</v>
      </c>
      <c r="F1245" s="204">
        <v>0</v>
      </c>
      <c r="G1245" s="205">
        <v>0</v>
      </c>
      <c r="H1245" s="205">
        <v>0</v>
      </c>
      <c r="I1245" s="264">
        <v>0</v>
      </c>
      <c r="K1245" s="230"/>
      <c r="L1245" s="230"/>
      <c r="M1245" s="230"/>
    </row>
    <row r="1246" spans="1:13" s="231" customFormat="1" x14ac:dyDescent="0.25">
      <c r="A1246" s="1"/>
      <c r="B1246" s="241" t="e">
        <f>IF(AND(F1246&lt;&gt;"", B1241&lt;&gt;""), B1241+1, "")</f>
        <v>#REF!</v>
      </c>
      <c r="C1246" s="442">
        <v>46279</v>
      </c>
      <c r="D1246" s="444">
        <f>D1241+1</f>
        <v>46279</v>
      </c>
      <c r="E1246" s="246" t="s">
        <v>394</v>
      </c>
      <c r="F1246" s="202">
        <v>0</v>
      </c>
      <c r="G1246" s="203">
        <v>0</v>
      </c>
      <c r="H1246" s="203">
        <v>0</v>
      </c>
      <c r="I1246" s="263">
        <v>0</v>
      </c>
      <c r="K1246" s="230"/>
      <c r="L1246" s="230"/>
      <c r="M1246" s="230"/>
    </row>
    <row r="1247" spans="1:13" s="231" customFormat="1" x14ac:dyDescent="0.25">
      <c r="A1247" s="1"/>
      <c r="B1247" s="245" t="e">
        <f>IF(AND(F1246&lt;&gt;"", B1242&lt;&gt;""), B1242+1, "")</f>
        <v>#REF!</v>
      </c>
      <c r="C1247" s="409"/>
      <c r="D1247" s="445"/>
      <c r="E1247" s="246" t="s">
        <v>764</v>
      </c>
      <c r="F1247" s="202">
        <v>0</v>
      </c>
      <c r="G1247" s="203">
        <v>0</v>
      </c>
      <c r="H1247" s="203">
        <v>0</v>
      </c>
      <c r="I1247" s="263">
        <v>0</v>
      </c>
      <c r="K1247" s="230"/>
      <c r="L1247" s="230"/>
      <c r="M1247" s="230"/>
    </row>
    <row r="1248" spans="1:13" s="231" customFormat="1" x14ac:dyDescent="0.25">
      <c r="A1248" s="1"/>
      <c r="B1248" s="245" t="e">
        <f>IF(AND(F1246&lt;&gt;"", B1243&lt;&gt;""), B1243+1, "")</f>
        <v>#REF!</v>
      </c>
      <c r="C1248" s="409"/>
      <c r="D1248" s="445"/>
      <c r="E1248" s="246" t="s">
        <v>765</v>
      </c>
      <c r="F1248" s="202">
        <v>0</v>
      </c>
      <c r="G1248" s="203">
        <v>0</v>
      </c>
      <c r="H1248" s="203">
        <v>0</v>
      </c>
      <c r="I1248" s="263">
        <v>0</v>
      </c>
      <c r="K1248" s="230"/>
      <c r="L1248" s="230"/>
      <c r="M1248" s="230"/>
    </row>
    <row r="1249" spans="1:13" s="231" customFormat="1" x14ac:dyDescent="0.25">
      <c r="A1249" s="1"/>
      <c r="B1249" s="245" t="e">
        <f>IF(AND(F1246&lt;&gt;"", B1244&lt;&gt;""), B1244+1, "")</f>
        <v>#REF!</v>
      </c>
      <c r="C1249" s="409"/>
      <c r="D1249" s="445"/>
      <c r="E1249" s="246" t="s">
        <v>766</v>
      </c>
      <c r="F1249" s="202">
        <v>0</v>
      </c>
      <c r="G1249" s="203">
        <v>0</v>
      </c>
      <c r="H1249" s="203">
        <v>0</v>
      </c>
      <c r="I1249" s="263">
        <v>0</v>
      </c>
      <c r="K1249" s="230"/>
      <c r="L1249" s="230"/>
      <c r="M1249" s="230"/>
    </row>
    <row r="1250" spans="1:13" s="231" customFormat="1" ht="15.75" customHeight="1" thickBot="1" x14ac:dyDescent="0.3">
      <c r="A1250" s="1"/>
      <c r="B1250" s="249" t="e">
        <f>IF(AND(F1246&lt;&gt;"", B1245&lt;&gt;""), B1245+1, "")</f>
        <v>#REF!</v>
      </c>
      <c r="C1250" s="416"/>
      <c r="D1250" s="446"/>
      <c r="E1250" s="250" t="s">
        <v>767</v>
      </c>
      <c r="F1250" s="204">
        <v>0</v>
      </c>
      <c r="G1250" s="205">
        <v>0</v>
      </c>
      <c r="H1250" s="205">
        <v>0</v>
      </c>
      <c r="I1250" s="264">
        <v>0</v>
      </c>
      <c r="K1250" s="230"/>
      <c r="L1250" s="230"/>
      <c r="M1250" s="230"/>
    </row>
    <row r="1251" spans="1:13" s="231" customFormat="1" x14ac:dyDescent="0.25">
      <c r="A1251" s="1"/>
      <c r="B1251" s="241" t="e">
        <f>IF(AND(F1251&lt;&gt;"", B1246&lt;&gt;""), B1246+1, "")</f>
        <v>#REF!</v>
      </c>
      <c r="C1251" s="442">
        <v>46280</v>
      </c>
      <c r="D1251" s="444">
        <f>D1246+1</f>
        <v>46280</v>
      </c>
      <c r="E1251" s="246" t="s">
        <v>394</v>
      </c>
      <c r="F1251" s="202">
        <v>0</v>
      </c>
      <c r="G1251" s="203">
        <v>0</v>
      </c>
      <c r="H1251" s="203">
        <v>0</v>
      </c>
      <c r="I1251" s="263">
        <v>0</v>
      </c>
      <c r="K1251" s="230"/>
      <c r="L1251" s="230"/>
      <c r="M1251" s="230"/>
    </row>
    <row r="1252" spans="1:13" s="231" customFormat="1" x14ac:dyDescent="0.25">
      <c r="A1252" s="1"/>
      <c r="B1252" s="245" t="e">
        <f>IF(AND(F1251&lt;&gt;"", B1247&lt;&gt;""), B1247+1, "")</f>
        <v>#REF!</v>
      </c>
      <c r="C1252" s="409"/>
      <c r="D1252" s="445"/>
      <c r="E1252" s="246" t="s">
        <v>764</v>
      </c>
      <c r="F1252" s="202">
        <v>0</v>
      </c>
      <c r="G1252" s="203">
        <v>0</v>
      </c>
      <c r="H1252" s="203">
        <v>0</v>
      </c>
      <c r="I1252" s="263">
        <v>0</v>
      </c>
      <c r="K1252" s="230"/>
      <c r="L1252" s="230"/>
      <c r="M1252" s="230"/>
    </row>
    <row r="1253" spans="1:13" s="231" customFormat="1" x14ac:dyDescent="0.25">
      <c r="A1253" s="1"/>
      <c r="B1253" s="245" t="e">
        <f>IF(AND(F1251&lt;&gt;"", B1248&lt;&gt;""), B1248+1, "")</f>
        <v>#REF!</v>
      </c>
      <c r="C1253" s="409"/>
      <c r="D1253" s="445"/>
      <c r="E1253" s="246" t="s">
        <v>765</v>
      </c>
      <c r="F1253" s="202">
        <v>0</v>
      </c>
      <c r="G1253" s="203">
        <v>0</v>
      </c>
      <c r="H1253" s="203">
        <v>0</v>
      </c>
      <c r="I1253" s="263">
        <v>0</v>
      </c>
      <c r="K1253" s="230"/>
      <c r="L1253" s="230"/>
      <c r="M1253" s="230"/>
    </row>
    <row r="1254" spans="1:13" s="231" customFormat="1" x14ac:dyDescent="0.25">
      <c r="A1254" s="1"/>
      <c r="B1254" s="245" t="e">
        <f>IF(AND(F1251&lt;&gt;"", B1249&lt;&gt;""), B1249+1, "")</f>
        <v>#REF!</v>
      </c>
      <c r="C1254" s="409"/>
      <c r="D1254" s="445"/>
      <c r="E1254" s="246" t="s">
        <v>766</v>
      </c>
      <c r="F1254" s="202">
        <v>0</v>
      </c>
      <c r="G1254" s="203">
        <v>0</v>
      </c>
      <c r="H1254" s="203">
        <v>0</v>
      </c>
      <c r="I1254" s="263">
        <v>0</v>
      </c>
      <c r="K1254" s="230"/>
      <c r="L1254" s="230"/>
      <c r="M1254" s="230"/>
    </row>
    <row r="1255" spans="1:13" s="231" customFormat="1" ht="15.75" customHeight="1" thickBot="1" x14ac:dyDescent="0.3">
      <c r="A1255" s="1"/>
      <c r="B1255" s="249" t="e">
        <f>IF(AND(F1251&lt;&gt;"", B1250&lt;&gt;""), B1250+1, "")</f>
        <v>#REF!</v>
      </c>
      <c r="C1255" s="416"/>
      <c r="D1255" s="446"/>
      <c r="E1255" s="250" t="s">
        <v>767</v>
      </c>
      <c r="F1255" s="204">
        <v>0</v>
      </c>
      <c r="G1255" s="205">
        <v>0</v>
      </c>
      <c r="H1255" s="205">
        <v>0</v>
      </c>
      <c r="I1255" s="264">
        <v>0</v>
      </c>
      <c r="K1255" s="230"/>
      <c r="L1255" s="230"/>
      <c r="M1255" s="230"/>
    </row>
    <row r="1256" spans="1:13" s="231" customFormat="1" x14ac:dyDescent="0.25">
      <c r="A1256" s="1"/>
      <c r="B1256" s="241" t="e">
        <f>IF(AND(F1256&lt;&gt;"", B1251&lt;&gt;""), B1251+1, "")</f>
        <v>#REF!</v>
      </c>
      <c r="C1256" s="442">
        <v>46281</v>
      </c>
      <c r="D1256" s="444">
        <f>D1251+1</f>
        <v>46281</v>
      </c>
      <c r="E1256" s="246" t="s">
        <v>394</v>
      </c>
      <c r="F1256" s="202">
        <v>0</v>
      </c>
      <c r="G1256" s="203">
        <v>0</v>
      </c>
      <c r="H1256" s="203">
        <v>0</v>
      </c>
      <c r="I1256" s="263">
        <v>0</v>
      </c>
      <c r="K1256" s="230"/>
      <c r="L1256" s="230"/>
      <c r="M1256" s="230"/>
    </row>
    <row r="1257" spans="1:13" s="231" customFormat="1" x14ac:dyDescent="0.25">
      <c r="A1257" s="1"/>
      <c r="B1257" s="245" t="e">
        <f>IF(AND(F1256&lt;&gt;"", B1252&lt;&gt;""), B1252+1, "")</f>
        <v>#REF!</v>
      </c>
      <c r="C1257" s="409"/>
      <c r="D1257" s="445"/>
      <c r="E1257" s="246" t="s">
        <v>764</v>
      </c>
      <c r="F1257" s="202">
        <v>0</v>
      </c>
      <c r="G1257" s="203">
        <v>0</v>
      </c>
      <c r="H1257" s="203">
        <v>0</v>
      </c>
      <c r="I1257" s="263">
        <v>0</v>
      </c>
      <c r="K1257" s="230"/>
      <c r="L1257" s="230"/>
      <c r="M1257" s="230"/>
    </row>
    <row r="1258" spans="1:13" s="231" customFormat="1" x14ac:dyDescent="0.25">
      <c r="A1258" s="1"/>
      <c r="B1258" s="245" t="e">
        <f>IF(AND(F1256&lt;&gt;"", B1253&lt;&gt;""), B1253+1, "")</f>
        <v>#REF!</v>
      </c>
      <c r="C1258" s="409"/>
      <c r="D1258" s="445"/>
      <c r="E1258" s="246" t="s">
        <v>765</v>
      </c>
      <c r="F1258" s="202">
        <v>0</v>
      </c>
      <c r="G1258" s="203">
        <v>0</v>
      </c>
      <c r="H1258" s="203">
        <v>0</v>
      </c>
      <c r="I1258" s="263">
        <v>0</v>
      </c>
      <c r="K1258" s="230"/>
      <c r="L1258" s="230"/>
      <c r="M1258" s="230"/>
    </row>
    <row r="1259" spans="1:13" s="231" customFormat="1" x14ac:dyDescent="0.25">
      <c r="A1259" s="1"/>
      <c r="B1259" s="245" t="e">
        <f>IF(AND(F1256&lt;&gt;"", B1254&lt;&gt;""), B1254+1, "")</f>
        <v>#REF!</v>
      </c>
      <c r="C1259" s="409"/>
      <c r="D1259" s="445"/>
      <c r="E1259" s="246" t="s">
        <v>766</v>
      </c>
      <c r="F1259" s="202">
        <v>0</v>
      </c>
      <c r="G1259" s="203">
        <v>0</v>
      </c>
      <c r="H1259" s="203">
        <v>0</v>
      </c>
      <c r="I1259" s="263">
        <v>0</v>
      </c>
      <c r="K1259" s="230"/>
      <c r="L1259" s="230"/>
      <c r="M1259" s="230"/>
    </row>
    <row r="1260" spans="1:13" s="231" customFormat="1" ht="15.75" customHeight="1" thickBot="1" x14ac:dyDescent="0.3">
      <c r="A1260" s="1"/>
      <c r="B1260" s="249" t="e">
        <f>IF(AND(F1256&lt;&gt;"", B1255&lt;&gt;""), B1255+1, "")</f>
        <v>#REF!</v>
      </c>
      <c r="C1260" s="416"/>
      <c r="D1260" s="446"/>
      <c r="E1260" s="250" t="s">
        <v>767</v>
      </c>
      <c r="F1260" s="204">
        <v>0</v>
      </c>
      <c r="G1260" s="205">
        <v>0</v>
      </c>
      <c r="H1260" s="205">
        <v>0</v>
      </c>
      <c r="I1260" s="264">
        <v>0</v>
      </c>
      <c r="K1260" s="230"/>
      <c r="L1260" s="230"/>
      <c r="M1260" s="230"/>
    </row>
    <row r="1261" spans="1:13" s="231" customFormat="1" x14ac:dyDescent="0.25">
      <c r="A1261" s="1"/>
      <c r="B1261" s="241" t="e">
        <f>IF(AND(F1261&lt;&gt;"", B1256&lt;&gt;""), B1256+1, "")</f>
        <v>#REF!</v>
      </c>
      <c r="C1261" s="442">
        <v>46282</v>
      </c>
      <c r="D1261" s="444">
        <f>D1256+1</f>
        <v>46282</v>
      </c>
      <c r="E1261" s="246" t="s">
        <v>394</v>
      </c>
      <c r="F1261" s="202">
        <v>0</v>
      </c>
      <c r="G1261" s="203">
        <v>0</v>
      </c>
      <c r="H1261" s="203">
        <v>0</v>
      </c>
      <c r="I1261" s="263">
        <v>0</v>
      </c>
      <c r="K1261" s="230"/>
      <c r="L1261" s="230"/>
      <c r="M1261" s="230"/>
    </row>
    <row r="1262" spans="1:13" s="231" customFormat="1" x14ac:dyDescent="0.25">
      <c r="A1262" s="1"/>
      <c r="B1262" s="245" t="e">
        <f>IF(AND(F1261&lt;&gt;"", B1257&lt;&gt;""), B1257+1, "")</f>
        <v>#REF!</v>
      </c>
      <c r="C1262" s="409"/>
      <c r="D1262" s="445"/>
      <c r="E1262" s="246" t="s">
        <v>764</v>
      </c>
      <c r="F1262" s="202">
        <v>0</v>
      </c>
      <c r="G1262" s="203">
        <v>0</v>
      </c>
      <c r="H1262" s="203">
        <v>0</v>
      </c>
      <c r="I1262" s="263">
        <v>0</v>
      </c>
      <c r="K1262" s="230"/>
      <c r="L1262" s="230"/>
      <c r="M1262" s="230"/>
    </row>
    <row r="1263" spans="1:13" s="231" customFormat="1" x14ac:dyDescent="0.25">
      <c r="A1263" s="1"/>
      <c r="B1263" s="245" t="e">
        <f>IF(AND(F1261&lt;&gt;"", B1258&lt;&gt;""), B1258+1, "")</f>
        <v>#REF!</v>
      </c>
      <c r="C1263" s="409"/>
      <c r="D1263" s="445"/>
      <c r="E1263" s="246" t="s">
        <v>765</v>
      </c>
      <c r="F1263" s="202">
        <v>0</v>
      </c>
      <c r="G1263" s="203">
        <v>0</v>
      </c>
      <c r="H1263" s="203">
        <v>0</v>
      </c>
      <c r="I1263" s="263">
        <v>0</v>
      </c>
      <c r="K1263" s="230"/>
      <c r="L1263" s="230"/>
      <c r="M1263" s="230"/>
    </row>
    <row r="1264" spans="1:13" s="231" customFormat="1" x14ac:dyDescent="0.25">
      <c r="A1264" s="1"/>
      <c r="B1264" s="245" t="e">
        <f>IF(AND(F1261&lt;&gt;"", B1259&lt;&gt;""), B1259+1, "")</f>
        <v>#REF!</v>
      </c>
      <c r="C1264" s="409"/>
      <c r="D1264" s="445"/>
      <c r="E1264" s="246" t="s">
        <v>766</v>
      </c>
      <c r="F1264" s="202">
        <v>0</v>
      </c>
      <c r="G1264" s="203">
        <v>0</v>
      </c>
      <c r="H1264" s="203">
        <v>0</v>
      </c>
      <c r="I1264" s="263">
        <v>0</v>
      </c>
      <c r="K1264" s="230"/>
      <c r="L1264" s="230"/>
      <c r="M1264" s="230"/>
    </row>
    <row r="1265" spans="1:13" s="231" customFormat="1" ht="15.75" customHeight="1" thickBot="1" x14ac:dyDescent="0.3">
      <c r="A1265" s="1"/>
      <c r="B1265" s="249" t="e">
        <f>IF(AND(F1261&lt;&gt;"", B1260&lt;&gt;""), B1260+1, "")</f>
        <v>#REF!</v>
      </c>
      <c r="C1265" s="416"/>
      <c r="D1265" s="446"/>
      <c r="E1265" s="250" t="s">
        <v>767</v>
      </c>
      <c r="F1265" s="204">
        <v>0</v>
      </c>
      <c r="G1265" s="205">
        <v>0</v>
      </c>
      <c r="H1265" s="205">
        <v>0</v>
      </c>
      <c r="I1265" s="264">
        <v>0</v>
      </c>
      <c r="K1265" s="230"/>
      <c r="L1265" s="230"/>
      <c r="M1265" s="230"/>
    </row>
    <row r="1266" spans="1:13" s="231" customFormat="1" x14ac:dyDescent="0.25">
      <c r="A1266" s="1"/>
      <c r="B1266" s="241" t="e">
        <f>IF(AND(F1266&lt;&gt;"", B1261&lt;&gt;""), B1261+1, "")</f>
        <v>#REF!</v>
      </c>
      <c r="C1266" s="442">
        <v>46283</v>
      </c>
      <c r="D1266" s="444">
        <f>D1261+1</f>
        <v>46283</v>
      </c>
      <c r="E1266" s="246" t="s">
        <v>394</v>
      </c>
      <c r="F1266" s="202">
        <v>0</v>
      </c>
      <c r="G1266" s="203">
        <v>0</v>
      </c>
      <c r="H1266" s="203">
        <v>0</v>
      </c>
      <c r="I1266" s="263">
        <v>0</v>
      </c>
      <c r="K1266" s="230"/>
      <c r="L1266" s="230"/>
      <c r="M1266" s="230"/>
    </row>
    <row r="1267" spans="1:13" s="231" customFormat="1" x14ac:dyDescent="0.25">
      <c r="A1267" s="1"/>
      <c r="B1267" s="245" t="e">
        <f>IF(AND(F1266&lt;&gt;"", B1262&lt;&gt;""), B1262+1, "")</f>
        <v>#REF!</v>
      </c>
      <c r="C1267" s="409"/>
      <c r="D1267" s="445"/>
      <c r="E1267" s="246" t="s">
        <v>764</v>
      </c>
      <c r="F1267" s="202">
        <v>0</v>
      </c>
      <c r="G1267" s="203">
        <v>0</v>
      </c>
      <c r="H1267" s="203">
        <v>0</v>
      </c>
      <c r="I1267" s="263">
        <v>0</v>
      </c>
      <c r="K1267" s="230"/>
      <c r="L1267" s="230"/>
      <c r="M1267" s="230"/>
    </row>
    <row r="1268" spans="1:13" s="231" customFormat="1" x14ac:dyDescent="0.25">
      <c r="A1268" s="1"/>
      <c r="B1268" s="245" t="e">
        <f>IF(AND(F1266&lt;&gt;"", B1263&lt;&gt;""), B1263+1, "")</f>
        <v>#REF!</v>
      </c>
      <c r="C1268" s="409"/>
      <c r="D1268" s="445"/>
      <c r="E1268" s="246" t="s">
        <v>765</v>
      </c>
      <c r="F1268" s="202">
        <v>0</v>
      </c>
      <c r="G1268" s="203">
        <v>0</v>
      </c>
      <c r="H1268" s="203">
        <v>0</v>
      </c>
      <c r="I1268" s="263">
        <v>0</v>
      </c>
      <c r="K1268" s="230"/>
      <c r="L1268" s="230"/>
      <c r="M1268" s="230"/>
    </row>
    <row r="1269" spans="1:13" s="231" customFormat="1" x14ac:dyDescent="0.25">
      <c r="A1269" s="1"/>
      <c r="B1269" s="245" t="e">
        <f>IF(AND(F1266&lt;&gt;"", B1264&lt;&gt;""), B1264+1, "")</f>
        <v>#REF!</v>
      </c>
      <c r="C1269" s="409"/>
      <c r="D1269" s="445"/>
      <c r="E1269" s="246" t="s">
        <v>766</v>
      </c>
      <c r="F1269" s="202">
        <v>0</v>
      </c>
      <c r="G1269" s="203">
        <v>0</v>
      </c>
      <c r="H1269" s="203">
        <v>0</v>
      </c>
      <c r="I1269" s="263">
        <v>0</v>
      </c>
      <c r="K1269" s="230"/>
      <c r="L1269" s="230"/>
      <c r="M1269" s="230"/>
    </row>
    <row r="1270" spans="1:13" s="231" customFormat="1" ht="15.75" customHeight="1" thickBot="1" x14ac:dyDescent="0.3">
      <c r="A1270" s="1"/>
      <c r="B1270" s="249" t="e">
        <f>IF(AND(F1266&lt;&gt;"", B1265&lt;&gt;""), B1265+1, "")</f>
        <v>#REF!</v>
      </c>
      <c r="C1270" s="416"/>
      <c r="D1270" s="446"/>
      <c r="E1270" s="250" t="s">
        <v>767</v>
      </c>
      <c r="F1270" s="204">
        <v>0</v>
      </c>
      <c r="G1270" s="205">
        <v>0</v>
      </c>
      <c r="H1270" s="205">
        <v>0</v>
      </c>
      <c r="I1270" s="264">
        <v>0</v>
      </c>
      <c r="K1270" s="230"/>
      <c r="L1270" s="230"/>
      <c r="M1270" s="230"/>
    </row>
    <row r="1271" spans="1:13" s="231" customFormat="1" x14ac:dyDescent="0.25">
      <c r="A1271" s="1"/>
      <c r="B1271" s="241" t="e">
        <f>IF(AND(F1271&lt;&gt;"", B1266&lt;&gt;""), B1266+1, "")</f>
        <v>#REF!</v>
      </c>
      <c r="C1271" s="442">
        <v>46284</v>
      </c>
      <c r="D1271" s="444">
        <f>D1266+1</f>
        <v>46284</v>
      </c>
      <c r="E1271" s="246" t="s">
        <v>394</v>
      </c>
      <c r="F1271" s="202">
        <v>0</v>
      </c>
      <c r="G1271" s="203">
        <v>0</v>
      </c>
      <c r="H1271" s="203">
        <v>0</v>
      </c>
      <c r="I1271" s="263">
        <v>0</v>
      </c>
      <c r="K1271" s="230"/>
      <c r="L1271" s="230"/>
      <c r="M1271" s="230"/>
    </row>
    <row r="1272" spans="1:13" s="231" customFormat="1" x14ac:dyDescent="0.25">
      <c r="A1272" s="1"/>
      <c r="B1272" s="245" t="e">
        <f>IF(AND(F1271&lt;&gt;"", B1267&lt;&gt;""), B1267+1, "")</f>
        <v>#REF!</v>
      </c>
      <c r="C1272" s="409"/>
      <c r="D1272" s="445"/>
      <c r="E1272" s="246" t="s">
        <v>764</v>
      </c>
      <c r="F1272" s="202">
        <v>0</v>
      </c>
      <c r="G1272" s="203">
        <v>0</v>
      </c>
      <c r="H1272" s="203">
        <v>0</v>
      </c>
      <c r="I1272" s="263">
        <v>0</v>
      </c>
      <c r="K1272" s="230"/>
      <c r="L1272" s="230"/>
      <c r="M1272" s="230"/>
    </row>
    <row r="1273" spans="1:13" s="231" customFormat="1" x14ac:dyDescent="0.25">
      <c r="A1273" s="1"/>
      <c r="B1273" s="245" t="e">
        <f>IF(AND(F1271&lt;&gt;"", B1268&lt;&gt;""), B1268+1, "")</f>
        <v>#REF!</v>
      </c>
      <c r="C1273" s="409"/>
      <c r="D1273" s="445"/>
      <c r="E1273" s="246" t="s">
        <v>765</v>
      </c>
      <c r="F1273" s="202">
        <v>0</v>
      </c>
      <c r="G1273" s="203">
        <v>0</v>
      </c>
      <c r="H1273" s="203">
        <v>0</v>
      </c>
      <c r="I1273" s="263">
        <v>0</v>
      </c>
      <c r="K1273" s="230"/>
      <c r="L1273" s="230"/>
      <c r="M1273" s="230"/>
    </row>
    <row r="1274" spans="1:13" s="231" customFormat="1" x14ac:dyDescent="0.25">
      <c r="A1274" s="1"/>
      <c r="B1274" s="245" t="e">
        <f>IF(AND(F1271&lt;&gt;"", B1269&lt;&gt;""), B1269+1, "")</f>
        <v>#REF!</v>
      </c>
      <c r="C1274" s="409"/>
      <c r="D1274" s="445"/>
      <c r="E1274" s="246" t="s">
        <v>766</v>
      </c>
      <c r="F1274" s="202">
        <v>0</v>
      </c>
      <c r="G1274" s="203">
        <v>0</v>
      </c>
      <c r="H1274" s="203">
        <v>0</v>
      </c>
      <c r="I1274" s="263">
        <v>0</v>
      </c>
      <c r="K1274" s="230"/>
      <c r="L1274" s="230"/>
      <c r="M1274" s="230"/>
    </row>
    <row r="1275" spans="1:13" s="231" customFormat="1" ht="15.75" customHeight="1" thickBot="1" x14ac:dyDescent="0.3">
      <c r="A1275" s="1"/>
      <c r="B1275" s="249" t="e">
        <f>IF(AND(F1271&lt;&gt;"", B1270&lt;&gt;""), B1270+1, "")</f>
        <v>#REF!</v>
      </c>
      <c r="C1275" s="416"/>
      <c r="D1275" s="446"/>
      <c r="E1275" s="250" t="s">
        <v>767</v>
      </c>
      <c r="F1275" s="204">
        <v>0</v>
      </c>
      <c r="G1275" s="205">
        <v>0</v>
      </c>
      <c r="H1275" s="205">
        <v>0</v>
      </c>
      <c r="I1275" s="264">
        <v>0</v>
      </c>
      <c r="K1275" s="230"/>
      <c r="L1275" s="230"/>
      <c r="M1275" s="230"/>
    </row>
    <row r="1276" spans="1:13" s="231" customFormat="1" x14ac:dyDescent="0.25">
      <c r="A1276" s="1"/>
      <c r="B1276" s="241" t="e">
        <f>IF(AND(F1276&lt;&gt;"", B1271&lt;&gt;""), B1271+1, "")</f>
        <v>#REF!</v>
      </c>
      <c r="C1276" s="442">
        <v>46285</v>
      </c>
      <c r="D1276" s="444">
        <f>D1271+1</f>
        <v>46285</v>
      </c>
      <c r="E1276" s="246" t="s">
        <v>394</v>
      </c>
      <c r="F1276" s="202">
        <v>0</v>
      </c>
      <c r="G1276" s="203">
        <v>0</v>
      </c>
      <c r="H1276" s="203">
        <v>0</v>
      </c>
      <c r="I1276" s="263">
        <v>0</v>
      </c>
      <c r="K1276" s="230"/>
      <c r="L1276" s="230"/>
      <c r="M1276" s="230"/>
    </row>
    <row r="1277" spans="1:13" s="231" customFormat="1" x14ac:dyDescent="0.25">
      <c r="A1277" s="1"/>
      <c r="B1277" s="245" t="e">
        <f>IF(AND(F1276&lt;&gt;"", B1272&lt;&gt;""), B1272+1, "")</f>
        <v>#REF!</v>
      </c>
      <c r="C1277" s="409"/>
      <c r="D1277" s="445"/>
      <c r="E1277" s="246" t="s">
        <v>764</v>
      </c>
      <c r="F1277" s="202">
        <v>0</v>
      </c>
      <c r="G1277" s="203">
        <v>0</v>
      </c>
      <c r="H1277" s="203">
        <v>0</v>
      </c>
      <c r="I1277" s="263">
        <v>0</v>
      </c>
      <c r="K1277" s="230"/>
      <c r="L1277" s="230"/>
      <c r="M1277" s="230"/>
    </row>
    <row r="1278" spans="1:13" s="231" customFormat="1" x14ac:dyDescent="0.25">
      <c r="A1278" s="1"/>
      <c r="B1278" s="245" t="e">
        <f>IF(AND(F1276&lt;&gt;"", B1273&lt;&gt;""), B1273+1, "")</f>
        <v>#REF!</v>
      </c>
      <c r="C1278" s="409"/>
      <c r="D1278" s="445"/>
      <c r="E1278" s="246" t="s">
        <v>765</v>
      </c>
      <c r="F1278" s="202">
        <v>0</v>
      </c>
      <c r="G1278" s="203">
        <v>0</v>
      </c>
      <c r="H1278" s="203">
        <v>0</v>
      </c>
      <c r="I1278" s="263">
        <v>0</v>
      </c>
      <c r="K1278" s="230"/>
      <c r="L1278" s="230"/>
      <c r="M1278" s="230"/>
    </row>
    <row r="1279" spans="1:13" s="231" customFormat="1" x14ac:dyDescent="0.25">
      <c r="A1279" s="1"/>
      <c r="B1279" s="245" t="e">
        <f>IF(AND(F1276&lt;&gt;"", B1274&lt;&gt;""), B1274+1, "")</f>
        <v>#REF!</v>
      </c>
      <c r="C1279" s="409"/>
      <c r="D1279" s="445"/>
      <c r="E1279" s="246" t="s">
        <v>766</v>
      </c>
      <c r="F1279" s="202">
        <v>0</v>
      </c>
      <c r="G1279" s="203">
        <v>0</v>
      </c>
      <c r="H1279" s="203">
        <v>0</v>
      </c>
      <c r="I1279" s="263">
        <v>0</v>
      </c>
      <c r="K1279" s="230"/>
      <c r="L1279" s="230"/>
      <c r="M1279" s="230"/>
    </row>
    <row r="1280" spans="1:13" s="231" customFormat="1" ht="15.75" customHeight="1" thickBot="1" x14ac:dyDescent="0.3">
      <c r="A1280" s="1"/>
      <c r="B1280" s="249" t="e">
        <f>IF(AND(F1276&lt;&gt;"", B1275&lt;&gt;""), B1275+1, "")</f>
        <v>#REF!</v>
      </c>
      <c r="C1280" s="416"/>
      <c r="D1280" s="446"/>
      <c r="E1280" s="250" t="s">
        <v>767</v>
      </c>
      <c r="F1280" s="204">
        <v>0</v>
      </c>
      <c r="G1280" s="205">
        <v>0</v>
      </c>
      <c r="H1280" s="205">
        <v>0</v>
      </c>
      <c r="I1280" s="264">
        <v>0</v>
      </c>
      <c r="K1280" s="230"/>
      <c r="L1280" s="230"/>
      <c r="M1280" s="230"/>
    </row>
    <row r="1281" spans="1:13" s="231" customFormat="1" x14ac:dyDescent="0.25">
      <c r="A1281" s="1"/>
      <c r="B1281" s="241" t="e">
        <f>IF(AND(F1281&lt;&gt;"", B1276&lt;&gt;""), B1276+1, "")</f>
        <v>#REF!</v>
      </c>
      <c r="C1281" s="442">
        <v>46286</v>
      </c>
      <c r="D1281" s="444">
        <f>D1276+1</f>
        <v>46286</v>
      </c>
      <c r="E1281" s="246" t="s">
        <v>394</v>
      </c>
      <c r="F1281" s="202">
        <v>0</v>
      </c>
      <c r="G1281" s="203">
        <v>0</v>
      </c>
      <c r="H1281" s="203">
        <v>0</v>
      </c>
      <c r="I1281" s="263">
        <v>0</v>
      </c>
      <c r="K1281" s="230"/>
      <c r="L1281" s="230"/>
      <c r="M1281" s="230"/>
    </row>
    <row r="1282" spans="1:13" s="231" customFormat="1" x14ac:dyDescent="0.25">
      <c r="A1282" s="1"/>
      <c r="B1282" s="245" t="e">
        <f>IF(AND(F1281&lt;&gt;"", B1277&lt;&gt;""), B1277+1, "")</f>
        <v>#REF!</v>
      </c>
      <c r="C1282" s="409"/>
      <c r="D1282" s="445"/>
      <c r="E1282" s="246" t="s">
        <v>764</v>
      </c>
      <c r="F1282" s="202">
        <v>0</v>
      </c>
      <c r="G1282" s="203">
        <v>0</v>
      </c>
      <c r="H1282" s="203">
        <v>0</v>
      </c>
      <c r="I1282" s="263">
        <v>0</v>
      </c>
      <c r="K1282" s="230"/>
      <c r="L1282" s="230"/>
      <c r="M1282" s="230"/>
    </row>
    <row r="1283" spans="1:13" s="231" customFormat="1" x14ac:dyDescent="0.25">
      <c r="A1283" s="1"/>
      <c r="B1283" s="245" t="e">
        <f>IF(AND(F1281&lt;&gt;"", B1278&lt;&gt;""), B1278+1, "")</f>
        <v>#REF!</v>
      </c>
      <c r="C1283" s="409"/>
      <c r="D1283" s="445"/>
      <c r="E1283" s="246" t="s">
        <v>765</v>
      </c>
      <c r="F1283" s="202">
        <v>0</v>
      </c>
      <c r="G1283" s="203">
        <v>0</v>
      </c>
      <c r="H1283" s="203">
        <v>0</v>
      </c>
      <c r="I1283" s="263">
        <v>0</v>
      </c>
      <c r="K1283" s="230"/>
      <c r="L1283" s="230"/>
      <c r="M1283" s="230"/>
    </row>
    <row r="1284" spans="1:13" s="231" customFormat="1" x14ac:dyDescent="0.25">
      <c r="A1284" s="1"/>
      <c r="B1284" s="245" t="e">
        <f>IF(AND(F1281&lt;&gt;"", B1279&lt;&gt;""), B1279+1, "")</f>
        <v>#REF!</v>
      </c>
      <c r="C1284" s="409"/>
      <c r="D1284" s="445"/>
      <c r="E1284" s="246" t="s">
        <v>766</v>
      </c>
      <c r="F1284" s="202">
        <v>0</v>
      </c>
      <c r="G1284" s="203">
        <v>0</v>
      </c>
      <c r="H1284" s="203">
        <v>0</v>
      </c>
      <c r="I1284" s="263">
        <v>0</v>
      </c>
      <c r="K1284" s="230"/>
      <c r="L1284" s="230"/>
      <c r="M1284" s="230"/>
    </row>
    <row r="1285" spans="1:13" s="231" customFormat="1" ht="15.75" customHeight="1" thickBot="1" x14ac:dyDescent="0.3">
      <c r="A1285" s="1"/>
      <c r="B1285" s="249" t="e">
        <f>IF(AND(F1281&lt;&gt;"", B1280&lt;&gt;""), B1280+1, "")</f>
        <v>#REF!</v>
      </c>
      <c r="C1285" s="416"/>
      <c r="D1285" s="446"/>
      <c r="E1285" s="250" t="s">
        <v>767</v>
      </c>
      <c r="F1285" s="204">
        <v>0</v>
      </c>
      <c r="G1285" s="205">
        <v>0</v>
      </c>
      <c r="H1285" s="205">
        <v>0</v>
      </c>
      <c r="I1285" s="264">
        <v>0</v>
      </c>
      <c r="K1285" s="230"/>
      <c r="L1285" s="230"/>
      <c r="M1285" s="230"/>
    </row>
    <row r="1286" spans="1:13" s="231" customFormat="1" x14ac:dyDescent="0.25">
      <c r="A1286" s="1"/>
      <c r="B1286" s="241" t="e">
        <f>IF(AND(F1286&lt;&gt;"", B1281&lt;&gt;""), B1281+1, "")</f>
        <v>#REF!</v>
      </c>
      <c r="C1286" s="442">
        <v>46287</v>
      </c>
      <c r="D1286" s="444">
        <f>D1281+1</f>
        <v>46287</v>
      </c>
      <c r="E1286" s="246" t="s">
        <v>394</v>
      </c>
      <c r="F1286" s="202">
        <v>0</v>
      </c>
      <c r="G1286" s="203">
        <v>0</v>
      </c>
      <c r="H1286" s="203">
        <v>0</v>
      </c>
      <c r="I1286" s="263">
        <v>0</v>
      </c>
      <c r="K1286" s="230"/>
      <c r="L1286" s="230"/>
      <c r="M1286" s="230"/>
    </row>
    <row r="1287" spans="1:13" s="231" customFormat="1" x14ac:dyDescent="0.25">
      <c r="A1287" s="1"/>
      <c r="B1287" s="245" t="e">
        <f>IF(AND(F1286&lt;&gt;"", B1282&lt;&gt;""), B1282+1, "")</f>
        <v>#REF!</v>
      </c>
      <c r="C1287" s="409"/>
      <c r="D1287" s="445"/>
      <c r="E1287" s="246" t="s">
        <v>764</v>
      </c>
      <c r="F1287" s="202">
        <v>0</v>
      </c>
      <c r="G1287" s="203">
        <v>0</v>
      </c>
      <c r="H1287" s="203">
        <v>0</v>
      </c>
      <c r="I1287" s="263">
        <v>0</v>
      </c>
      <c r="K1287" s="230"/>
      <c r="L1287" s="230"/>
      <c r="M1287" s="230"/>
    </row>
    <row r="1288" spans="1:13" s="231" customFormat="1" x14ac:dyDescent="0.25">
      <c r="A1288" s="1"/>
      <c r="B1288" s="245" t="e">
        <f>IF(AND(F1286&lt;&gt;"", B1283&lt;&gt;""), B1283+1, "")</f>
        <v>#REF!</v>
      </c>
      <c r="C1288" s="409"/>
      <c r="D1288" s="445"/>
      <c r="E1288" s="246" t="s">
        <v>765</v>
      </c>
      <c r="F1288" s="202">
        <v>0</v>
      </c>
      <c r="G1288" s="203">
        <v>0</v>
      </c>
      <c r="H1288" s="203">
        <v>0</v>
      </c>
      <c r="I1288" s="263">
        <v>0</v>
      </c>
      <c r="K1288" s="230"/>
      <c r="L1288" s="230"/>
      <c r="M1288" s="230"/>
    </row>
    <row r="1289" spans="1:13" s="231" customFormat="1" x14ac:dyDescent="0.25">
      <c r="A1289" s="1"/>
      <c r="B1289" s="245" t="e">
        <f>IF(AND(F1286&lt;&gt;"", B1284&lt;&gt;""), B1284+1, "")</f>
        <v>#REF!</v>
      </c>
      <c r="C1289" s="409"/>
      <c r="D1289" s="445"/>
      <c r="E1289" s="246" t="s">
        <v>766</v>
      </c>
      <c r="F1289" s="202">
        <v>0</v>
      </c>
      <c r="G1289" s="203">
        <v>0</v>
      </c>
      <c r="H1289" s="203">
        <v>0</v>
      </c>
      <c r="I1289" s="263">
        <v>0</v>
      </c>
      <c r="K1289" s="230"/>
      <c r="L1289" s="230"/>
      <c r="M1289" s="230"/>
    </row>
    <row r="1290" spans="1:13" s="231" customFormat="1" ht="15.75" customHeight="1" thickBot="1" x14ac:dyDescent="0.3">
      <c r="A1290" s="1"/>
      <c r="B1290" s="249" t="e">
        <f>IF(AND(F1286&lt;&gt;"", B1285&lt;&gt;""), B1285+1, "")</f>
        <v>#REF!</v>
      </c>
      <c r="C1290" s="416"/>
      <c r="D1290" s="446"/>
      <c r="E1290" s="250" t="s">
        <v>767</v>
      </c>
      <c r="F1290" s="204">
        <v>0</v>
      </c>
      <c r="G1290" s="205">
        <v>0</v>
      </c>
      <c r="H1290" s="205">
        <v>0</v>
      </c>
      <c r="I1290" s="264">
        <v>0</v>
      </c>
      <c r="K1290" s="230"/>
      <c r="L1290" s="230"/>
      <c r="M1290" s="230"/>
    </row>
    <row r="1291" spans="1:13" s="231" customFormat="1" x14ac:dyDescent="0.25">
      <c r="A1291" s="1"/>
      <c r="B1291" s="241" t="e">
        <f>IF(AND(F1291&lt;&gt;"", B1286&lt;&gt;""), B1286+1, "")</f>
        <v>#REF!</v>
      </c>
      <c r="C1291" s="442">
        <v>46288</v>
      </c>
      <c r="D1291" s="444">
        <f>D1286+1</f>
        <v>46288</v>
      </c>
      <c r="E1291" s="246" t="s">
        <v>394</v>
      </c>
      <c r="F1291" s="202">
        <v>0</v>
      </c>
      <c r="G1291" s="203">
        <v>0</v>
      </c>
      <c r="H1291" s="203">
        <v>0</v>
      </c>
      <c r="I1291" s="263">
        <v>0</v>
      </c>
      <c r="K1291" s="230"/>
      <c r="L1291" s="230"/>
      <c r="M1291" s="230"/>
    </row>
    <row r="1292" spans="1:13" s="231" customFormat="1" x14ac:dyDescent="0.25">
      <c r="A1292" s="1"/>
      <c r="B1292" s="245" t="e">
        <f>IF(AND(F1291&lt;&gt;"", B1287&lt;&gt;""), B1287+1, "")</f>
        <v>#REF!</v>
      </c>
      <c r="C1292" s="409"/>
      <c r="D1292" s="445"/>
      <c r="E1292" s="246" t="s">
        <v>764</v>
      </c>
      <c r="F1292" s="202">
        <v>0</v>
      </c>
      <c r="G1292" s="203">
        <v>0</v>
      </c>
      <c r="H1292" s="203">
        <v>0</v>
      </c>
      <c r="I1292" s="263">
        <v>0</v>
      </c>
      <c r="K1292" s="230"/>
      <c r="L1292" s="230"/>
      <c r="M1292" s="230"/>
    </row>
    <row r="1293" spans="1:13" s="231" customFormat="1" x14ac:dyDescent="0.25">
      <c r="A1293" s="1"/>
      <c r="B1293" s="245" t="e">
        <f>IF(AND(F1291&lt;&gt;"", B1288&lt;&gt;""), B1288+1, "")</f>
        <v>#REF!</v>
      </c>
      <c r="C1293" s="409"/>
      <c r="D1293" s="445"/>
      <c r="E1293" s="246" t="s">
        <v>765</v>
      </c>
      <c r="F1293" s="202">
        <v>0</v>
      </c>
      <c r="G1293" s="203">
        <v>0</v>
      </c>
      <c r="H1293" s="203">
        <v>0</v>
      </c>
      <c r="I1293" s="263">
        <v>0</v>
      </c>
      <c r="K1293" s="230"/>
      <c r="L1293" s="230"/>
      <c r="M1293" s="230"/>
    </row>
    <row r="1294" spans="1:13" s="231" customFormat="1" x14ac:dyDescent="0.25">
      <c r="A1294" s="1"/>
      <c r="B1294" s="245" t="e">
        <f>IF(AND(F1291&lt;&gt;"", B1289&lt;&gt;""), B1289+1, "")</f>
        <v>#REF!</v>
      </c>
      <c r="C1294" s="409"/>
      <c r="D1294" s="445"/>
      <c r="E1294" s="246" t="s">
        <v>766</v>
      </c>
      <c r="F1294" s="202">
        <v>0</v>
      </c>
      <c r="G1294" s="203">
        <v>0</v>
      </c>
      <c r="H1294" s="203">
        <v>0</v>
      </c>
      <c r="I1294" s="263">
        <v>0</v>
      </c>
      <c r="K1294" s="230"/>
      <c r="L1294" s="230"/>
      <c r="M1294" s="230"/>
    </row>
    <row r="1295" spans="1:13" s="231" customFormat="1" ht="15.75" customHeight="1" thickBot="1" x14ac:dyDescent="0.3">
      <c r="A1295" s="1"/>
      <c r="B1295" s="249" t="e">
        <f>IF(AND(F1291&lt;&gt;"", B1290&lt;&gt;""), B1290+1, "")</f>
        <v>#REF!</v>
      </c>
      <c r="C1295" s="416"/>
      <c r="D1295" s="446"/>
      <c r="E1295" s="250" t="s">
        <v>767</v>
      </c>
      <c r="F1295" s="204">
        <v>0</v>
      </c>
      <c r="G1295" s="205">
        <v>0</v>
      </c>
      <c r="H1295" s="205">
        <v>0</v>
      </c>
      <c r="I1295" s="264">
        <v>0</v>
      </c>
      <c r="K1295" s="230"/>
      <c r="L1295" s="230"/>
      <c r="M1295" s="230"/>
    </row>
    <row r="1296" spans="1:13" s="231" customFormat="1" x14ac:dyDescent="0.25">
      <c r="A1296" s="1"/>
      <c r="B1296" s="241" t="e">
        <f>IF(AND(F1296&lt;&gt;"", B1291&lt;&gt;""), B1291+1, "")</f>
        <v>#REF!</v>
      </c>
      <c r="C1296" s="442">
        <v>46289</v>
      </c>
      <c r="D1296" s="444">
        <f>D1291+1</f>
        <v>46289</v>
      </c>
      <c r="E1296" s="246" t="s">
        <v>394</v>
      </c>
      <c r="F1296" s="202">
        <v>0</v>
      </c>
      <c r="G1296" s="203">
        <v>0</v>
      </c>
      <c r="H1296" s="203">
        <v>0</v>
      </c>
      <c r="I1296" s="263">
        <v>0</v>
      </c>
      <c r="K1296" s="230"/>
      <c r="L1296" s="230"/>
      <c r="M1296" s="230"/>
    </row>
    <row r="1297" spans="1:13" s="231" customFormat="1" x14ac:dyDescent="0.25">
      <c r="A1297" s="1"/>
      <c r="B1297" s="245" t="e">
        <f>IF(AND(F1296&lt;&gt;"", B1292&lt;&gt;""), B1292+1, "")</f>
        <v>#REF!</v>
      </c>
      <c r="C1297" s="409"/>
      <c r="D1297" s="445"/>
      <c r="E1297" s="246" t="s">
        <v>764</v>
      </c>
      <c r="F1297" s="202">
        <v>0</v>
      </c>
      <c r="G1297" s="203">
        <v>0</v>
      </c>
      <c r="H1297" s="203">
        <v>0</v>
      </c>
      <c r="I1297" s="263">
        <v>0</v>
      </c>
      <c r="K1297" s="230"/>
      <c r="L1297" s="230"/>
      <c r="M1297" s="230"/>
    </row>
    <row r="1298" spans="1:13" s="231" customFormat="1" x14ac:dyDescent="0.25">
      <c r="A1298" s="1"/>
      <c r="B1298" s="245" t="e">
        <f>IF(AND(F1296&lt;&gt;"", B1293&lt;&gt;""), B1293+1, "")</f>
        <v>#REF!</v>
      </c>
      <c r="C1298" s="409"/>
      <c r="D1298" s="445"/>
      <c r="E1298" s="246" t="s">
        <v>765</v>
      </c>
      <c r="F1298" s="202">
        <v>0</v>
      </c>
      <c r="G1298" s="203">
        <v>0</v>
      </c>
      <c r="H1298" s="203">
        <v>0</v>
      </c>
      <c r="I1298" s="263">
        <v>0</v>
      </c>
      <c r="K1298" s="230"/>
      <c r="L1298" s="230"/>
      <c r="M1298" s="230"/>
    </row>
    <row r="1299" spans="1:13" s="231" customFormat="1" x14ac:dyDescent="0.25">
      <c r="A1299" s="1"/>
      <c r="B1299" s="245" t="e">
        <f>IF(AND(F1296&lt;&gt;"", B1294&lt;&gt;""), B1294+1, "")</f>
        <v>#REF!</v>
      </c>
      <c r="C1299" s="409"/>
      <c r="D1299" s="445"/>
      <c r="E1299" s="246" t="s">
        <v>766</v>
      </c>
      <c r="F1299" s="202">
        <v>0</v>
      </c>
      <c r="G1299" s="203">
        <v>0</v>
      </c>
      <c r="H1299" s="203">
        <v>0</v>
      </c>
      <c r="I1299" s="263">
        <v>0</v>
      </c>
      <c r="K1299" s="230"/>
      <c r="L1299" s="230"/>
      <c r="M1299" s="230"/>
    </row>
    <row r="1300" spans="1:13" s="231" customFormat="1" ht="15.75" customHeight="1" thickBot="1" x14ac:dyDescent="0.3">
      <c r="A1300" s="1"/>
      <c r="B1300" s="249" t="e">
        <f>IF(AND(F1296&lt;&gt;"", B1295&lt;&gt;""), B1295+1, "")</f>
        <v>#REF!</v>
      </c>
      <c r="C1300" s="416"/>
      <c r="D1300" s="446"/>
      <c r="E1300" s="250" t="s">
        <v>767</v>
      </c>
      <c r="F1300" s="204">
        <v>0</v>
      </c>
      <c r="G1300" s="205">
        <v>0</v>
      </c>
      <c r="H1300" s="205">
        <v>0</v>
      </c>
      <c r="I1300" s="264">
        <v>0</v>
      </c>
      <c r="K1300" s="230"/>
      <c r="L1300" s="230"/>
      <c r="M1300" s="230"/>
    </row>
    <row r="1301" spans="1:13" s="231" customFormat="1" x14ac:dyDescent="0.25">
      <c r="A1301" s="1"/>
      <c r="B1301" s="241" t="e">
        <f>IF(AND(F1301&lt;&gt;"", B1296&lt;&gt;""), B1296+1, "")</f>
        <v>#REF!</v>
      </c>
      <c r="C1301" s="442">
        <v>46290</v>
      </c>
      <c r="D1301" s="444">
        <f>D1296+1</f>
        <v>46290</v>
      </c>
      <c r="E1301" s="246" t="s">
        <v>394</v>
      </c>
      <c r="F1301" s="202">
        <v>0</v>
      </c>
      <c r="G1301" s="203">
        <v>0</v>
      </c>
      <c r="H1301" s="203">
        <v>0</v>
      </c>
      <c r="I1301" s="263">
        <v>0</v>
      </c>
      <c r="K1301" s="230"/>
      <c r="L1301" s="230"/>
      <c r="M1301" s="230"/>
    </row>
    <row r="1302" spans="1:13" s="231" customFormat="1" x14ac:dyDescent="0.25">
      <c r="A1302" s="1"/>
      <c r="B1302" s="245" t="e">
        <f>IF(AND(F1301&lt;&gt;"", B1297&lt;&gt;""), B1297+1, "")</f>
        <v>#REF!</v>
      </c>
      <c r="C1302" s="409"/>
      <c r="D1302" s="445"/>
      <c r="E1302" s="246" t="s">
        <v>764</v>
      </c>
      <c r="F1302" s="202">
        <v>0</v>
      </c>
      <c r="G1302" s="203">
        <v>0</v>
      </c>
      <c r="H1302" s="203">
        <v>0</v>
      </c>
      <c r="I1302" s="263">
        <v>0</v>
      </c>
      <c r="K1302" s="230"/>
      <c r="L1302" s="230"/>
      <c r="M1302" s="230"/>
    </row>
    <row r="1303" spans="1:13" s="231" customFormat="1" x14ac:dyDescent="0.25">
      <c r="A1303" s="1"/>
      <c r="B1303" s="245" t="e">
        <f>IF(AND(F1301&lt;&gt;"", B1298&lt;&gt;""), B1298+1, "")</f>
        <v>#REF!</v>
      </c>
      <c r="C1303" s="409"/>
      <c r="D1303" s="445"/>
      <c r="E1303" s="246" t="s">
        <v>765</v>
      </c>
      <c r="F1303" s="202">
        <v>0</v>
      </c>
      <c r="G1303" s="203">
        <v>0</v>
      </c>
      <c r="H1303" s="203">
        <v>0</v>
      </c>
      <c r="I1303" s="263">
        <v>0</v>
      </c>
      <c r="K1303" s="230"/>
      <c r="L1303" s="230"/>
      <c r="M1303" s="230"/>
    </row>
    <row r="1304" spans="1:13" s="231" customFormat="1" x14ac:dyDescent="0.25">
      <c r="A1304" s="1"/>
      <c r="B1304" s="245" t="e">
        <f>IF(AND(F1301&lt;&gt;"", B1299&lt;&gt;""), B1299+1, "")</f>
        <v>#REF!</v>
      </c>
      <c r="C1304" s="409"/>
      <c r="D1304" s="445"/>
      <c r="E1304" s="246" t="s">
        <v>766</v>
      </c>
      <c r="F1304" s="202">
        <v>0</v>
      </c>
      <c r="G1304" s="203">
        <v>0</v>
      </c>
      <c r="H1304" s="203">
        <v>0</v>
      </c>
      <c r="I1304" s="263">
        <v>0</v>
      </c>
      <c r="K1304" s="230"/>
      <c r="L1304" s="230"/>
      <c r="M1304" s="230"/>
    </row>
    <row r="1305" spans="1:13" s="231" customFormat="1" ht="15.75" customHeight="1" thickBot="1" x14ac:dyDescent="0.3">
      <c r="A1305" s="1"/>
      <c r="B1305" s="249" t="e">
        <f>IF(AND(F1301&lt;&gt;"", B1300&lt;&gt;""), B1300+1, "")</f>
        <v>#REF!</v>
      </c>
      <c r="C1305" s="416"/>
      <c r="D1305" s="446"/>
      <c r="E1305" s="250" t="s">
        <v>767</v>
      </c>
      <c r="F1305" s="204">
        <v>0</v>
      </c>
      <c r="G1305" s="205">
        <v>0</v>
      </c>
      <c r="H1305" s="205">
        <v>0</v>
      </c>
      <c r="I1305" s="264">
        <v>0</v>
      </c>
      <c r="K1305" s="230"/>
      <c r="L1305" s="230"/>
      <c r="M1305" s="230"/>
    </row>
    <row r="1306" spans="1:13" s="231" customFormat="1" x14ac:dyDescent="0.25">
      <c r="A1306" s="1"/>
      <c r="B1306" s="241" t="e">
        <f>IF(AND(F1306&lt;&gt;"", B1301&lt;&gt;""), B1301+1, "")</f>
        <v>#REF!</v>
      </c>
      <c r="C1306" s="442">
        <v>46291</v>
      </c>
      <c r="D1306" s="444">
        <f>D1301+1</f>
        <v>46291</v>
      </c>
      <c r="E1306" s="246" t="s">
        <v>394</v>
      </c>
      <c r="F1306" s="202">
        <v>0</v>
      </c>
      <c r="G1306" s="203">
        <v>0</v>
      </c>
      <c r="H1306" s="203">
        <v>0</v>
      </c>
      <c r="I1306" s="263">
        <v>0</v>
      </c>
      <c r="K1306" s="230"/>
      <c r="L1306" s="230"/>
      <c r="M1306" s="230"/>
    </row>
    <row r="1307" spans="1:13" s="231" customFormat="1" x14ac:dyDescent="0.25">
      <c r="A1307" s="1"/>
      <c r="B1307" s="245" t="e">
        <f>IF(AND(F1306&lt;&gt;"", B1302&lt;&gt;""), B1302+1, "")</f>
        <v>#REF!</v>
      </c>
      <c r="C1307" s="409"/>
      <c r="D1307" s="445"/>
      <c r="E1307" s="246" t="s">
        <v>764</v>
      </c>
      <c r="F1307" s="202">
        <v>0</v>
      </c>
      <c r="G1307" s="203">
        <v>0</v>
      </c>
      <c r="H1307" s="203">
        <v>0</v>
      </c>
      <c r="I1307" s="263">
        <v>0</v>
      </c>
      <c r="K1307" s="230"/>
      <c r="L1307" s="230"/>
      <c r="M1307" s="230"/>
    </row>
    <row r="1308" spans="1:13" s="231" customFormat="1" x14ac:dyDescent="0.25">
      <c r="A1308" s="1"/>
      <c r="B1308" s="245" t="e">
        <f>IF(AND(F1306&lt;&gt;"", B1303&lt;&gt;""), B1303+1, "")</f>
        <v>#REF!</v>
      </c>
      <c r="C1308" s="409"/>
      <c r="D1308" s="445"/>
      <c r="E1308" s="246" t="s">
        <v>765</v>
      </c>
      <c r="F1308" s="202">
        <v>0</v>
      </c>
      <c r="G1308" s="203">
        <v>0</v>
      </c>
      <c r="H1308" s="203">
        <v>0</v>
      </c>
      <c r="I1308" s="263">
        <v>0</v>
      </c>
      <c r="K1308" s="230"/>
      <c r="L1308" s="230"/>
      <c r="M1308" s="230"/>
    </row>
    <row r="1309" spans="1:13" s="231" customFormat="1" x14ac:dyDescent="0.25">
      <c r="A1309" s="1"/>
      <c r="B1309" s="245" t="e">
        <f>IF(AND(F1306&lt;&gt;"", B1304&lt;&gt;""), B1304+1, "")</f>
        <v>#REF!</v>
      </c>
      <c r="C1309" s="409"/>
      <c r="D1309" s="445"/>
      <c r="E1309" s="246" t="s">
        <v>766</v>
      </c>
      <c r="F1309" s="202">
        <v>0</v>
      </c>
      <c r="G1309" s="203">
        <v>0</v>
      </c>
      <c r="H1309" s="203">
        <v>0</v>
      </c>
      <c r="I1309" s="263">
        <v>0</v>
      </c>
      <c r="K1309" s="230"/>
      <c r="L1309" s="230"/>
      <c r="M1309" s="230"/>
    </row>
    <row r="1310" spans="1:13" s="231" customFormat="1" ht="15.75" customHeight="1" thickBot="1" x14ac:dyDescent="0.3">
      <c r="A1310" s="1"/>
      <c r="B1310" s="249" t="e">
        <f>IF(AND(F1306&lt;&gt;"", B1305&lt;&gt;""), B1305+1, "")</f>
        <v>#REF!</v>
      </c>
      <c r="C1310" s="416"/>
      <c r="D1310" s="446"/>
      <c r="E1310" s="250" t="s">
        <v>767</v>
      </c>
      <c r="F1310" s="204">
        <v>0</v>
      </c>
      <c r="G1310" s="205">
        <v>0</v>
      </c>
      <c r="H1310" s="205">
        <v>0</v>
      </c>
      <c r="I1310" s="264">
        <v>0</v>
      </c>
      <c r="K1310" s="230"/>
      <c r="L1310" s="230"/>
      <c r="M1310" s="230"/>
    </row>
    <row r="1311" spans="1:13" s="231" customFormat="1" x14ac:dyDescent="0.25">
      <c r="A1311" s="1"/>
      <c r="B1311" s="241" t="e">
        <f>IF(AND(F1311&lt;&gt;"", B1306&lt;&gt;""), B1306+1, "")</f>
        <v>#REF!</v>
      </c>
      <c r="C1311" s="442">
        <v>46292</v>
      </c>
      <c r="D1311" s="444">
        <f>D1306+1</f>
        <v>46292</v>
      </c>
      <c r="E1311" s="246" t="s">
        <v>394</v>
      </c>
      <c r="F1311" s="202">
        <v>0</v>
      </c>
      <c r="G1311" s="203">
        <v>0</v>
      </c>
      <c r="H1311" s="203">
        <v>0</v>
      </c>
      <c r="I1311" s="263">
        <v>0</v>
      </c>
      <c r="K1311" s="230"/>
      <c r="L1311" s="230"/>
      <c r="M1311" s="230"/>
    </row>
    <row r="1312" spans="1:13" s="231" customFormat="1" x14ac:dyDescent="0.25">
      <c r="A1312" s="1"/>
      <c r="B1312" s="245" t="e">
        <f>IF(AND(F1311&lt;&gt;"", B1307&lt;&gt;""), B1307+1, "")</f>
        <v>#REF!</v>
      </c>
      <c r="C1312" s="409"/>
      <c r="D1312" s="445"/>
      <c r="E1312" s="246" t="s">
        <v>764</v>
      </c>
      <c r="F1312" s="202">
        <v>0</v>
      </c>
      <c r="G1312" s="203">
        <v>0</v>
      </c>
      <c r="H1312" s="203">
        <v>0</v>
      </c>
      <c r="I1312" s="263">
        <v>0</v>
      </c>
      <c r="K1312" s="230"/>
      <c r="L1312" s="230"/>
      <c r="M1312" s="230"/>
    </row>
    <row r="1313" spans="1:13" s="231" customFormat="1" x14ac:dyDescent="0.25">
      <c r="A1313" s="1"/>
      <c r="B1313" s="245" t="e">
        <f>IF(AND(F1311&lt;&gt;"", B1308&lt;&gt;""), B1308+1, "")</f>
        <v>#REF!</v>
      </c>
      <c r="C1313" s="409"/>
      <c r="D1313" s="445"/>
      <c r="E1313" s="246" t="s">
        <v>765</v>
      </c>
      <c r="F1313" s="202">
        <v>0</v>
      </c>
      <c r="G1313" s="203">
        <v>0</v>
      </c>
      <c r="H1313" s="203">
        <v>0</v>
      </c>
      <c r="I1313" s="263">
        <v>0</v>
      </c>
      <c r="K1313" s="230"/>
      <c r="L1313" s="230"/>
      <c r="M1313" s="230"/>
    </row>
    <row r="1314" spans="1:13" s="231" customFormat="1" x14ac:dyDescent="0.25">
      <c r="A1314" s="1"/>
      <c r="B1314" s="245" t="e">
        <f>IF(AND(F1311&lt;&gt;"", B1309&lt;&gt;""), B1309+1, "")</f>
        <v>#REF!</v>
      </c>
      <c r="C1314" s="409"/>
      <c r="D1314" s="445"/>
      <c r="E1314" s="246" t="s">
        <v>766</v>
      </c>
      <c r="F1314" s="202">
        <v>0</v>
      </c>
      <c r="G1314" s="203">
        <v>0</v>
      </c>
      <c r="H1314" s="203">
        <v>0</v>
      </c>
      <c r="I1314" s="263">
        <v>0</v>
      </c>
      <c r="K1314" s="230"/>
      <c r="L1314" s="230"/>
      <c r="M1314" s="230"/>
    </row>
    <row r="1315" spans="1:13" s="231" customFormat="1" ht="15.75" customHeight="1" thickBot="1" x14ac:dyDescent="0.3">
      <c r="A1315" s="1"/>
      <c r="B1315" s="249" t="e">
        <f>IF(AND(F1311&lt;&gt;"", B1310&lt;&gt;""), B1310+1, "")</f>
        <v>#REF!</v>
      </c>
      <c r="C1315" s="416"/>
      <c r="D1315" s="446"/>
      <c r="E1315" s="250" t="s">
        <v>767</v>
      </c>
      <c r="F1315" s="204">
        <v>0</v>
      </c>
      <c r="G1315" s="205">
        <v>0</v>
      </c>
      <c r="H1315" s="205">
        <v>0</v>
      </c>
      <c r="I1315" s="264">
        <v>0</v>
      </c>
      <c r="K1315" s="230"/>
      <c r="L1315" s="230"/>
      <c r="M1315" s="230"/>
    </row>
    <row r="1316" spans="1:13" s="231" customFormat="1" x14ac:dyDescent="0.25">
      <c r="A1316" s="1"/>
      <c r="B1316" s="241" t="e">
        <f>IF(AND(F1316&lt;&gt;"", B1311&lt;&gt;""), B1311+1, "")</f>
        <v>#REF!</v>
      </c>
      <c r="C1316" s="442">
        <v>46293</v>
      </c>
      <c r="D1316" s="444">
        <f>D1311+1</f>
        <v>46293</v>
      </c>
      <c r="E1316" s="246" t="s">
        <v>394</v>
      </c>
      <c r="F1316" s="202">
        <v>0</v>
      </c>
      <c r="G1316" s="203">
        <v>0</v>
      </c>
      <c r="H1316" s="203">
        <v>0</v>
      </c>
      <c r="I1316" s="263">
        <v>0</v>
      </c>
      <c r="K1316" s="230"/>
      <c r="L1316" s="230"/>
      <c r="M1316" s="230"/>
    </row>
    <row r="1317" spans="1:13" s="231" customFormat="1" x14ac:dyDescent="0.25">
      <c r="A1317" s="1"/>
      <c r="B1317" s="245" t="e">
        <f>IF(AND(F1316&lt;&gt;"", B1312&lt;&gt;""), B1312+1, "")</f>
        <v>#REF!</v>
      </c>
      <c r="C1317" s="409"/>
      <c r="D1317" s="445"/>
      <c r="E1317" s="246" t="s">
        <v>764</v>
      </c>
      <c r="F1317" s="202">
        <v>0</v>
      </c>
      <c r="G1317" s="203">
        <v>0</v>
      </c>
      <c r="H1317" s="203">
        <v>0</v>
      </c>
      <c r="I1317" s="263">
        <v>0</v>
      </c>
      <c r="K1317" s="230"/>
      <c r="L1317" s="230"/>
      <c r="M1317" s="230"/>
    </row>
    <row r="1318" spans="1:13" s="231" customFormat="1" x14ac:dyDescent="0.25">
      <c r="A1318" s="1"/>
      <c r="B1318" s="245" t="e">
        <f>IF(AND(F1316&lt;&gt;"", B1313&lt;&gt;""), B1313+1, "")</f>
        <v>#REF!</v>
      </c>
      <c r="C1318" s="409"/>
      <c r="D1318" s="445"/>
      <c r="E1318" s="246" t="s">
        <v>765</v>
      </c>
      <c r="F1318" s="202">
        <v>0</v>
      </c>
      <c r="G1318" s="203">
        <v>0</v>
      </c>
      <c r="H1318" s="203">
        <v>0</v>
      </c>
      <c r="I1318" s="263">
        <v>0</v>
      </c>
      <c r="K1318" s="230"/>
      <c r="L1318" s="230"/>
      <c r="M1318" s="230"/>
    </row>
    <row r="1319" spans="1:13" s="231" customFormat="1" x14ac:dyDescent="0.25">
      <c r="A1319" s="1"/>
      <c r="B1319" s="245" t="e">
        <f>IF(AND(F1316&lt;&gt;"", B1314&lt;&gt;""), B1314+1, "")</f>
        <v>#REF!</v>
      </c>
      <c r="C1319" s="409"/>
      <c r="D1319" s="445"/>
      <c r="E1319" s="246" t="s">
        <v>766</v>
      </c>
      <c r="F1319" s="202">
        <v>0</v>
      </c>
      <c r="G1319" s="203">
        <v>0</v>
      </c>
      <c r="H1319" s="203">
        <v>0</v>
      </c>
      <c r="I1319" s="263">
        <v>0</v>
      </c>
      <c r="K1319" s="230"/>
      <c r="L1319" s="230"/>
      <c r="M1319" s="230"/>
    </row>
    <row r="1320" spans="1:13" s="231" customFormat="1" ht="15.75" customHeight="1" thickBot="1" x14ac:dyDescent="0.3">
      <c r="A1320" s="1"/>
      <c r="B1320" s="249" t="e">
        <f>IF(AND(F1316&lt;&gt;"", B1315&lt;&gt;""), B1315+1, "")</f>
        <v>#REF!</v>
      </c>
      <c r="C1320" s="416"/>
      <c r="D1320" s="446"/>
      <c r="E1320" s="250" t="s">
        <v>767</v>
      </c>
      <c r="F1320" s="204">
        <v>0</v>
      </c>
      <c r="G1320" s="205">
        <v>0</v>
      </c>
      <c r="H1320" s="205">
        <v>0</v>
      </c>
      <c r="I1320" s="264">
        <v>0</v>
      </c>
      <c r="K1320" s="230"/>
      <c r="L1320" s="230"/>
      <c r="M1320" s="230"/>
    </row>
    <row r="1321" spans="1:13" s="231" customFormat="1" x14ac:dyDescent="0.25">
      <c r="A1321" s="1"/>
      <c r="B1321" s="241" t="e">
        <f>IF(AND(F1321&lt;&gt;"", B1316&lt;&gt;""), B1316+1, "")</f>
        <v>#REF!</v>
      </c>
      <c r="C1321" s="442">
        <v>46294</v>
      </c>
      <c r="D1321" s="444">
        <f>D1316+1</f>
        <v>46294</v>
      </c>
      <c r="E1321" s="246" t="s">
        <v>394</v>
      </c>
      <c r="F1321" s="202">
        <v>0</v>
      </c>
      <c r="G1321" s="203">
        <v>0</v>
      </c>
      <c r="H1321" s="203">
        <v>0</v>
      </c>
      <c r="I1321" s="263">
        <v>0</v>
      </c>
      <c r="K1321" s="230"/>
      <c r="L1321" s="230"/>
      <c r="M1321" s="230"/>
    </row>
    <row r="1322" spans="1:13" s="231" customFormat="1" x14ac:dyDescent="0.25">
      <c r="A1322" s="1"/>
      <c r="B1322" s="245" t="e">
        <f>IF(AND(F1321&lt;&gt;"", B1317&lt;&gt;""), B1317+1, "")</f>
        <v>#REF!</v>
      </c>
      <c r="C1322" s="409"/>
      <c r="D1322" s="445"/>
      <c r="E1322" s="246" t="s">
        <v>764</v>
      </c>
      <c r="F1322" s="202">
        <v>0</v>
      </c>
      <c r="G1322" s="203">
        <v>0</v>
      </c>
      <c r="H1322" s="203">
        <v>0</v>
      </c>
      <c r="I1322" s="263">
        <v>0</v>
      </c>
      <c r="K1322" s="230"/>
      <c r="L1322" s="230"/>
      <c r="M1322" s="230"/>
    </row>
    <row r="1323" spans="1:13" s="231" customFormat="1" x14ac:dyDescent="0.25">
      <c r="A1323" s="1"/>
      <c r="B1323" s="245" t="e">
        <f>IF(AND(F1321&lt;&gt;"", B1318&lt;&gt;""), B1318+1, "")</f>
        <v>#REF!</v>
      </c>
      <c r="C1323" s="409"/>
      <c r="D1323" s="445"/>
      <c r="E1323" s="246" t="s">
        <v>765</v>
      </c>
      <c r="F1323" s="202">
        <v>0</v>
      </c>
      <c r="G1323" s="203">
        <v>0</v>
      </c>
      <c r="H1323" s="203">
        <v>0</v>
      </c>
      <c r="I1323" s="263">
        <v>0</v>
      </c>
      <c r="K1323" s="230"/>
      <c r="L1323" s="230"/>
      <c r="M1323" s="230"/>
    </row>
    <row r="1324" spans="1:13" s="231" customFormat="1" x14ac:dyDescent="0.25">
      <c r="A1324" s="1"/>
      <c r="B1324" s="245" t="e">
        <f>IF(AND(F1321&lt;&gt;"", B1319&lt;&gt;""), B1319+1, "")</f>
        <v>#REF!</v>
      </c>
      <c r="C1324" s="409"/>
      <c r="D1324" s="445"/>
      <c r="E1324" s="246" t="s">
        <v>766</v>
      </c>
      <c r="F1324" s="202">
        <v>0</v>
      </c>
      <c r="G1324" s="203">
        <v>0</v>
      </c>
      <c r="H1324" s="203">
        <v>0</v>
      </c>
      <c r="I1324" s="263">
        <v>0</v>
      </c>
      <c r="K1324" s="230"/>
      <c r="L1324" s="230"/>
      <c r="M1324" s="230"/>
    </row>
    <row r="1325" spans="1:13" s="231" customFormat="1" ht="15.75" customHeight="1" thickBot="1" x14ac:dyDescent="0.3">
      <c r="A1325" s="1"/>
      <c r="B1325" s="249" t="e">
        <f>IF(AND(F1321&lt;&gt;"", B1320&lt;&gt;""), B1320+1, "")</f>
        <v>#REF!</v>
      </c>
      <c r="C1325" s="416"/>
      <c r="D1325" s="446"/>
      <c r="E1325" s="250" t="s">
        <v>767</v>
      </c>
      <c r="F1325" s="204">
        <v>0</v>
      </c>
      <c r="G1325" s="205">
        <v>0</v>
      </c>
      <c r="H1325" s="205">
        <v>0</v>
      </c>
      <c r="I1325" s="264">
        <v>0</v>
      </c>
      <c r="K1325" s="230"/>
      <c r="L1325" s="230"/>
      <c r="M1325" s="230"/>
    </row>
    <row r="1326" spans="1:13" s="231" customFormat="1" x14ac:dyDescent="0.25">
      <c r="A1326" s="1"/>
      <c r="B1326" s="241" t="e">
        <f>IF(AND(F1326&lt;&gt;"", B1321&lt;&gt;""), B1321+1, "")</f>
        <v>#REF!</v>
      </c>
      <c r="C1326" s="442">
        <v>46295</v>
      </c>
      <c r="D1326" s="444">
        <f>D1321+1</f>
        <v>46295</v>
      </c>
      <c r="E1326" s="246" t="s">
        <v>394</v>
      </c>
      <c r="F1326" s="202">
        <v>0</v>
      </c>
      <c r="G1326" s="203">
        <v>0</v>
      </c>
      <c r="H1326" s="203">
        <v>0</v>
      </c>
      <c r="I1326" s="263">
        <v>0</v>
      </c>
      <c r="K1326" s="230"/>
      <c r="L1326" s="230"/>
      <c r="M1326" s="230"/>
    </row>
    <row r="1327" spans="1:13" s="231" customFormat="1" x14ac:dyDescent="0.25">
      <c r="A1327" s="1"/>
      <c r="B1327" s="245" t="e">
        <f>IF(AND(F1326&lt;&gt;"", B1322&lt;&gt;""), B1322+1, "")</f>
        <v>#REF!</v>
      </c>
      <c r="C1327" s="409"/>
      <c r="D1327" s="445"/>
      <c r="E1327" s="246" t="s">
        <v>764</v>
      </c>
      <c r="F1327" s="202">
        <v>0</v>
      </c>
      <c r="G1327" s="203">
        <v>0</v>
      </c>
      <c r="H1327" s="203">
        <v>0</v>
      </c>
      <c r="I1327" s="263">
        <v>0</v>
      </c>
      <c r="K1327" s="230"/>
      <c r="L1327" s="230"/>
      <c r="M1327" s="230"/>
    </row>
    <row r="1328" spans="1:13" s="231" customFormat="1" x14ac:dyDescent="0.25">
      <c r="A1328" s="1"/>
      <c r="B1328" s="245" t="e">
        <f>IF(AND(F1326&lt;&gt;"", B1323&lt;&gt;""), B1323+1, "")</f>
        <v>#REF!</v>
      </c>
      <c r="C1328" s="409"/>
      <c r="D1328" s="445"/>
      <c r="E1328" s="246" t="s">
        <v>765</v>
      </c>
      <c r="F1328" s="202">
        <v>0</v>
      </c>
      <c r="G1328" s="203">
        <v>0</v>
      </c>
      <c r="H1328" s="203">
        <v>0</v>
      </c>
      <c r="I1328" s="263">
        <v>0</v>
      </c>
      <c r="K1328" s="230"/>
      <c r="L1328" s="230"/>
      <c r="M1328" s="230"/>
    </row>
    <row r="1329" spans="1:13" s="231" customFormat="1" x14ac:dyDescent="0.25">
      <c r="A1329" s="1"/>
      <c r="B1329" s="245" t="e">
        <f>IF(AND(F1326&lt;&gt;"", B1324&lt;&gt;""), B1324+1, "")</f>
        <v>#REF!</v>
      </c>
      <c r="C1329" s="409"/>
      <c r="D1329" s="445"/>
      <c r="E1329" s="246" t="s">
        <v>766</v>
      </c>
      <c r="F1329" s="202">
        <v>0</v>
      </c>
      <c r="G1329" s="203">
        <v>0</v>
      </c>
      <c r="H1329" s="203">
        <v>0</v>
      </c>
      <c r="I1329" s="263">
        <v>0</v>
      </c>
      <c r="K1329" s="230"/>
      <c r="L1329" s="230"/>
      <c r="M1329" s="230"/>
    </row>
    <row r="1330" spans="1:13" s="231" customFormat="1" ht="15.75" customHeight="1" thickBot="1" x14ac:dyDescent="0.3">
      <c r="A1330" s="1"/>
      <c r="B1330" s="249" t="e">
        <f>IF(AND(F1326&lt;&gt;"", B1325&lt;&gt;""), B1325+1, "")</f>
        <v>#REF!</v>
      </c>
      <c r="C1330" s="416"/>
      <c r="D1330" s="446"/>
      <c r="E1330" s="250" t="s">
        <v>767</v>
      </c>
      <c r="F1330" s="204">
        <v>0</v>
      </c>
      <c r="G1330" s="205">
        <v>0</v>
      </c>
      <c r="H1330" s="205">
        <v>0</v>
      </c>
      <c r="I1330" s="264">
        <v>0</v>
      </c>
      <c r="K1330" s="230"/>
      <c r="L1330" s="230"/>
      <c r="M1330" s="230"/>
    </row>
    <row r="1331" spans="1:13" s="231" customFormat="1" x14ac:dyDescent="0.25">
      <c r="A1331" s="1"/>
      <c r="B1331" s="241" t="e">
        <f>IF(AND(F1331&lt;&gt;"", B1326&lt;&gt;""), B1326+1, "")</f>
        <v>#REF!</v>
      </c>
      <c r="C1331" s="442">
        <v>46296</v>
      </c>
      <c r="D1331" s="444">
        <f>D1326+1</f>
        <v>46296</v>
      </c>
      <c r="E1331" s="246" t="s">
        <v>394</v>
      </c>
      <c r="F1331" s="202">
        <v>0</v>
      </c>
      <c r="G1331" s="203">
        <v>0</v>
      </c>
      <c r="H1331" s="203">
        <v>0</v>
      </c>
      <c r="I1331" s="263">
        <v>0</v>
      </c>
      <c r="K1331" s="230"/>
      <c r="L1331" s="230"/>
      <c r="M1331" s="230"/>
    </row>
    <row r="1332" spans="1:13" s="231" customFormat="1" x14ac:dyDescent="0.25">
      <c r="A1332" s="1"/>
      <c r="B1332" s="245" t="e">
        <f>IF(AND(F1331&lt;&gt;"", B1327&lt;&gt;""), B1327+1, "")</f>
        <v>#REF!</v>
      </c>
      <c r="C1332" s="409"/>
      <c r="D1332" s="445"/>
      <c r="E1332" s="246" t="s">
        <v>764</v>
      </c>
      <c r="F1332" s="202">
        <v>0</v>
      </c>
      <c r="G1332" s="203">
        <v>0</v>
      </c>
      <c r="H1332" s="203">
        <v>0</v>
      </c>
      <c r="I1332" s="263">
        <v>0</v>
      </c>
      <c r="K1332" s="230"/>
      <c r="L1332" s="230"/>
      <c r="M1332" s="230"/>
    </row>
    <row r="1333" spans="1:13" s="231" customFormat="1" x14ac:dyDescent="0.25">
      <c r="A1333" s="1"/>
      <c r="B1333" s="245" t="e">
        <f>IF(AND(F1331&lt;&gt;"", B1328&lt;&gt;""), B1328+1, "")</f>
        <v>#REF!</v>
      </c>
      <c r="C1333" s="409"/>
      <c r="D1333" s="445"/>
      <c r="E1333" s="246" t="s">
        <v>765</v>
      </c>
      <c r="F1333" s="202">
        <v>0</v>
      </c>
      <c r="G1333" s="203">
        <v>0</v>
      </c>
      <c r="H1333" s="203">
        <v>0</v>
      </c>
      <c r="I1333" s="263">
        <v>0</v>
      </c>
      <c r="K1333" s="230"/>
      <c r="L1333" s="230"/>
      <c r="M1333" s="230"/>
    </row>
    <row r="1334" spans="1:13" s="231" customFormat="1" x14ac:dyDescent="0.25">
      <c r="A1334" s="1"/>
      <c r="B1334" s="245" t="e">
        <f>IF(AND(F1331&lt;&gt;"", B1329&lt;&gt;""), B1329+1, "")</f>
        <v>#REF!</v>
      </c>
      <c r="C1334" s="409"/>
      <c r="D1334" s="445"/>
      <c r="E1334" s="246" t="s">
        <v>766</v>
      </c>
      <c r="F1334" s="202">
        <v>0</v>
      </c>
      <c r="G1334" s="203">
        <v>0</v>
      </c>
      <c r="H1334" s="203">
        <v>0</v>
      </c>
      <c r="I1334" s="263">
        <v>0</v>
      </c>
      <c r="K1334" s="230"/>
      <c r="L1334" s="230"/>
      <c r="M1334" s="230"/>
    </row>
    <row r="1335" spans="1:13" s="231" customFormat="1" ht="15.75" customHeight="1" thickBot="1" x14ac:dyDescent="0.3">
      <c r="A1335" s="1"/>
      <c r="B1335" s="249" t="e">
        <f>IF(AND(F1331&lt;&gt;"", B1330&lt;&gt;""), B1330+1, "")</f>
        <v>#REF!</v>
      </c>
      <c r="C1335" s="416"/>
      <c r="D1335" s="446"/>
      <c r="E1335" s="250" t="s">
        <v>767</v>
      </c>
      <c r="F1335" s="204">
        <v>0</v>
      </c>
      <c r="G1335" s="205">
        <v>0</v>
      </c>
      <c r="H1335" s="205">
        <v>0</v>
      </c>
      <c r="I1335" s="264">
        <v>0</v>
      </c>
      <c r="K1335" s="230"/>
      <c r="L1335" s="230"/>
      <c r="M1335" s="230"/>
    </row>
    <row r="1336" spans="1:13" s="231" customFormat="1" x14ac:dyDescent="0.25">
      <c r="A1336" s="1"/>
      <c r="B1336" s="241" t="e">
        <f>IF(AND(F1336&lt;&gt;"", B1331&lt;&gt;""), B1331+1, "")</f>
        <v>#REF!</v>
      </c>
      <c r="C1336" s="442">
        <v>46297</v>
      </c>
      <c r="D1336" s="444">
        <f>D1331+1</f>
        <v>46297</v>
      </c>
      <c r="E1336" s="246" t="s">
        <v>394</v>
      </c>
      <c r="F1336" s="202">
        <v>0</v>
      </c>
      <c r="G1336" s="203">
        <v>0</v>
      </c>
      <c r="H1336" s="203">
        <v>0</v>
      </c>
      <c r="I1336" s="263">
        <v>0</v>
      </c>
      <c r="K1336" s="230"/>
      <c r="L1336" s="230"/>
      <c r="M1336" s="230"/>
    </row>
    <row r="1337" spans="1:13" s="231" customFormat="1" x14ac:dyDescent="0.25">
      <c r="A1337" s="1"/>
      <c r="B1337" s="245" t="e">
        <f>IF(AND(F1336&lt;&gt;"", B1332&lt;&gt;""), B1332+1, "")</f>
        <v>#REF!</v>
      </c>
      <c r="C1337" s="409"/>
      <c r="D1337" s="445"/>
      <c r="E1337" s="246" t="s">
        <v>764</v>
      </c>
      <c r="F1337" s="202">
        <v>0</v>
      </c>
      <c r="G1337" s="203">
        <v>0</v>
      </c>
      <c r="H1337" s="203">
        <v>0</v>
      </c>
      <c r="I1337" s="263">
        <v>0</v>
      </c>
      <c r="K1337" s="230"/>
      <c r="L1337" s="230"/>
      <c r="M1337" s="230"/>
    </row>
    <row r="1338" spans="1:13" s="231" customFormat="1" x14ac:dyDescent="0.25">
      <c r="A1338" s="1"/>
      <c r="B1338" s="245" t="e">
        <f>IF(AND(F1336&lt;&gt;"", B1333&lt;&gt;""), B1333+1, "")</f>
        <v>#REF!</v>
      </c>
      <c r="C1338" s="409"/>
      <c r="D1338" s="445"/>
      <c r="E1338" s="246" t="s">
        <v>765</v>
      </c>
      <c r="F1338" s="202">
        <v>0</v>
      </c>
      <c r="G1338" s="203">
        <v>0</v>
      </c>
      <c r="H1338" s="203">
        <v>0</v>
      </c>
      <c r="I1338" s="263">
        <v>0</v>
      </c>
      <c r="K1338" s="230"/>
      <c r="L1338" s="230"/>
      <c r="M1338" s="230"/>
    </row>
    <row r="1339" spans="1:13" s="231" customFormat="1" x14ac:dyDescent="0.25">
      <c r="A1339" s="1"/>
      <c r="B1339" s="245" t="e">
        <f>IF(AND(F1336&lt;&gt;"", B1334&lt;&gt;""), B1334+1, "")</f>
        <v>#REF!</v>
      </c>
      <c r="C1339" s="409"/>
      <c r="D1339" s="445"/>
      <c r="E1339" s="246" t="s">
        <v>766</v>
      </c>
      <c r="F1339" s="202">
        <v>0</v>
      </c>
      <c r="G1339" s="203">
        <v>0</v>
      </c>
      <c r="H1339" s="203">
        <v>0</v>
      </c>
      <c r="I1339" s="263">
        <v>0</v>
      </c>
      <c r="K1339" s="230"/>
      <c r="L1339" s="230"/>
      <c r="M1339" s="230"/>
    </row>
    <row r="1340" spans="1:13" s="231" customFormat="1" ht="15.75" customHeight="1" thickBot="1" x14ac:dyDescent="0.3">
      <c r="A1340" s="1"/>
      <c r="B1340" s="249" t="e">
        <f>IF(AND(F1336&lt;&gt;"", B1335&lt;&gt;""), B1335+1, "")</f>
        <v>#REF!</v>
      </c>
      <c r="C1340" s="416"/>
      <c r="D1340" s="446"/>
      <c r="E1340" s="250" t="s">
        <v>767</v>
      </c>
      <c r="F1340" s="204">
        <v>0</v>
      </c>
      <c r="G1340" s="205">
        <v>0</v>
      </c>
      <c r="H1340" s="205">
        <v>0</v>
      </c>
      <c r="I1340" s="264">
        <v>0</v>
      </c>
      <c r="K1340" s="230"/>
      <c r="L1340" s="230"/>
      <c r="M1340" s="230"/>
    </row>
    <row r="1341" spans="1:13" s="231" customFormat="1" x14ac:dyDescent="0.25">
      <c r="A1341" s="1"/>
      <c r="B1341" s="241" t="e">
        <f>IF(AND(F1341&lt;&gt;"", B1336&lt;&gt;""), B1336+1, "")</f>
        <v>#REF!</v>
      </c>
      <c r="C1341" s="442">
        <v>46298</v>
      </c>
      <c r="D1341" s="444">
        <f>D1336+1</f>
        <v>46298</v>
      </c>
      <c r="E1341" s="246" t="s">
        <v>394</v>
      </c>
      <c r="F1341" s="202">
        <v>0</v>
      </c>
      <c r="G1341" s="203">
        <v>0</v>
      </c>
      <c r="H1341" s="203">
        <v>0</v>
      </c>
      <c r="I1341" s="263">
        <v>0</v>
      </c>
      <c r="K1341" s="230"/>
      <c r="L1341" s="230"/>
      <c r="M1341" s="230"/>
    </row>
    <row r="1342" spans="1:13" s="231" customFormat="1" x14ac:dyDescent="0.25">
      <c r="A1342" s="1"/>
      <c r="B1342" s="245" t="e">
        <f>IF(AND(F1341&lt;&gt;"", B1337&lt;&gt;""), B1337+1, "")</f>
        <v>#REF!</v>
      </c>
      <c r="C1342" s="409"/>
      <c r="D1342" s="445"/>
      <c r="E1342" s="246" t="s">
        <v>764</v>
      </c>
      <c r="F1342" s="202">
        <v>0</v>
      </c>
      <c r="G1342" s="203">
        <v>0</v>
      </c>
      <c r="H1342" s="203">
        <v>0</v>
      </c>
      <c r="I1342" s="263">
        <v>0</v>
      </c>
      <c r="K1342" s="230"/>
      <c r="L1342" s="230"/>
      <c r="M1342" s="230"/>
    </row>
    <row r="1343" spans="1:13" s="231" customFormat="1" x14ac:dyDescent="0.25">
      <c r="A1343" s="1"/>
      <c r="B1343" s="245" t="e">
        <f>IF(AND(F1341&lt;&gt;"", B1338&lt;&gt;""), B1338+1, "")</f>
        <v>#REF!</v>
      </c>
      <c r="C1343" s="409"/>
      <c r="D1343" s="445"/>
      <c r="E1343" s="246" t="s">
        <v>765</v>
      </c>
      <c r="F1343" s="202">
        <v>0</v>
      </c>
      <c r="G1343" s="203">
        <v>0</v>
      </c>
      <c r="H1343" s="203">
        <v>0</v>
      </c>
      <c r="I1343" s="263">
        <v>0</v>
      </c>
      <c r="K1343" s="230"/>
      <c r="L1343" s="230"/>
      <c r="M1343" s="230"/>
    </row>
    <row r="1344" spans="1:13" s="231" customFormat="1" x14ac:dyDescent="0.25">
      <c r="A1344" s="1"/>
      <c r="B1344" s="245" t="e">
        <f>IF(AND(F1341&lt;&gt;"", B1339&lt;&gt;""), B1339+1, "")</f>
        <v>#REF!</v>
      </c>
      <c r="C1344" s="409"/>
      <c r="D1344" s="445"/>
      <c r="E1344" s="246" t="s">
        <v>766</v>
      </c>
      <c r="F1344" s="202">
        <v>0</v>
      </c>
      <c r="G1344" s="203">
        <v>0</v>
      </c>
      <c r="H1344" s="203">
        <v>0</v>
      </c>
      <c r="I1344" s="263">
        <v>0</v>
      </c>
      <c r="K1344" s="230"/>
      <c r="L1344" s="230"/>
      <c r="M1344" s="230"/>
    </row>
    <row r="1345" spans="1:13" s="231" customFormat="1" ht="15.75" customHeight="1" thickBot="1" x14ac:dyDescent="0.3">
      <c r="A1345" s="1"/>
      <c r="B1345" s="249" t="e">
        <f>IF(AND(F1341&lt;&gt;"", B1340&lt;&gt;""), B1340+1, "")</f>
        <v>#REF!</v>
      </c>
      <c r="C1345" s="416"/>
      <c r="D1345" s="446"/>
      <c r="E1345" s="250" t="s">
        <v>767</v>
      </c>
      <c r="F1345" s="204">
        <v>0</v>
      </c>
      <c r="G1345" s="205">
        <v>0</v>
      </c>
      <c r="H1345" s="205">
        <v>0</v>
      </c>
      <c r="I1345" s="264">
        <v>0</v>
      </c>
      <c r="K1345" s="230"/>
      <c r="L1345" s="230"/>
      <c r="M1345" s="230"/>
    </row>
    <row r="1346" spans="1:13" s="231" customFormat="1" x14ac:dyDescent="0.25">
      <c r="A1346" s="1"/>
      <c r="B1346" s="241" t="e">
        <f>IF(AND(F1346&lt;&gt;"", B1341&lt;&gt;""), B1341+1, "")</f>
        <v>#REF!</v>
      </c>
      <c r="C1346" s="442">
        <v>46299</v>
      </c>
      <c r="D1346" s="444">
        <f>D1341+1</f>
        <v>46299</v>
      </c>
      <c r="E1346" s="246" t="s">
        <v>394</v>
      </c>
      <c r="F1346" s="202">
        <v>0</v>
      </c>
      <c r="G1346" s="203">
        <v>0</v>
      </c>
      <c r="H1346" s="203">
        <v>0</v>
      </c>
      <c r="I1346" s="263">
        <v>0</v>
      </c>
      <c r="K1346" s="230"/>
      <c r="L1346" s="230"/>
      <c r="M1346" s="230"/>
    </row>
    <row r="1347" spans="1:13" s="231" customFormat="1" x14ac:dyDescent="0.25">
      <c r="A1347" s="1"/>
      <c r="B1347" s="245" t="e">
        <f>IF(AND(F1346&lt;&gt;"", B1342&lt;&gt;""), B1342+1, "")</f>
        <v>#REF!</v>
      </c>
      <c r="C1347" s="409"/>
      <c r="D1347" s="445"/>
      <c r="E1347" s="246" t="s">
        <v>764</v>
      </c>
      <c r="F1347" s="202">
        <v>0</v>
      </c>
      <c r="G1347" s="203">
        <v>0</v>
      </c>
      <c r="H1347" s="203">
        <v>0</v>
      </c>
      <c r="I1347" s="263">
        <v>0</v>
      </c>
      <c r="K1347" s="230"/>
      <c r="L1347" s="230"/>
      <c r="M1347" s="230"/>
    </row>
    <row r="1348" spans="1:13" s="231" customFormat="1" x14ac:dyDescent="0.25">
      <c r="A1348" s="1"/>
      <c r="B1348" s="245" t="e">
        <f>IF(AND(F1346&lt;&gt;"", B1343&lt;&gt;""), B1343+1, "")</f>
        <v>#REF!</v>
      </c>
      <c r="C1348" s="409"/>
      <c r="D1348" s="445"/>
      <c r="E1348" s="246" t="s">
        <v>765</v>
      </c>
      <c r="F1348" s="202">
        <v>0</v>
      </c>
      <c r="G1348" s="203">
        <v>0</v>
      </c>
      <c r="H1348" s="203">
        <v>0</v>
      </c>
      <c r="I1348" s="263">
        <v>0</v>
      </c>
      <c r="K1348" s="230"/>
      <c r="L1348" s="230"/>
      <c r="M1348" s="230"/>
    </row>
    <row r="1349" spans="1:13" s="231" customFormat="1" x14ac:dyDescent="0.25">
      <c r="A1349" s="1"/>
      <c r="B1349" s="245" t="e">
        <f>IF(AND(F1346&lt;&gt;"", B1344&lt;&gt;""), B1344+1, "")</f>
        <v>#REF!</v>
      </c>
      <c r="C1349" s="409"/>
      <c r="D1349" s="445"/>
      <c r="E1349" s="246" t="s">
        <v>766</v>
      </c>
      <c r="F1349" s="202">
        <v>0</v>
      </c>
      <c r="G1349" s="203">
        <v>0</v>
      </c>
      <c r="H1349" s="203">
        <v>0</v>
      </c>
      <c r="I1349" s="263">
        <v>0</v>
      </c>
      <c r="K1349" s="230"/>
      <c r="L1349" s="230"/>
      <c r="M1349" s="230"/>
    </row>
    <row r="1350" spans="1:13" s="231" customFormat="1" ht="15.75" customHeight="1" thickBot="1" x14ac:dyDescent="0.3">
      <c r="A1350" s="1"/>
      <c r="B1350" s="249" t="e">
        <f>IF(AND(F1346&lt;&gt;"", B1345&lt;&gt;""), B1345+1, "")</f>
        <v>#REF!</v>
      </c>
      <c r="C1350" s="416"/>
      <c r="D1350" s="446"/>
      <c r="E1350" s="250" t="s">
        <v>767</v>
      </c>
      <c r="F1350" s="204">
        <v>0</v>
      </c>
      <c r="G1350" s="205">
        <v>0</v>
      </c>
      <c r="H1350" s="205">
        <v>0</v>
      </c>
      <c r="I1350" s="264">
        <v>0</v>
      </c>
      <c r="K1350" s="230"/>
      <c r="L1350" s="230"/>
      <c r="M1350" s="230"/>
    </row>
    <row r="1351" spans="1:13" s="231" customFormat="1" x14ac:dyDescent="0.25">
      <c r="A1351" s="1"/>
      <c r="B1351" s="241" t="e">
        <f>IF(AND(F1351&lt;&gt;"", B1346&lt;&gt;""), B1346+1, "")</f>
        <v>#REF!</v>
      </c>
      <c r="C1351" s="442">
        <v>46300</v>
      </c>
      <c r="D1351" s="444">
        <f>D1346+1</f>
        <v>46300</v>
      </c>
      <c r="E1351" s="246" t="s">
        <v>394</v>
      </c>
      <c r="F1351" s="202">
        <v>0</v>
      </c>
      <c r="G1351" s="203">
        <v>0</v>
      </c>
      <c r="H1351" s="203">
        <v>0</v>
      </c>
      <c r="I1351" s="263">
        <v>0</v>
      </c>
      <c r="K1351" s="230"/>
      <c r="L1351" s="230"/>
      <c r="M1351" s="230"/>
    </row>
    <row r="1352" spans="1:13" s="231" customFormat="1" x14ac:dyDescent="0.25">
      <c r="A1352" s="1"/>
      <c r="B1352" s="245" t="e">
        <f>IF(AND(F1351&lt;&gt;"", B1347&lt;&gt;""), B1347+1, "")</f>
        <v>#REF!</v>
      </c>
      <c r="C1352" s="409"/>
      <c r="D1352" s="445"/>
      <c r="E1352" s="246" t="s">
        <v>764</v>
      </c>
      <c r="F1352" s="202">
        <v>0</v>
      </c>
      <c r="G1352" s="203">
        <v>0</v>
      </c>
      <c r="H1352" s="203">
        <v>0</v>
      </c>
      <c r="I1352" s="263">
        <v>0</v>
      </c>
      <c r="K1352" s="230"/>
      <c r="L1352" s="230"/>
      <c r="M1352" s="230"/>
    </row>
    <row r="1353" spans="1:13" s="231" customFormat="1" x14ac:dyDescent="0.25">
      <c r="A1353" s="1"/>
      <c r="B1353" s="245" t="e">
        <f>IF(AND(F1351&lt;&gt;"", B1348&lt;&gt;""), B1348+1, "")</f>
        <v>#REF!</v>
      </c>
      <c r="C1353" s="409"/>
      <c r="D1353" s="445"/>
      <c r="E1353" s="246" t="s">
        <v>765</v>
      </c>
      <c r="F1353" s="202">
        <v>0</v>
      </c>
      <c r="G1353" s="203">
        <v>0</v>
      </c>
      <c r="H1353" s="203">
        <v>0</v>
      </c>
      <c r="I1353" s="263">
        <v>0</v>
      </c>
      <c r="K1353" s="230"/>
      <c r="L1353" s="230"/>
      <c r="M1353" s="230"/>
    </row>
    <row r="1354" spans="1:13" s="231" customFormat="1" x14ac:dyDescent="0.25">
      <c r="A1354" s="1"/>
      <c r="B1354" s="245" t="e">
        <f>IF(AND(F1351&lt;&gt;"", B1349&lt;&gt;""), B1349+1, "")</f>
        <v>#REF!</v>
      </c>
      <c r="C1354" s="409"/>
      <c r="D1354" s="445"/>
      <c r="E1354" s="246" t="s">
        <v>766</v>
      </c>
      <c r="F1354" s="202">
        <v>0</v>
      </c>
      <c r="G1354" s="203">
        <v>0</v>
      </c>
      <c r="H1354" s="203">
        <v>0</v>
      </c>
      <c r="I1354" s="263">
        <v>0</v>
      </c>
      <c r="K1354" s="230"/>
      <c r="L1354" s="230"/>
      <c r="M1354" s="230"/>
    </row>
    <row r="1355" spans="1:13" s="231" customFormat="1" ht="15.75" customHeight="1" thickBot="1" x14ac:dyDescent="0.3">
      <c r="A1355" s="1"/>
      <c r="B1355" s="249" t="e">
        <f>IF(AND(F1351&lt;&gt;"", B1350&lt;&gt;""), B1350+1, "")</f>
        <v>#REF!</v>
      </c>
      <c r="C1355" s="416"/>
      <c r="D1355" s="446"/>
      <c r="E1355" s="250" t="s">
        <v>767</v>
      </c>
      <c r="F1355" s="204">
        <v>0</v>
      </c>
      <c r="G1355" s="205">
        <v>0</v>
      </c>
      <c r="H1355" s="205">
        <v>0</v>
      </c>
      <c r="I1355" s="264">
        <v>0</v>
      </c>
      <c r="K1355" s="230"/>
      <c r="L1355" s="230"/>
      <c r="M1355" s="230"/>
    </row>
    <row r="1356" spans="1:13" s="231" customFormat="1" x14ac:dyDescent="0.25">
      <c r="A1356" s="1"/>
      <c r="B1356" s="241" t="e">
        <f>IF(AND(F1356&lt;&gt;"", B1351&lt;&gt;""), B1351+1, "")</f>
        <v>#REF!</v>
      </c>
      <c r="C1356" s="442">
        <v>46301</v>
      </c>
      <c r="D1356" s="444">
        <f>D1351+1</f>
        <v>46301</v>
      </c>
      <c r="E1356" s="246" t="s">
        <v>394</v>
      </c>
      <c r="F1356" s="202">
        <v>0</v>
      </c>
      <c r="G1356" s="203">
        <v>0</v>
      </c>
      <c r="H1356" s="203">
        <v>0</v>
      </c>
      <c r="I1356" s="263">
        <v>0</v>
      </c>
      <c r="K1356" s="230"/>
      <c r="L1356" s="230"/>
      <c r="M1356" s="230"/>
    </row>
    <row r="1357" spans="1:13" s="231" customFormat="1" x14ac:dyDescent="0.25">
      <c r="A1357" s="1"/>
      <c r="B1357" s="245" t="e">
        <f>IF(AND(F1356&lt;&gt;"", B1352&lt;&gt;""), B1352+1, "")</f>
        <v>#REF!</v>
      </c>
      <c r="C1357" s="409"/>
      <c r="D1357" s="445"/>
      <c r="E1357" s="246" t="s">
        <v>764</v>
      </c>
      <c r="F1357" s="202">
        <v>0</v>
      </c>
      <c r="G1357" s="203">
        <v>0</v>
      </c>
      <c r="H1357" s="203">
        <v>0</v>
      </c>
      <c r="I1357" s="263">
        <v>0</v>
      </c>
      <c r="K1357" s="230"/>
      <c r="L1357" s="230"/>
      <c r="M1357" s="230"/>
    </row>
    <row r="1358" spans="1:13" s="231" customFormat="1" x14ac:dyDescent="0.25">
      <c r="A1358" s="1"/>
      <c r="B1358" s="245" t="e">
        <f>IF(AND(F1356&lt;&gt;"", B1353&lt;&gt;""), B1353+1, "")</f>
        <v>#REF!</v>
      </c>
      <c r="C1358" s="409"/>
      <c r="D1358" s="445"/>
      <c r="E1358" s="246" t="s">
        <v>765</v>
      </c>
      <c r="F1358" s="202">
        <v>0</v>
      </c>
      <c r="G1358" s="203">
        <v>0</v>
      </c>
      <c r="H1358" s="203">
        <v>0</v>
      </c>
      <c r="I1358" s="263">
        <v>0</v>
      </c>
      <c r="K1358" s="230"/>
      <c r="L1358" s="230"/>
      <c r="M1358" s="230"/>
    </row>
    <row r="1359" spans="1:13" s="231" customFormat="1" x14ac:dyDescent="0.25">
      <c r="A1359" s="1"/>
      <c r="B1359" s="245" t="e">
        <f>IF(AND(F1356&lt;&gt;"", B1354&lt;&gt;""), B1354+1, "")</f>
        <v>#REF!</v>
      </c>
      <c r="C1359" s="409"/>
      <c r="D1359" s="445"/>
      <c r="E1359" s="246" t="s">
        <v>766</v>
      </c>
      <c r="F1359" s="202">
        <v>0</v>
      </c>
      <c r="G1359" s="203">
        <v>0</v>
      </c>
      <c r="H1359" s="203">
        <v>0</v>
      </c>
      <c r="I1359" s="263">
        <v>0</v>
      </c>
      <c r="K1359" s="230"/>
      <c r="L1359" s="230"/>
      <c r="M1359" s="230"/>
    </row>
    <row r="1360" spans="1:13" s="231" customFormat="1" ht="15.75" customHeight="1" thickBot="1" x14ac:dyDescent="0.3">
      <c r="A1360" s="1"/>
      <c r="B1360" s="249" t="e">
        <f>IF(AND(F1356&lt;&gt;"", B1355&lt;&gt;""), B1355+1, "")</f>
        <v>#REF!</v>
      </c>
      <c r="C1360" s="416"/>
      <c r="D1360" s="446"/>
      <c r="E1360" s="250" t="s">
        <v>767</v>
      </c>
      <c r="F1360" s="204">
        <v>0</v>
      </c>
      <c r="G1360" s="205">
        <v>0</v>
      </c>
      <c r="H1360" s="205">
        <v>0</v>
      </c>
      <c r="I1360" s="264">
        <v>0</v>
      </c>
      <c r="K1360" s="230"/>
      <c r="L1360" s="230"/>
      <c r="M1360" s="230"/>
    </row>
    <row r="1361" spans="1:13" s="231" customFormat="1" x14ac:dyDescent="0.25">
      <c r="A1361" s="1"/>
      <c r="B1361" s="241" t="e">
        <f>IF(AND(F1361&lt;&gt;"", B1356&lt;&gt;""), B1356+1, "")</f>
        <v>#REF!</v>
      </c>
      <c r="C1361" s="442">
        <v>46302</v>
      </c>
      <c r="D1361" s="444">
        <f>D1356+1</f>
        <v>46302</v>
      </c>
      <c r="E1361" s="246" t="s">
        <v>394</v>
      </c>
      <c r="F1361" s="202">
        <v>0</v>
      </c>
      <c r="G1361" s="203">
        <v>0</v>
      </c>
      <c r="H1361" s="203">
        <v>0</v>
      </c>
      <c r="I1361" s="263">
        <v>0</v>
      </c>
      <c r="K1361" s="230"/>
      <c r="L1361" s="230"/>
      <c r="M1361" s="230"/>
    </row>
    <row r="1362" spans="1:13" s="231" customFormat="1" x14ac:dyDescent="0.25">
      <c r="A1362" s="1"/>
      <c r="B1362" s="245" t="e">
        <f>IF(AND(F1361&lt;&gt;"", B1357&lt;&gt;""), B1357+1, "")</f>
        <v>#REF!</v>
      </c>
      <c r="C1362" s="409"/>
      <c r="D1362" s="445"/>
      <c r="E1362" s="246" t="s">
        <v>764</v>
      </c>
      <c r="F1362" s="202">
        <v>0</v>
      </c>
      <c r="G1362" s="203">
        <v>0</v>
      </c>
      <c r="H1362" s="203">
        <v>0</v>
      </c>
      <c r="I1362" s="263">
        <v>0</v>
      </c>
      <c r="K1362" s="230"/>
      <c r="L1362" s="230"/>
      <c r="M1362" s="230"/>
    </row>
    <row r="1363" spans="1:13" s="231" customFormat="1" x14ac:dyDescent="0.25">
      <c r="A1363" s="1"/>
      <c r="B1363" s="245" t="e">
        <f>IF(AND(F1361&lt;&gt;"", B1358&lt;&gt;""), B1358+1, "")</f>
        <v>#REF!</v>
      </c>
      <c r="C1363" s="409"/>
      <c r="D1363" s="445"/>
      <c r="E1363" s="246" t="s">
        <v>765</v>
      </c>
      <c r="F1363" s="202">
        <v>0</v>
      </c>
      <c r="G1363" s="203">
        <v>0</v>
      </c>
      <c r="H1363" s="203">
        <v>0</v>
      </c>
      <c r="I1363" s="263">
        <v>0</v>
      </c>
      <c r="K1363" s="230"/>
      <c r="L1363" s="230"/>
      <c r="M1363" s="230"/>
    </row>
    <row r="1364" spans="1:13" s="231" customFormat="1" x14ac:dyDescent="0.25">
      <c r="A1364" s="1"/>
      <c r="B1364" s="245" t="e">
        <f>IF(AND(F1361&lt;&gt;"", B1359&lt;&gt;""), B1359+1, "")</f>
        <v>#REF!</v>
      </c>
      <c r="C1364" s="409"/>
      <c r="D1364" s="445"/>
      <c r="E1364" s="246" t="s">
        <v>766</v>
      </c>
      <c r="F1364" s="202">
        <v>0</v>
      </c>
      <c r="G1364" s="203">
        <v>0</v>
      </c>
      <c r="H1364" s="203">
        <v>0</v>
      </c>
      <c r="I1364" s="263">
        <v>0</v>
      </c>
      <c r="K1364" s="230"/>
      <c r="L1364" s="230"/>
      <c r="M1364" s="230"/>
    </row>
    <row r="1365" spans="1:13" s="231" customFormat="1" ht="15.75" customHeight="1" thickBot="1" x14ac:dyDescent="0.3">
      <c r="A1365" s="1"/>
      <c r="B1365" s="249" t="e">
        <f>IF(AND(F1361&lt;&gt;"", B1360&lt;&gt;""), B1360+1, "")</f>
        <v>#REF!</v>
      </c>
      <c r="C1365" s="416"/>
      <c r="D1365" s="446"/>
      <c r="E1365" s="250" t="s">
        <v>767</v>
      </c>
      <c r="F1365" s="204">
        <v>0</v>
      </c>
      <c r="G1365" s="205">
        <v>0</v>
      </c>
      <c r="H1365" s="205">
        <v>0</v>
      </c>
      <c r="I1365" s="264">
        <v>0</v>
      </c>
      <c r="K1365" s="230"/>
      <c r="L1365" s="230"/>
      <c r="M1365" s="230"/>
    </row>
    <row r="1366" spans="1:13" s="231" customFormat="1" x14ac:dyDescent="0.25">
      <c r="A1366" s="1"/>
      <c r="B1366" s="241" t="e">
        <f>IF(AND(F1366&lt;&gt;"", B1361&lt;&gt;""), B1361+1, "")</f>
        <v>#REF!</v>
      </c>
      <c r="C1366" s="442">
        <v>46303</v>
      </c>
      <c r="D1366" s="444">
        <f>D1361+1</f>
        <v>46303</v>
      </c>
      <c r="E1366" s="246" t="s">
        <v>394</v>
      </c>
      <c r="F1366" s="202">
        <v>0</v>
      </c>
      <c r="G1366" s="203">
        <v>0</v>
      </c>
      <c r="H1366" s="203">
        <v>0</v>
      </c>
      <c r="I1366" s="263">
        <v>0</v>
      </c>
      <c r="K1366" s="230"/>
      <c r="L1366" s="230"/>
      <c r="M1366" s="230"/>
    </row>
    <row r="1367" spans="1:13" s="231" customFormat="1" x14ac:dyDescent="0.25">
      <c r="A1367" s="1"/>
      <c r="B1367" s="245" t="e">
        <f>IF(AND(F1366&lt;&gt;"", B1362&lt;&gt;""), B1362+1, "")</f>
        <v>#REF!</v>
      </c>
      <c r="C1367" s="409"/>
      <c r="D1367" s="445"/>
      <c r="E1367" s="246" t="s">
        <v>764</v>
      </c>
      <c r="F1367" s="202">
        <v>0</v>
      </c>
      <c r="G1367" s="203">
        <v>0</v>
      </c>
      <c r="H1367" s="203">
        <v>0</v>
      </c>
      <c r="I1367" s="263">
        <v>0</v>
      </c>
      <c r="K1367" s="230"/>
      <c r="L1367" s="230"/>
      <c r="M1367" s="230"/>
    </row>
    <row r="1368" spans="1:13" s="231" customFormat="1" x14ac:dyDescent="0.25">
      <c r="A1368" s="1"/>
      <c r="B1368" s="245" t="e">
        <f>IF(AND(F1366&lt;&gt;"", B1363&lt;&gt;""), B1363+1, "")</f>
        <v>#REF!</v>
      </c>
      <c r="C1368" s="409"/>
      <c r="D1368" s="445"/>
      <c r="E1368" s="246" t="s">
        <v>765</v>
      </c>
      <c r="F1368" s="202">
        <v>0</v>
      </c>
      <c r="G1368" s="203">
        <v>0</v>
      </c>
      <c r="H1368" s="203">
        <v>0</v>
      </c>
      <c r="I1368" s="263">
        <v>0</v>
      </c>
      <c r="K1368" s="230"/>
      <c r="L1368" s="230"/>
      <c r="M1368" s="230"/>
    </row>
    <row r="1369" spans="1:13" s="231" customFormat="1" x14ac:dyDescent="0.25">
      <c r="A1369" s="1"/>
      <c r="B1369" s="245" t="e">
        <f>IF(AND(F1366&lt;&gt;"", B1364&lt;&gt;""), B1364+1, "")</f>
        <v>#REF!</v>
      </c>
      <c r="C1369" s="409"/>
      <c r="D1369" s="445"/>
      <c r="E1369" s="246" t="s">
        <v>766</v>
      </c>
      <c r="F1369" s="202">
        <v>0</v>
      </c>
      <c r="G1369" s="203">
        <v>0</v>
      </c>
      <c r="H1369" s="203">
        <v>0</v>
      </c>
      <c r="I1369" s="263">
        <v>0</v>
      </c>
      <c r="K1369" s="230"/>
      <c r="L1369" s="230"/>
      <c r="M1369" s="230"/>
    </row>
    <row r="1370" spans="1:13" s="231" customFormat="1" ht="15.75" customHeight="1" thickBot="1" x14ac:dyDescent="0.3">
      <c r="A1370" s="1"/>
      <c r="B1370" s="249" t="e">
        <f>IF(AND(F1366&lt;&gt;"", B1365&lt;&gt;""), B1365+1, "")</f>
        <v>#REF!</v>
      </c>
      <c r="C1370" s="416"/>
      <c r="D1370" s="446"/>
      <c r="E1370" s="250" t="s">
        <v>767</v>
      </c>
      <c r="F1370" s="204">
        <v>0</v>
      </c>
      <c r="G1370" s="205">
        <v>0</v>
      </c>
      <c r="H1370" s="205">
        <v>0</v>
      </c>
      <c r="I1370" s="264">
        <v>0</v>
      </c>
      <c r="K1370" s="230"/>
      <c r="L1370" s="230"/>
      <c r="M1370" s="230"/>
    </row>
    <row r="1371" spans="1:13" s="231" customFormat="1" x14ac:dyDescent="0.25">
      <c r="A1371" s="1"/>
      <c r="B1371" s="241" t="e">
        <f>IF(AND(F1371&lt;&gt;"", B1366&lt;&gt;""), B1366+1, "")</f>
        <v>#REF!</v>
      </c>
      <c r="C1371" s="442">
        <v>46304</v>
      </c>
      <c r="D1371" s="444">
        <f>D1366+1</f>
        <v>46304</v>
      </c>
      <c r="E1371" s="246" t="s">
        <v>394</v>
      </c>
      <c r="F1371" s="202">
        <v>0</v>
      </c>
      <c r="G1371" s="203">
        <v>0</v>
      </c>
      <c r="H1371" s="203">
        <v>0</v>
      </c>
      <c r="I1371" s="263">
        <v>0</v>
      </c>
      <c r="K1371" s="230"/>
      <c r="L1371" s="230"/>
      <c r="M1371" s="230"/>
    </row>
    <row r="1372" spans="1:13" s="231" customFormat="1" x14ac:dyDescent="0.25">
      <c r="A1372" s="1"/>
      <c r="B1372" s="245" t="e">
        <f>IF(AND(F1371&lt;&gt;"", B1367&lt;&gt;""), B1367+1, "")</f>
        <v>#REF!</v>
      </c>
      <c r="C1372" s="409"/>
      <c r="D1372" s="445"/>
      <c r="E1372" s="246" t="s">
        <v>764</v>
      </c>
      <c r="F1372" s="202">
        <v>0</v>
      </c>
      <c r="G1372" s="203">
        <v>0</v>
      </c>
      <c r="H1372" s="203">
        <v>0</v>
      </c>
      <c r="I1372" s="263">
        <v>0</v>
      </c>
      <c r="K1372" s="230"/>
      <c r="L1372" s="230"/>
      <c r="M1372" s="230"/>
    </row>
    <row r="1373" spans="1:13" s="231" customFormat="1" x14ac:dyDescent="0.25">
      <c r="A1373" s="1"/>
      <c r="B1373" s="245" t="e">
        <f>IF(AND(F1371&lt;&gt;"", B1368&lt;&gt;""), B1368+1, "")</f>
        <v>#REF!</v>
      </c>
      <c r="C1373" s="409"/>
      <c r="D1373" s="445"/>
      <c r="E1373" s="246" t="s">
        <v>765</v>
      </c>
      <c r="F1373" s="202">
        <v>0</v>
      </c>
      <c r="G1373" s="203">
        <v>0</v>
      </c>
      <c r="H1373" s="203">
        <v>0</v>
      </c>
      <c r="I1373" s="263">
        <v>0</v>
      </c>
      <c r="K1373" s="230"/>
      <c r="L1373" s="230"/>
      <c r="M1373" s="230"/>
    </row>
    <row r="1374" spans="1:13" s="231" customFormat="1" x14ac:dyDescent="0.25">
      <c r="A1374" s="1"/>
      <c r="B1374" s="245" t="e">
        <f>IF(AND(F1371&lt;&gt;"", B1369&lt;&gt;""), B1369+1, "")</f>
        <v>#REF!</v>
      </c>
      <c r="C1374" s="409"/>
      <c r="D1374" s="445"/>
      <c r="E1374" s="246" t="s">
        <v>766</v>
      </c>
      <c r="F1374" s="202">
        <v>0</v>
      </c>
      <c r="G1374" s="203">
        <v>0</v>
      </c>
      <c r="H1374" s="203">
        <v>0</v>
      </c>
      <c r="I1374" s="263">
        <v>0</v>
      </c>
      <c r="K1374" s="230"/>
      <c r="L1374" s="230"/>
      <c r="M1374" s="230"/>
    </row>
    <row r="1375" spans="1:13" s="231" customFormat="1" ht="15.75" customHeight="1" thickBot="1" x14ac:dyDescent="0.3">
      <c r="A1375" s="1"/>
      <c r="B1375" s="249" t="e">
        <f>IF(AND(F1371&lt;&gt;"", B1370&lt;&gt;""), B1370+1, "")</f>
        <v>#REF!</v>
      </c>
      <c r="C1375" s="416"/>
      <c r="D1375" s="446"/>
      <c r="E1375" s="250" t="s">
        <v>767</v>
      </c>
      <c r="F1375" s="204">
        <v>0</v>
      </c>
      <c r="G1375" s="205">
        <v>0</v>
      </c>
      <c r="H1375" s="205">
        <v>0</v>
      </c>
      <c r="I1375" s="264">
        <v>0</v>
      </c>
      <c r="K1375" s="230"/>
      <c r="L1375" s="230"/>
      <c r="M1375" s="230"/>
    </row>
    <row r="1376" spans="1:13" s="231" customFormat="1" x14ac:dyDescent="0.25">
      <c r="A1376" s="1"/>
      <c r="B1376" s="241" t="e">
        <f>IF(AND(F1376&lt;&gt;"", B1371&lt;&gt;""), B1371+1, "")</f>
        <v>#REF!</v>
      </c>
      <c r="C1376" s="442">
        <v>46305</v>
      </c>
      <c r="D1376" s="444">
        <f>D1371+1</f>
        <v>46305</v>
      </c>
      <c r="E1376" s="246" t="s">
        <v>394</v>
      </c>
      <c r="F1376" s="202">
        <v>0</v>
      </c>
      <c r="G1376" s="203">
        <v>0</v>
      </c>
      <c r="H1376" s="203">
        <v>0</v>
      </c>
      <c r="I1376" s="263">
        <v>0</v>
      </c>
      <c r="K1376" s="230"/>
      <c r="L1376" s="230"/>
      <c r="M1376" s="230"/>
    </row>
    <row r="1377" spans="1:13" s="231" customFormat="1" x14ac:dyDescent="0.25">
      <c r="A1377" s="1"/>
      <c r="B1377" s="245" t="e">
        <f>IF(AND(F1376&lt;&gt;"", B1372&lt;&gt;""), B1372+1, "")</f>
        <v>#REF!</v>
      </c>
      <c r="C1377" s="409"/>
      <c r="D1377" s="445"/>
      <c r="E1377" s="246" t="s">
        <v>764</v>
      </c>
      <c r="F1377" s="202">
        <v>0</v>
      </c>
      <c r="G1377" s="203">
        <v>0</v>
      </c>
      <c r="H1377" s="203">
        <v>0</v>
      </c>
      <c r="I1377" s="263">
        <v>0</v>
      </c>
      <c r="K1377" s="230"/>
      <c r="L1377" s="230"/>
      <c r="M1377" s="230"/>
    </row>
    <row r="1378" spans="1:13" s="231" customFormat="1" x14ac:dyDescent="0.25">
      <c r="A1378" s="1"/>
      <c r="B1378" s="245" t="e">
        <f>IF(AND(F1376&lt;&gt;"", B1373&lt;&gt;""), B1373+1, "")</f>
        <v>#REF!</v>
      </c>
      <c r="C1378" s="409"/>
      <c r="D1378" s="445"/>
      <c r="E1378" s="246" t="s">
        <v>765</v>
      </c>
      <c r="F1378" s="202">
        <v>0</v>
      </c>
      <c r="G1378" s="203">
        <v>0</v>
      </c>
      <c r="H1378" s="203">
        <v>0</v>
      </c>
      <c r="I1378" s="263">
        <v>0</v>
      </c>
      <c r="K1378" s="230"/>
      <c r="L1378" s="230"/>
      <c r="M1378" s="230"/>
    </row>
    <row r="1379" spans="1:13" s="231" customFormat="1" x14ac:dyDescent="0.25">
      <c r="A1379" s="1"/>
      <c r="B1379" s="245" t="e">
        <f>IF(AND(F1376&lt;&gt;"", B1374&lt;&gt;""), B1374+1, "")</f>
        <v>#REF!</v>
      </c>
      <c r="C1379" s="409"/>
      <c r="D1379" s="445"/>
      <c r="E1379" s="246" t="s">
        <v>766</v>
      </c>
      <c r="F1379" s="202">
        <v>0</v>
      </c>
      <c r="G1379" s="203">
        <v>0</v>
      </c>
      <c r="H1379" s="203">
        <v>0</v>
      </c>
      <c r="I1379" s="263">
        <v>0</v>
      </c>
      <c r="K1379" s="230"/>
      <c r="L1379" s="230"/>
      <c r="M1379" s="230"/>
    </row>
    <row r="1380" spans="1:13" s="231" customFormat="1" ht="15.75" customHeight="1" thickBot="1" x14ac:dyDescent="0.3">
      <c r="A1380" s="1"/>
      <c r="B1380" s="249" t="e">
        <f>IF(AND(F1376&lt;&gt;"", B1375&lt;&gt;""), B1375+1, "")</f>
        <v>#REF!</v>
      </c>
      <c r="C1380" s="416"/>
      <c r="D1380" s="446"/>
      <c r="E1380" s="250" t="s">
        <v>767</v>
      </c>
      <c r="F1380" s="204">
        <v>0</v>
      </c>
      <c r="G1380" s="205">
        <v>0</v>
      </c>
      <c r="H1380" s="205">
        <v>0</v>
      </c>
      <c r="I1380" s="264">
        <v>0</v>
      </c>
      <c r="K1380" s="230"/>
      <c r="L1380" s="230"/>
      <c r="M1380" s="230"/>
    </row>
    <row r="1381" spans="1:13" s="231" customFormat="1" x14ac:dyDescent="0.25">
      <c r="A1381" s="1"/>
      <c r="B1381" s="241" t="e">
        <f>IF(AND(F1381&lt;&gt;"", B1376&lt;&gt;""), B1376+1, "")</f>
        <v>#REF!</v>
      </c>
      <c r="C1381" s="442">
        <v>46306</v>
      </c>
      <c r="D1381" s="444">
        <f>D1376+1</f>
        <v>46306</v>
      </c>
      <c r="E1381" s="246" t="s">
        <v>394</v>
      </c>
      <c r="F1381" s="202">
        <v>0</v>
      </c>
      <c r="G1381" s="203">
        <v>0</v>
      </c>
      <c r="H1381" s="203">
        <v>0</v>
      </c>
      <c r="I1381" s="263">
        <v>0</v>
      </c>
      <c r="K1381" s="230"/>
      <c r="L1381" s="230"/>
      <c r="M1381" s="230"/>
    </row>
    <row r="1382" spans="1:13" s="231" customFormat="1" x14ac:dyDescent="0.25">
      <c r="A1382" s="1"/>
      <c r="B1382" s="245" t="e">
        <f>IF(AND(F1381&lt;&gt;"", B1377&lt;&gt;""), B1377+1, "")</f>
        <v>#REF!</v>
      </c>
      <c r="C1382" s="409"/>
      <c r="D1382" s="445"/>
      <c r="E1382" s="246" t="s">
        <v>764</v>
      </c>
      <c r="F1382" s="202">
        <v>0</v>
      </c>
      <c r="G1382" s="203">
        <v>0</v>
      </c>
      <c r="H1382" s="203">
        <v>0</v>
      </c>
      <c r="I1382" s="263">
        <v>0</v>
      </c>
      <c r="K1382" s="230"/>
      <c r="L1382" s="230"/>
      <c r="M1382" s="230"/>
    </row>
    <row r="1383" spans="1:13" s="231" customFormat="1" x14ac:dyDescent="0.25">
      <c r="A1383" s="1"/>
      <c r="B1383" s="245" t="e">
        <f>IF(AND(F1381&lt;&gt;"", B1378&lt;&gt;""), B1378+1, "")</f>
        <v>#REF!</v>
      </c>
      <c r="C1383" s="409"/>
      <c r="D1383" s="445"/>
      <c r="E1383" s="246" t="s">
        <v>765</v>
      </c>
      <c r="F1383" s="202">
        <v>0</v>
      </c>
      <c r="G1383" s="203">
        <v>0</v>
      </c>
      <c r="H1383" s="203">
        <v>0</v>
      </c>
      <c r="I1383" s="263">
        <v>0</v>
      </c>
      <c r="K1383" s="230"/>
      <c r="L1383" s="230"/>
      <c r="M1383" s="230"/>
    </row>
    <row r="1384" spans="1:13" s="231" customFormat="1" x14ac:dyDescent="0.25">
      <c r="A1384" s="1"/>
      <c r="B1384" s="245" t="e">
        <f>IF(AND(F1381&lt;&gt;"", B1379&lt;&gt;""), B1379+1, "")</f>
        <v>#REF!</v>
      </c>
      <c r="C1384" s="409"/>
      <c r="D1384" s="445"/>
      <c r="E1384" s="246" t="s">
        <v>766</v>
      </c>
      <c r="F1384" s="202">
        <v>0</v>
      </c>
      <c r="G1384" s="203">
        <v>0</v>
      </c>
      <c r="H1384" s="203">
        <v>0</v>
      </c>
      <c r="I1384" s="263">
        <v>0</v>
      </c>
      <c r="K1384" s="230"/>
      <c r="L1384" s="230"/>
      <c r="M1384" s="230"/>
    </row>
    <row r="1385" spans="1:13" s="231" customFormat="1" ht="15.75" customHeight="1" thickBot="1" x14ac:dyDescent="0.3">
      <c r="A1385" s="1"/>
      <c r="B1385" s="249" t="e">
        <f>IF(AND(F1381&lt;&gt;"", B1380&lt;&gt;""), B1380+1, "")</f>
        <v>#REF!</v>
      </c>
      <c r="C1385" s="416"/>
      <c r="D1385" s="446"/>
      <c r="E1385" s="250" t="s">
        <v>767</v>
      </c>
      <c r="F1385" s="204">
        <v>0</v>
      </c>
      <c r="G1385" s="205">
        <v>0</v>
      </c>
      <c r="H1385" s="205">
        <v>0</v>
      </c>
      <c r="I1385" s="264">
        <v>0</v>
      </c>
      <c r="K1385" s="230"/>
      <c r="L1385" s="230"/>
      <c r="M1385" s="230"/>
    </row>
    <row r="1386" spans="1:13" s="231" customFormat="1" x14ac:dyDescent="0.25">
      <c r="A1386" s="1"/>
      <c r="B1386" s="241" t="e">
        <f>IF(AND(F1386&lt;&gt;"", B1381&lt;&gt;""), B1381+1, "")</f>
        <v>#REF!</v>
      </c>
      <c r="C1386" s="442">
        <v>46307</v>
      </c>
      <c r="D1386" s="444">
        <f>D1381+1</f>
        <v>46307</v>
      </c>
      <c r="E1386" s="246" t="s">
        <v>394</v>
      </c>
      <c r="F1386" s="202">
        <v>0</v>
      </c>
      <c r="G1386" s="203">
        <v>0</v>
      </c>
      <c r="H1386" s="203">
        <v>0</v>
      </c>
      <c r="I1386" s="263">
        <v>0</v>
      </c>
      <c r="K1386" s="230"/>
      <c r="L1386" s="230"/>
      <c r="M1386" s="230"/>
    </row>
    <row r="1387" spans="1:13" s="231" customFormat="1" x14ac:dyDescent="0.25">
      <c r="A1387" s="1"/>
      <c r="B1387" s="245" t="e">
        <f>IF(AND(F1386&lt;&gt;"", B1382&lt;&gt;""), B1382+1, "")</f>
        <v>#REF!</v>
      </c>
      <c r="C1387" s="409"/>
      <c r="D1387" s="445"/>
      <c r="E1387" s="246" t="s">
        <v>764</v>
      </c>
      <c r="F1387" s="202">
        <v>0</v>
      </c>
      <c r="G1387" s="203">
        <v>0</v>
      </c>
      <c r="H1387" s="203">
        <v>0</v>
      </c>
      <c r="I1387" s="263">
        <v>0</v>
      </c>
      <c r="K1387" s="230"/>
      <c r="L1387" s="230"/>
      <c r="M1387" s="230"/>
    </row>
    <row r="1388" spans="1:13" s="231" customFormat="1" x14ac:dyDescent="0.25">
      <c r="A1388" s="1"/>
      <c r="B1388" s="245" t="e">
        <f>IF(AND(F1386&lt;&gt;"", B1383&lt;&gt;""), B1383+1, "")</f>
        <v>#REF!</v>
      </c>
      <c r="C1388" s="409"/>
      <c r="D1388" s="445"/>
      <c r="E1388" s="246" t="s">
        <v>765</v>
      </c>
      <c r="F1388" s="202">
        <v>0</v>
      </c>
      <c r="G1388" s="203">
        <v>0</v>
      </c>
      <c r="H1388" s="203">
        <v>0</v>
      </c>
      <c r="I1388" s="263">
        <v>0</v>
      </c>
      <c r="K1388" s="230"/>
      <c r="L1388" s="230"/>
      <c r="M1388" s="230"/>
    </row>
    <row r="1389" spans="1:13" s="231" customFormat="1" x14ac:dyDescent="0.25">
      <c r="A1389" s="1"/>
      <c r="B1389" s="245" t="e">
        <f>IF(AND(F1386&lt;&gt;"", B1384&lt;&gt;""), B1384+1, "")</f>
        <v>#REF!</v>
      </c>
      <c r="C1389" s="409"/>
      <c r="D1389" s="445"/>
      <c r="E1389" s="246" t="s">
        <v>766</v>
      </c>
      <c r="F1389" s="202">
        <v>0</v>
      </c>
      <c r="G1389" s="203">
        <v>0</v>
      </c>
      <c r="H1389" s="203">
        <v>0</v>
      </c>
      <c r="I1389" s="263">
        <v>0</v>
      </c>
      <c r="K1389" s="230"/>
      <c r="L1389" s="230"/>
      <c r="M1389" s="230"/>
    </row>
    <row r="1390" spans="1:13" s="231" customFormat="1" ht="15.75" customHeight="1" thickBot="1" x14ac:dyDescent="0.3">
      <c r="A1390" s="1"/>
      <c r="B1390" s="249" t="e">
        <f>IF(AND(F1386&lt;&gt;"", B1385&lt;&gt;""), B1385+1, "")</f>
        <v>#REF!</v>
      </c>
      <c r="C1390" s="416"/>
      <c r="D1390" s="446"/>
      <c r="E1390" s="250" t="s">
        <v>767</v>
      </c>
      <c r="F1390" s="204">
        <v>0</v>
      </c>
      <c r="G1390" s="205">
        <v>0</v>
      </c>
      <c r="H1390" s="205">
        <v>0</v>
      </c>
      <c r="I1390" s="264">
        <v>0</v>
      </c>
      <c r="K1390" s="230"/>
      <c r="L1390" s="230"/>
      <c r="M1390" s="230"/>
    </row>
    <row r="1391" spans="1:13" s="231" customFormat="1" x14ac:dyDescent="0.25">
      <c r="A1391" s="1"/>
      <c r="B1391" s="241" t="e">
        <f>IF(AND(F1391&lt;&gt;"", B1386&lt;&gt;""), B1386+1, "")</f>
        <v>#REF!</v>
      </c>
      <c r="C1391" s="442">
        <v>46308</v>
      </c>
      <c r="D1391" s="444">
        <f>D1386+1</f>
        <v>46308</v>
      </c>
      <c r="E1391" s="246" t="s">
        <v>394</v>
      </c>
      <c r="F1391" s="202">
        <v>0</v>
      </c>
      <c r="G1391" s="203">
        <v>0</v>
      </c>
      <c r="H1391" s="203">
        <v>0</v>
      </c>
      <c r="I1391" s="263">
        <v>0</v>
      </c>
      <c r="K1391" s="230"/>
      <c r="L1391" s="230"/>
      <c r="M1391" s="230"/>
    </row>
    <row r="1392" spans="1:13" s="231" customFormat="1" x14ac:dyDescent="0.25">
      <c r="A1392" s="1"/>
      <c r="B1392" s="245" t="e">
        <f>IF(AND(F1391&lt;&gt;"", B1387&lt;&gt;""), B1387+1, "")</f>
        <v>#REF!</v>
      </c>
      <c r="C1392" s="409"/>
      <c r="D1392" s="445"/>
      <c r="E1392" s="246" t="s">
        <v>764</v>
      </c>
      <c r="F1392" s="202">
        <v>0</v>
      </c>
      <c r="G1392" s="203">
        <v>0</v>
      </c>
      <c r="H1392" s="203">
        <v>0</v>
      </c>
      <c r="I1392" s="263">
        <v>0</v>
      </c>
      <c r="K1392" s="230"/>
      <c r="L1392" s="230"/>
      <c r="M1392" s="230"/>
    </row>
    <row r="1393" spans="1:13" s="231" customFormat="1" x14ac:dyDescent="0.25">
      <c r="A1393" s="1"/>
      <c r="B1393" s="245" t="e">
        <f>IF(AND(F1391&lt;&gt;"", B1388&lt;&gt;""), B1388+1, "")</f>
        <v>#REF!</v>
      </c>
      <c r="C1393" s="409"/>
      <c r="D1393" s="445"/>
      <c r="E1393" s="246" t="s">
        <v>765</v>
      </c>
      <c r="F1393" s="202">
        <v>0</v>
      </c>
      <c r="G1393" s="203">
        <v>0</v>
      </c>
      <c r="H1393" s="203">
        <v>0</v>
      </c>
      <c r="I1393" s="263">
        <v>0</v>
      </c>
      <c r="K1393" s="230"/>
      <c r="L1393" s="230"/>
      <c r="M1393" s="230"/>
    </row>
    <row r="1394" spans="1:13" s="231" customFormat="1" x14ac:dyDescent="0.25">
      <c r="A1394" s="1"/>
      <c r="B1394" s="245" t="e">
        <f>IF(AND(F1391&lt;&gt;"", B1389&lt;&gt;""), B1389+1, "")</f>
        <v>#REF!</v>
      </c>
      <c r="C1394" s="409"/>
      <c r="D1394" s="445"/>
      <c r="E1394" s="246" t="s">
        <v>766</v>
      </c>
      <c r="F1394" s="202">
        <v>0</v>
      </c>
      <c r="G1394" s="203">
        <v>0</v>
      </c>
      <c r="H1394" s="203">
        <v>0</v>
      </c>
      <c r="I1394" s="263">
        <v>0</v>
      </c>
      <c r="K1394" s="230"/>
      <c r="L1394" s="230"/>
      <c r="M1394" s="230"/>
    </row>
    <row r="1395" spans="1:13" s="231" customFormat="1" ht="15.75" customHeight="1" thickBot="1" x14ac:dyDescent="0.3">
      <c r="A1395" s="1"/>
      <c r="B1395" s="249" t="e">
        <f>IF(AND(F1391&lt;&gt;"", B1390&lt;&gt;""), B1390+1, "")</f>
        <v>#REF!</v>
      </c>
      <c r="C1395" s="416"/>
      <c r="D1395" s="446"/>
      <c r="E1395" s="250" t="s">
        <v>767</v>
      </c>
      <c r="F1395" s="204">
        <v>0</v>
      </c>
      <c r="G1395" s="205">
        <v>0</v>
      </c>
      <c r="H1395" s="205">
        <v>0</v>
      </c>
      <c r="I1395" s="264">
        <v>0</v>
      </c>
      <c r="K1395" s="230"/>
      <c r="L1395" s="230"/>
      <c r="M1395" s="230"/>
    </row>
    <row r="1396" spans="1:13" s="231" customFormat="1" x14ac:dyDescent="0.25">
      <c r="A1396" s="1"/>
      <c r="B1396" s="241" t="e">
        <f>IF(AND(F1396&lt;&gt;"", B1391&lt;&gt;""), B1391+1, "")</f>
        <v>#REF!</v>
      </c>
      <c r="C1396" s="442">
        <v>46309</v>
      </c>
      <c r="D1396" s="444">
        <f>D1391+1</f>
        <v>46309</v>
      </c>
      <c r="E1396" s="246" t="s">
        <v>394</v>
      </c>
      <c r="F1396" s="202">
        <v>0</v>
      </c>
      <c r="G1396" s="203">
        <v>0</v>
      </c>
      <c r="H1396" s="203">
        <v>0</v>
      </c>
      <c r="I1396" s="263">
        <v>0</v>
      </c>
      <c r="K1396" s="230"/>
      <c r="L1396" s="230"/>
      <c r="M1396" s="230"/>
    </row>
    <row r="1397" spans="1:13" s="231" customFormat="1" x14ac:dyDescent="0.25">
      <c r="A1397" s="1"/>
      <c r="B1397" s="245" t="e">
        <f>IF(AND(F1396&lt;&gt;"", B1392&lt;&gt;""), B1392+1, "")</f>
        <v>#REF!</v>
      </c>
      <c r="C1397" s="409"/>
      <c r="D1397" s="445"/>
      <c r="E1397" s="246" t="s">
        <v>764</v>
      </c>
      <c r="F1397" s="202">
        <v>0</v>
      </c>
      <c r="G1397" s="203">
        <v>0</v>
      </c>
      <c r="H1397" s="203">
        <v>0</v>
      </c>
      <c r="I1397" s="263">
        <v>0</v>
      </c>
      <c r="K1397" s="230"/>
      <c r="L1397" s="230"/>
      <c r="M1397" s="230"/>
    </row>
    <row r="1398" spans="1:13" s="231" customFormat="1" x14ac:dyDescent="0.25">
      <c r="A1398" s="1"/>
      <c r="B1398" s="245" t="e">
        <f>IF(AND(F1396&lt;&gt;"", B1393&lt;&gt;""), B1393+1, "")</f>
        <v>#REF!</v>
      </c>
      <c r="C1398" s="409"/>
      <c r="D1398" s="445"/>
      <c r="E1398" s="246" t="s">
        <v>765</v>
      </c>
      <c r="F1398" s="202">
        <v>0</v>
      </c>
      <c r="G1398" s="203">
        <v>0</v>
      </c>
      <c r="H1398" s="203">
        <v>0</v>
      </c>
      <c r="I1398" s="263">
        <v>0</v>
      </c>
      <c r="K1398" s="230"/>
      <c r="L1398" s="230"/>
      <c r="M1398" s="230"/>
    </row>
    <row r="1399" spans="1:13" s="231" customFormat="1" x14ac:dyDescent="0.25">
      <c r="A1399" s="1"/>
      <c r="B1399" s="245" t="e">
        <f>IF(AND(F1396&lt;&gt;"", B1394&lt;&gt;""), B1394+1, "")</f>
        <v>#REF!</v>
      </c>
      <c r="C1399" s="409"/>
      <c r="D1399" s="445"/>
      <c r="E1399" s="246" t="s">
        <v>766</v>
      </c>
      <c r="F1399" s="202">
        <v>0</v>
      </c>
      <c r="G1399" s="203">
        <v>0</v>
      </c>
      <c r="H1399" s="203">
        <v>0</v>
      </c>
      <c r="I1399" s="263">
        <v>0</v>
      </c>
      <c r="K1399" s="230"/>
      <c r="L1399" s="230"/>
      <c r="M1399" s="230"/>
    </row>
    <row r="1400" spans="1:13" s="231" customFormat="1" ht="15.75" customHeight="1" thickBot="1" x14ac:dyDescent="0.3">
      <c r="A1400" s="1"/>
      <c r="B1400" s="249" t="e">
        <f>IF(AND(F1396&lt;&gt;"", B1395&lt;&gt;""), B1395+1, "")</f>
        <v>#REF!</v>
      </c>
      <c r="C1400" s="416"/>
      <c r="D1400" s="446"/>
      <c r="E1400" s="250" t="s">
        <v>767</v>
      </c>
      <c r="F1400" s="204">
        <v>0</v>
      </c>
      <c r="G1400" s="205">
        <v>0</v>
      </c>
      <c r="H1400" s="205">
        <v>0</v>
      </c>
      <c r="I1400" s="264">
        <v>0</v>
      </c>
      <c r="K1400" s="230"/>
      <c r="L1400" s="230"/>
      <c r="M1400" s="230"/>
    </row>
    <row r="1401" spans="1:13" s="231" customFormat="1" x14ac:dyDescent="0.25">
      <c r="A1401" s="1"/>
      <c r="B1401" s="241" t="e">
        <f>IF(AND(F1401&lt;&gt;"", B1396&lt;&gt;""), B1396+1, "")</f>
        <v>#REF!</v>
      </c>
      <c r="C1401" s="442">
        <v>46310</v>
      </c>
      <c r="D1401" s="444">
        <f>D1396+1</f>
        <v>46310</v>
      </c>
      <c r="E1401" s="246" t="s">
        <v>394</v>
      </c>
      <c r="F1401" s="202">
        <v>0</v>
      </c>
      <c r="G1401" s="203">
        <v>0</v>
      </c>
      <c r="H1401" s="203">
        <v>0</v>
      </c>
      <c r="I1401" s="263">
        <v>0</v>
      </c>
      <c r="K1401" s="230"/>
      <c r="L1401" s="230"/>
      <c r="M1401" s="230"/>
    </row>
    <row r="1402" spans="1:13" s="231" customFormat="1" x14ac:dyDescent="0.25">
      <c r="A1402" s="1"/>
      <c r="B1402" s="245" t="e">
        <f>IF(AND(F1401&lt;&gt;"", B1397&lt;&gt;""), B1397+1, "")</f>
        <v>#REF!</v>
      </c>
      <c r="C1402" s="409"/>
      <c r="D1402" s="445"/>
      <c r="E1402" s="246" t="s">
        <v>764</v>
      </c>
      <c r="F1402" s="202">
        <v>0</v>
      </c>
      <c r="G1402" s="203">
        <v>0</v>
      </c>
      <c r="H1402" s="203">
        <v>0</v>
      </c>
      <c r="I1402" s="263">
        <v>0</v>
      </c>
      <c r="K1402" s="230"/>
      <c r="L1402" s="230"/>
      <c r="M1402" s="230"/>
    </row>
    <row r="1403" spans="1:13" s="231" customFormat="1" x14ac:dyDescent="0.25">
      <c r="A1403" s="1"/>
      <c r="B1403" s="245" t="e">
        <f>IF(AND(F1401&lt;&gt;"", B1398&lt;&gt;""), B1398+1, "")</f>
        <v>#REF!</v>
      </c>
      <c r="C1403" s="409"/>
      <c r="D1403" s="445"/>
      <c r="E1403" s="246" t="s">
        <v>765</v>
      </c>
      <c r="F1403" s="202">
        <v>0</v>
      </c>
      <c r="G1403" s="203">
        <v>0</v>
      </c>
      <c r="H1403" s="203">
        <v>0</v>
      </c>
      <c r="I1403" s="263">
        <v>0</v>
      </c>
      <c r="K1403" s="230"/>
      <c r="L1403" s="230"/>
      <c r="M1403" s="230"/>
    </row>
    <row r="1404" spans="1:13" s="231" customFormat="1" x14ac:dyDescent="0.25">
      <c r="A1404" s="1"/>
      <c r="B1404" s="245" t="e">
        <f>IF(AND(F1401&lt;&gt;"", B1399&lt;&gt;""), B1399+1, "")</f>
        <v>#REF!</v>
      </c>
      <c r="C1404" s="409"/>
      <c r="D1404" s="445"/>
      <c r="E1404" s="246" t="s">
        <v>766</v>
      </c>
      <c r="F1404" s="202">
        <v>0</v>
      </c>
      <c r="G1404" s="203">
        <v>0</v>
      </c>
      <c r="H1404" s="203">
        <v>0</v>
      </c>
      <c r="I1404" s="263">
        <v>0</v>
      </c>
      <c r="K1404" s="230"/>
      <c r="L1404" s="230"/>
      <c r="M1404" s="230"/>
    </row>
    <row r="1405" spans="1:13" s="231" customFormat="1" ht="15.75" customHeight="1" thickBot="1" x14ac:dyDescent="0.3">
      <c r="A1405" s="1"/>
      <c r="B1405" s="249" t="e">
        <f>IF(AND(F1401&lt;&gt;"", B1400&lt;&gt;""), B1400+1, "")</f>
        <v>#REF!</v>
      </c>
      <c r="C1405" s="416"/>
      <c r="D1405" s="446"/>
      <c r="E1405" s="250" t="s">
        <v>767</v>
      </c>
      <c r="F1405" s="204">
        <v>0</v>
      </c>
      <c r="G1405" s="205">
        <v>0</v>
      </c>
      <c r="H1405" s="205">
        <v>0</v>
      </c>
      <c r="I1405" s="264">
        <v>0</v>
      </c>
      <c r="K1405" s="230"/>
      <c r="L1405" s="230"/>
      <c r="M1405" s="230"/>
    </row>
    <row r="1406" spans="1:13" s="231" customFormat="1" x14ac:dyDescent="0.25">
      <c r="A1406" s="1"/>
      <c r="B1406" s="241" t="e">
        <f>IF(AND(F1406&lt;&gt;"", B1401&lt;&gt;""), B1401+1, "")</f>
        <v>#REF!</v>
      </c>
      <c r="C1406" s="442">
        <v>46311</v>
      </c>
      <c r="D1406" s="444">
        <f>D1401+1</f>
        <v>46311</v>
      </c>
      <c r="E1406" s="246" t="s">
        <v>394</v>
      </c>
      <c r="F1406" s="202">
        <v>0</v>
      </c>
      <c r="G1406" s="203">
        <v>0</v>
      </c>
      <c r="H1406" s="203">
        <v>0</v>
      </c>
      <c r="I1406" s="263">
        <v>0</v>
      </c>
      <c r="K1406" s="230"/>
      <c r="L1406" s="230"/>
      <c r="M1406" s="230"/>
    </row>
    <row r="1407" spans="1:13" s="231" customFormat="1" x14ac:dyDescent="0.25">
      <c r="A1407" s="1"/>
      <c r="B1407" s="245" t="e">
        <f>IF(AND(F1406&lt;&gt;"", B1402&lt;&gt;""), B1402+1, "")</f>
        <v>#REF!</v>
      </c>
      <c r="C1407" s="409"/>
      <c r="D1407" s="445"/>
      <c r="E1407" s="246" t="s">
        <v>764</v>
      </c>
      <c r="F1407" s="202">
        <v>0</v>
      </c>
      <c r="G1407" s="203">
        <v>0</v>
      </c>
      <c r="H1407" s="203">
        <v>0</v>
      </c>
      <c r="I1407" s="263">
        <v>0</v>
      </c>
      <c r="K1407" s="230"/>
      <c r="L1407" s="230"/>
      <c r="M1407" s="230"/>
    </row>
    <row r="1408" spans="1:13" s="231" customFormat="1" x14ac:dyDescent="0.25">
      <c r="A1408" s="1"/>
      <c r="B1408" s="245" t="e">
        <f>IF(AND(F1406&lt;&gt;"", B1403&lt;&gt;""), B1403+1, "")</f>
        <v>#REF!</v>
      </c>
      <c r="C1408" s="409"/>
      <c r="D1408" s="445"/>
      <c r="E1408" s="246" t="s">
        <v>765</v>
      </c>
      <c r="F1408" s="202">
        <v>0</v>
      </c>
      <c r="G1408" s="203">
        <v>0</v>
      </c>
      <c r="H1408" s="203">
        <v>0</v>
      </c>
      <c r="I1408" s="263">
        <v>0</v>
      </c>
      <c r="K1408" s="230"/>
      <c r="L1408" s="230"/>
      <c r="M1408" s="230"/>
    </row>
    <row r="1409" spans="1:13" s="231" customFormat="1" x14ac:dyDescent="0.25">
      <c r="A1409" s="1"/>
      <c r="B1409" s="245" t="e">
        <f>IF(AND(F1406&lt;&gt;"", B1404&lt;&gt;""), B1404+1, "")</f>
        <v>#REF!</v>
      </c>
      <c r="C1409" s="409"/>
      <c r="D1409" s="445"/>
      <c r="E1409" s="246" t="s">
        <v>766</v>
      </c>
      <c r="F1409" s="202">
        <v>0</v>
      </c>
      <c r="G1409" s="203">
        <v>0</v>
      </c>
      <c r="H1409" s="203">
        <v>0</v>
      </c>
      <c r="I1409" s="263">
        <v>0</v>
      </c>
      <c r="K1409" s="230"/>
      <c r="L1409" s="230"/>
      <c r="M1409" s="230"/>
    </row>
    <row r="1410" spans="1:13" s="231" customFormat="1" ht="15.75" customHeight="1" thickBot="1" x14ac:dyDescent="0.3">
      <c r="A1410" s="1"/>
      <c r="B1410" s="249" t="e">
        <f>IF(AND(F1406&lt;&gt;"", B1405&lt;&gt;""), B1405+1, "")</f>
        <v>#REF!</v>
      </c>
      <c r="C1410" s="416"/>
      <c r="D1410" s="446"/>
      <c r="E1410" s="250" t="s">
        <v>767</v>
      </c>
      <c r="F1410" s="204">
        <v>0</v>
      </c>
      <c r="G1410" s="205">
        <v>0</v>
      </c>
      <c r="H1410" s="205">
        <v>0</v>
      </c>
      <c r="I1410" s="264">
        <v>0</v>
      </c>
      <c r="K1410" s="230"/>
      <c r="L1410" s="230"/>
      <c r="M1410" s="230"/>
    </row>
    <row r="1411" spans="1:13" s="231" customFormat="1" x14ac:dyDescent="0.25">
      <c r="A1411" s="1"/>
      <c r="B1411" s="241" t="e">
        <f>IF(AND(F1411&lt;&gt;"", B1406&lt;&gt;""), B1406+1, "")</f>
        <v>#REF!</v>
      </c>
      <c r="C1411" s="442">
        <v>46312</v>
      </c>
      <c r="D1411" s="444">
        <f>D1406+1</f>
        <v>46312</v>
      </c>
      <c r="E1411" s="246" t="s">
        <v>394</v>
      </c>
      <c r="F1411" s="202">
        <v>0</v>
      </c>
      <c r="G1411" s="203">
        <v>0</v>
      </c>
      <c r="H1411" s="203">
        <v>0</v>
      </c>
      <c r="I1411" s="263">
        <v>0</v>
      </c>
      <c r="K1411" s="230"/>
      <c r="L1411" s="230"/>
      <c r="M1411" s="230"/>
    </row>
    <row r="1412" spans="1:13" s="231" customFormat="1" x14ac:dyDescent="0.25">
      <c r="A1412" s="1"/>
      <c r="B1412" s="245" t="e">
        <f>IF(AND(F1411&lt;&gt;"", B1407&lt;&gt;""), B1407+1, "")</f>
        <v>#REF!</v>
      </c>
      <c r="C1412" s="409"/>
      <c r="D1412" s="445"/>
      <c r="E1412" s="246" t="s">
        <v>764</v>
      </c>
      <c r="F1412" s="202">
        <v>0</v>
      </c>
      <c r="G1412" s="203">
        <v>0</v>
      </c>
      <c r="H1412" s="203">
        <v>0</v>
      </c>
      <c r="I1412" s="263">
        <v>0</v>
      </c>
      <c r="K1412" s="230"/>
      <c r="L1412" s="230"/>
      <c r="M1412" s="230"/>
    </row>
    <row r="1413" spans="1:13" s="231" customFormat="1" x14ac:dyDescent="0.25">
      <c r="A1413" s="1"/>
      <c r="B1413" s="245" t="e">
        <f>IF(AND(F1411&lt;&gt;"", B1408&lt;&gt;""), B1408+1, "")</f>
        <v>#REF!</v>
      </c>
      <c r="C1413" s="409"/>
      <c r="D1413" s="445"/>
      <c r="E1413" s="246" t="s">
        <v>765</v>
      </c>
      <c r="F1413" s="202">
        <v>0</v>
      </c>
      <c r="G1413" s="203">
        <v>0</v>
      </c>
      <c r="H1413" s="203">
        <v>0</v>
      </c>
      <c r="I1413" s="263">
        <v>0</v>
      </c>
      <c r="K1413" s="230"/>
      <c r="L1413" s="230"/>
      <c r="M1413" s="230"/>
    </row>
    <row r="1414" spans="1:13" s="231" customFormat="1" x14ac:dyDescent="0.25">
      <c r="A1414" s="1"/>
      <c r="B1414" s="245" t="e">
        <f>IF(AND(F1411&lt;&gt;"", B1409&lt;&gt;""), B1409+1, "")</f>
        <v>#REF!</v>
      </c>
      <c r="C1414" s="409"/>
      <c r="D1414" s="445"/>
      <c r="E1414" s="246" t="s">
        <v>766</v>
      </c>
      <c r="F1414" s="202">
        <v>0</v>
      </c>
      <c r="G1414" s="203">
        <v>0</v>
      </c>
      <c r="H1414" s="203">
        <v>0</v>
      </c>
      <c r="I1414" s="263">
        <v>0</v>
      </c>
      <c r="K1414" s="230"/>
      <c r="L1414" s="230"/>
      <c r="M1414" s="230"/>
    </row>
    <row r="1415" spans="1:13" s="231" customFormat="1" ht="15.75" customHeight="1" thickBot="1" x14ac:dyDescent="0.3">
      <c r="A1415" s="1"/>
      <c r="B1415" s="249" t="e">
        <f>IF(AND(F1411&lt;&gt;"", B1410&lt;&gt;""), B1410+1, "")</f>
        <v>#REF!</v>
      </c>
      <c r="C1415" s="416"/>
      <c r="D1415" s="446"/>
      <c r="E1415" s="250" t="s">
        <v>767</v>
      </c>
      <c r="F1415" s="204">
        <v>0</v>
      </c>
      <c r="G1415" s="205">
        <v>0</v>
      </c>
      <c r="H1415" s="205">
        <v>0</v>
      </c>
      <c r="I1415" s="264">
        <v>0</v>
      </c>
      <c r="K1415" s="230"/>
      <c r="L1415" s="230"/>
      <c r="M1415" s="230"/>
    </row>
    <row r="1416" spans="1:13" s="231" customFormat="1" x14ac:dyDescent="0.25">
      <c r="A1416" s="1"/>
      <c r="B1416" s="241" t="e">
        <f>IF(AND(F1416&lt;&gt;"", B1411&lt;&gt;""), B1411+1, "")</f>
        <v>#REF!</v>
      </c>
      <c r="C1416" s="442">
        <v>46313</v>
      </c>
      <c r="D1416" s="444">
        <f>D1411+1</f>
        <v>46313</v>
      </c>
      <c r="E1416" s="246" t="s">
        <v>394</v>
      </c>
      <c r="F1416" s="202">
        <v>0</v>
      </c>
      <c r="G1416" s="203">
        <v>0</v>
      </c>
      <c r="H1416" s="203">
        <v>0</v>
      </c>
      <c r="I1416" s="263">
        <v>0</v>
      </c>
      <c r="K1416" s="230"/>
      <c r="L1416" s="230"/>
      <c r="M1416" s="230"/>
    </row>
    <row r="1417" spans="1:13" s="231" customFormat="1" x14ac:dyDescent="0.25">
      <c r="A1417" s="1"/>
      <c r="B1417" s="245" t="e">
        <f>IF(AND(F1416&lt;&gt;"", B1412&lt;&gt;""), B1412+1, "")</f>
        <v>#REF!</v>
      </c>
      <c r="C1417" s="409"/>
      <c r="D1417" s="445"/>
      <c r="E1417" s="246" t="s">
        <v>764</v>
      </c>
      <c r="F1417" s="202">
        <v>0</v>
      </c>
      <c r="G1417" s="203">
        <v>0</v>
      </c>
      <c r="H1417" s="203">
        <v>0</v>
      </c>
      <c r="I1417" s="263">
        <v>0</v>
      </c>
      <c r="K1417" s="230"/>
      <c r="L1417" s="230"/>
      <c r="M1417" s="230"/>
    </row>
    <row r="1418" spans="1:13" s="231" customFormat="1" x14ac:dyDescent="0.25">
      <c r="A1418" s="1"/>
      <c r="B1418" s="245" t="e">
        <f>IF(AND(F1416&lt;&gt;"", B1413&lt;&gt;""), B1413+1, "")</f>
        <v>#REF!</v>
      </c>
      <c r="C1418" s="409"/>
      <c r="D1418" s="445"/>
      <c r="E1418" s="246" t="s">
        <v>765</v>
      </c>
      <c r="F1418" s="202">
        <v>0</v>
      </c>
      <c r="G1418" s="203">
        <v>0</v>
      </c>
      <c r="H1418" s="203">
        <v>0</v>
      </c>
      <c r="I1418" s="263">
        <v>0</v>
      </c>
      <c r="K1418" s="230"/>
      <c r="L1418" s="230"/>
      <c r="M1418" s="230"/>
    </row>
    <row r="1419" spans="1:13" s="231" customFormat="1" x14ac:dyDescent="0.25">
      <c r="A1419" s="1"/>
      <c r="B1419" s="245" t="e">
        <f>IF(AND(F1416&lt;&gt;"", B1414&lt;&gt;""), B1414+1, "")</f>
        <v>#REF!</v>
      </c>
      <c r="C1419" s="409"/>
      <c r="D1419" s="445"/>
      <c r="E1419" s="246" t="s">
        <v>766</v>
      </c>
      <c r="F1419" s="202">
        <v>0</v>
      </c>
      <c r="G1419" s="203">
        <v>0</v>
      </c>
      <c r="H1419" s="203">
        <v>0</v>
      </c>
      <c r="I1419" s="263">
        <v>0</v>
      </c>
      <c r="K1419" s="230"/>
      <c r="L1419" s="230"/>
      <c r="M1419" s="230"/>
    </row>
    <row r="1420" spans="1:13" s="231" customFormat="1" ht="15.75" customHeight="1" thickBot="1" x14ac:dyDescent="0.3">
      <c r="A1420" s="1"/>
      <c r="B1420" s="249" t="e">
        <f>IF(AND(F1416&lt;&gt;"", B1415&lt;&gt;""), B1415+1, "")</f>
        <v>#REF!</v>
      </c>
      <c r="C1420" s="416"/>
      <c r="D1420" s="446"/>
      <c r="E1420" s="250" t="s">
        <v>767</v>
      </c>
      <c r="F1420" s="204">
        <v>0</v>
      </c>
      <c r="G1420" s="205">
        <v>0</v>
      </c>
      <c r="H1420" s="205">
        <v>0</v>
      </c>
      <c r="I1420" s="264">
        <v>0</v>
      </c>
      <c r="K1420" s="230"/>
      <c r="L1420" s="230"/>
      <c r="M1420" s="230"/>
    </row>
    <row r="1421" spans="1:13" s="231" customFormat="1" x14ac:dyDescent="0.25">
      <c r="A1421" s="1"/>
      <c r="B1421" s="241" t="e">
        <f>IF(AND(F1421&lt;&gt;"", B1416&lt;&gt;""), B1416+1, "")</f>
        <v>#REF!</v>
      </c>
      <c r="C1421" s="442">
        <v>46314</v>
      </c>
      <c r="D1421" s="444">
        <f>D1416+1</f>
        <v>46314</v>
      </c>
      <c r="E1421" s="246" t="s">
        <v>394</v>
      </c>
      <c r="F1421" s="202">
        <v>0</v>
      </c>
      <c r="G1421" s="203">
        <v>0</v>
      </c>
      <c r="H1421" s="203">
        <v>0</v>
      </c>
      <c r="I1421" s="263">
        <v>0</v>
      </c>
      <c r="K1421" s="230"/>
      <c r="L1421" s="230"/>
      <c r="M1421" s="230"/>
    </row>
    <row r="1422" spans="1:13" s="231" customFormat="1" x14ac:dyDescent="0.25">
      <c r="A1422" s="1"/>
      <c r="B1422" s="245" t="e">
        <f>IF(AND(F1421&lt;&gt;"", B1417&lt;&gt;""), B1417+1, "")</f>
        <v>#REF!</v>
      </c>
      <c r="C1422" s="409"/>
      <c r="D1422" s="445"/>
      <c r="E1422" s="246" t="s">
        <v>764</v>
      </c>
      <c r="F1422" s="202">
        <v>0</v>
      </c>
      <c r="G1422" s="203">
        <v>0</v>
      </c>
      <c r="H1422" s="203">
        <v>0</v>
      </c>
      <c r="I1422" s="263">
        <v>0</v>
      </c>
      <c r="K1422" s="230"/>
      <c r="L1422" s="230"/>
      <c r="M1422" s="230"/>
    </row>
    <row r="1423" spans="1:13" s="231" customFormat="1" x14ac:dyDescent="0.25">
      <c r="A1423" s="1"/>
      <c r="B1423" s="245" t="e">
        <f>IF(AND(F1421&lt;&gt;"", B1418&lt;&gt;""), B1418+1, "")</f>
        <v>#REF!</v>
      </c>
      <c r="C1423" s="409"/>
      <c r="D1423" s="445"/>
      <c r="E1423" s="246" t="s">
        <v>765</v>
      </c>
      <c r="F1423" s="202">
        <v>0</v>
      </c>
      <c r="G1423" s="203">
        <v>0</v>
      </c>
      <c r="H1423" s="203">
        <v>0</v>
      </c>
      <c r="I1423" s="263">
        <v>0</v>
      </c>
      <c r="K1423" s="230"/>
      <c r="L1423" s="230"/>
      <c r="M1423" s="230"/>
    </row>
    <row r="1424" spans="1:13" s="231" customFormat="1" x14ac:dyDescent="0.25">
      <c r="A1424" s="1"/>
      <c r="B1424" s="245" t="e">
        <f>IF(AND(F1421&lt;&gt;"", B1419&lt;&gt;""), B1419+1, "")</f>
        <v>#REF!</v>
      </c>
      <c r="C1424" s="409"/>
      <c r="D1424" s="445"/>
      <c r="E1424" s="246" t="s">
        <v>766</v>
      </c>
      <c r="F1424" s="202">
        <v>0</v>
      </c>
      <c r="G1424" s="203">
        <v>0</v>
      </c>
      <c r="H1424" s="203">
        <v>0</v>
      </c>
      <c r="I1424" s="263">
        <v>0</v>
      </c>
      <c r="K1424" s="230"/>
      <c r="L1424" s="230"/>
      <c r="M1424" s="230"/>
    </row>
    <row r="1425" spans="1:13" s="231" customFormat="1" ht="15.75" customHeight="1" thickBot="1" x14ac:dyDescent="0.3">
      <c r="A1425" s="1"/>
      <c r="B1425" s="249" t="e">
        <f>IF(AND(F1421&lt;&gt;"", B1420&lt;&gt;""), B1420+1, "")</f>
        <v>#REF!</v>
      </c>
      <c r="C1425" s="416"/>
      <c r="D1425" s="446"/>
      <c r="E1425" s="250" t="s">
        <v>767</v>
      </c>
      <c r="F1425" s="204">
        <v>0</v>
      </c>
      <c r="G1425" s="205">
        <v>0</v>
      </c>
      <c r="H1425" s="205">
        <v>0</v>
      </c>
      <c r="I1425" s="264">
        <v>0</v>
      </c>
      <c r="K1425" s="230"/>
      <c r="L1425" s="230"/>
      <c r="M1425" s="230"/>
    </row>
    <row r="1426" spans="1:13" s="231" customFormat="1" x14ac:dyDescent="0.25">
      <c r="A1426" s="1"/>
      <c r="B1426" s="241" t="e">
        <f>IF(AND(F1426&lt;&gt;"", B1421&lt;&gt;""), B1421+1, "")</f>
        <v>#REF!</v>
      </c>
      <c r="C1426" s="442">
        <v>46315</v>
      </c>
      <c r="D1426" s="444">
        <f>D1421+1</f>
        <v>46315</v>
      </c>
      <c r="E1426" s="246" t="s">
        <v>394</v>
      </c>
      <c r="F1426" s="202">
        <v>0</v>
      </c>
      <c r="G1426" s="203">
        <v>0</v>
      </c>
      <c r="H1426" s="203">
        <v>0</v>
      </c>
      <c r="I1426" s="263">
        <v>0</v>
      </c>
      <c r="K1426" s="230"/>
      <c r="L1426" s="230"/>
      <c r="M1426" s="230"/>
    </row>
    <row r="1427" spans="1:13" s="231" customFormat="1" x14ac:dyDescent="0.25">
      <c r="A1427" s="1"/>
      <c r="B1427" s="245" t="e">
        <f>IF(AND(F1426&lt;&gt;"", B1422&lt;&gt;""), B1422+1, "")</f>
        <v>#REF!</v>
      </c>
      <c r="C1427" s="409"/>
      <c r="D1427" s="445"/>
      <c r="E1427" s="246" t="s">
        <v>764</v>
      </c>
      <c r="F1427" s="202">
        <v>0</v>
      </c>
      <c r="G1427" s="203">
        <v>0</v>
      </c>
      <c r="H1427" s="203">
        <v>0</v>
      </c>
      <c r="I1427" s="263">
        <v>0</v>
      </c>
      <c r="K1427" s="230"/>
      <c r="L1427" s="230"/>
      <c r="M1427" s="230"/>
    </row>
    <row r="1428" spans="1:13" s="231" customFormat="1" x14ac:dyDescent="0.25">
      <c r="A1428" s="1"/>
      <c r="B1428" s="245" t="e">
        <f>IF(AND(F1426&lt;&gt;"", B1423&lt;&gt;""), B1423+1, "")</f>
        <v>#REF!</v>
      </c>
      <c r="C1428" s="409"/>
      <c r="D1428" s="445"/>
      <c r="E1428" s="246" t="s">
        <v>765</v>
      </c>
      <c r="F1428" s="202">
        <v>0</v>
      </c>
      <c r="G1428" s="203">
        <v>0</v>
      </c>
      <c r="H1428" s="203">
        <v>0</v>
      </c>
      <c r="I1428" s="263">
        <v>0</v>
      </c>
      <c r="K1428" s="230"/>
      <c r="L1428" s="230"/>
      <c r="M1428" s="230"/>
    </row>
    <row r="1429" spans="1:13" s="231" customFormat="1" x14ac:dyDescent="0.25">
      <c r="A1429" s="1"/>
      <c r="B1429" s="245" t="e">
        <f>IF(AND(F1426&lt;&gt;"", B1424&lt;&gt;""), B1424+1, "")</f>
        <v>#REF!</v>
      </c>
      <c r="C1429" s="409"/>
      <c r="D1429" s="445"/>
      <c r="E1429" s="246" t="s">
        <v>766</v>
      </c>
      <c r="F1429" s="202">
        <v>0</v>
      </c>
      <c r="G1429" s="203">
        <v>0</v>
      </c>
      <c r="H1429" s="203">
        <v>0</v>
      </c>
      <c r="I1429" s="263">
        <v>0</v>
      </c>
      <c r="K1429" s="230"/>
      <c r="L1429" s="230"/>
      <c r="M1429" s="230"/>
    </row>
    <row r="1430" spans="1:13" s="231" customFormat="1" ht="15.75" customHeight="1" thickBot="1" x14ac:dyDescent="0.3">
      <c r="A1430" s="1"/>
      <c r="B1430" s="249" t="e">
        <f>IF(AND(F1426&lt;&gt;"", B1425&lt;&gt;""), B1425+1, "")</f>
        <v>#REF!</v>
      </c>
      <c r="C1430" s="416"/>
      <c r="D1430" s="446"/>
      <c r="E1430" s="250" t="s">
        <v>767</v>
      </c>
      <c r="F1430" s="204">
        <v>0</v>
      </c>
      <c r="G1430" s="205">
        <v>0</v>
      </c>
      <c r="H1430" s="205">
        <v>0</v>
      </c>
      <c r="I1430" s="264">
        <v>0</v>
      </c>
      <c r="K1430" s="230"/>
      <c r="L1430" s="230"/>
      <c r="M1430" s="230"/>
    </row>
    <row r="1431" spans="1:13" s="231" customFormat="1" x14ac:dyDescent="0.25">
      <c r="A1431" s="1"/>
      <c r="B1431" s="241" t="e">
        <f>IF(AND(F1431&lt;&gt;"", B1426&lt;&gt;""), B1426+1, "")</f>
        <v>#REF!</v>
      </c>
      <c r="C1431" s="442">
        <v>46316</v>
      </c>
      <c r="D1431" s="444">
        <f>D1426+1</f>
        <v>46316</v>
      </c>
      <c r="E1431" s="246" t="s">
        <v>394</v>
      </c>
      <c r="F1431" s="202">
        <v>0</v>
      </c>
      <c r="G1431" s="203">
        <v>0</v>
      </c>
      <c r="H1431" s="203">
        <v>0</v>
      </c>
      <c r="I1431" s="263">
        <v>0</v>
      </c>
      <c r="K1431" s="230"/>
      <c r="L1431" s="230"/>
      <c r="M1431" s="230"/>
    </row>
    <row r="1432" spans="1:13" s="231" customFormat="1" x14ac:dyDescent="0.25">
      <c r="A1432" s="1"/>
      <c r="B1432" s="245" t="e">
        <f>IF(AND(F1431&lt;&gt;"", B1427&lt;&gt;""), B1427+1, "")</f>
        <v>#REF!</v>
      </c>
      <c r="C1432" s="409"/>
      <c r="D1432" s="445"/>
      <c r="E1432" s="246" t="s">
        <v>764</v>
      </c>
      <c r="F1432" s="202">
        <v>0</v>
      </c>
      <c r="G1432" s="203">
        <v>0</v>
      </c>
      <c r="H1432" s="203">
        <v>0</v>
      </c>
      <c r="I1432" s="263">
        <v>0</v>
      </c>
      <c r="K1432" s="230"/>
      <c r="L1432" s="230"/>
      <c r="M1432" s="230"/>
    </row>
    <row r="1433" spans="1:13" s="231" customFormat="1" x14ac:dyDescent="0.25">
      <c r="A1433" s="1"/>
      <c r="B1433" s="245" t="e">
        <f>IF(AND(F1431&lt;&gt;"", B1428&lt;&gt;""), B1428+1, "")</f>
        <v>#REF!</v>
      </c>
      <c r="C1433" s="409"/>
      <c r="D1433" s="445"/>
      <c r="E1433" s="246" t="s">
        <v>765</v>
      </c>
      <c r="F1433" s="202">
        <v>0</v>
      </c>
      <c r="G1433" s="203">
        <v>0</v>
      </c>
      <c r="H1433" s="203">
        <v>0</v>
      </c>
      <c r="I1433" s="263">
        <v>0</v>
      </c>
      <c r="K1433" s="230"/>
      <c r="L1433" s="230"/>
      <c r="M1433" s="230"/>
    </row>
    <row r="1434" spans="1:13" s="231" customFormat="1" x14ac:dyDescent="0.25">
      <c r="A1434" s="1"/>
      <c r="B1434" s="245" t="e">
        <f>IF(AND(F1431&lt;&gt;"", B1429&lt;&gt;""), B1429+1, "")</f>
        <v>#REF!</v>
      </c>
      <c r="C1434" s="409"/>
      <c r="D1434" s="445"/>
      <c r="E1434" s="246" t="s">
        <v>766</v>
      </c>
      <c r="F1434" s="202">
        <v>0</v>
      </c>
      <c r="G1434" s="203">
        <v>0</v>
      </c>
      <c r="H1434" s="203">
        <v>0</v>
      </c>
      <c r="I1434" s="263">
        <v>0</v>
      </c>
      <c r="K1434" s="230"/>
      <c r="L1434" s="230"/>
      <c r="M1434" s="230"/>
    </row>
    <row r="1435" spans="1:13" s="231" customFormat="1" ht="15.75" customHeight="1" thickBot="1" x14ac:dyDescent="0.3">
      <c r="A1435" s="1"/>
      <c r="B1435" s="249" t="e">
        <f>IF(AND(F1431&lt;&gt;"", B1430&lt;&gt;""), B1430+1, "")</f>
        <v>#REF!</v>
      </c>
      <c r="C1435" s="416"/>
      <c r="D1435" s="446"/>
      <c r="E1435" s="250" t="s">
        <v>767</v>
      </c>
      <c r="F1435" s="204">
        <v>0</v>
      </c>
      <c r="G1435" s="205">
        <v>0</v>
      </c>
      <c r="H1435" s="205">
        <v>0</v>
      </c>
      <c r="I1435" s="264">
        <v>0</v>
      </c>
      <c r="K1435" s="230"/>
      <c r="L1435" s="230"/>
      <c r="M1435" s="230"/>
    </row>
    <row r="1436" spans="1:13" s="231" customFormat="1" x14ac:dyDescent="0.25">
      <c r="A1436" s="1"/>
      <c r="B1436" s="241" t="e">
        <f>IF(AND(F1436&lt;&gt;"", B1431&lt;&gt;""), B1431+1, "")</f>
        <v>#REF!</v>
      </c>
      <c r="C1436" s="442">
        <v>46317</v>
      </c>
      <c r="D1436" s="444">
        <f>D1431+1</f>
        <v>46317</v>
      </c>
      <c r="E1436" s="246" t="s">
        <v>394</v>
      </c>
      <c r="F1436" s="202">
        <v>0</v>
      </c>
      <c r="G1436" s="203">
        <v>0</v>
      </c>
      <c r="H1436" s="203">
        <v>0</v>
      </c>
      <c r="I1436" s="263">
        <v>0</v>
      </c>
      <c r="K1436" s="230"/>
      <c r="L1436" s="230"/>
      <c r="M1436" s="230"/>
    </row>
    <row r="1437" spans="1:13" s="231" customFormat="1" x14ac:dyDescent="0.25">
      <c r="A1437" s="1"/>
      <c r="B1437" s="245" t="e">
        <f>IF(AND(F1436&lt;&gt;"", B1432&lt;&gt;""), B1432+1, "")</f>
        <v>#REF!</v>
      </c>
      <c r="C1437" s="409"/>
      <c r="D1437" s="445"/>
      <c r="E1437" s="246" t="s">
        <v>764</v>
      </c>
      <c r="F1437" s="202">
        <v>0</v>
      </c>
      <c r="G1437" s="203">
        <v>0</v>
      </c>
      <c r="H1437" s="203">
        <v>0</v>
      </c>
      <c r="I1437" s="263">
        <v>0</v>
      </c>
      <c r="K1437" s="230"/>
      <c r="L1437" s="230"/>
      <c r="M1437" s="230"/>
    </row>
    <row r="1438" spans="1:13" s="231" customFormat="1" x14ac:dyDescent="0.25">
      <c r="A1438" s="1"/>
      <c r="B1438" s="245" t="e">
        <f>IF(AND(F1436&lt;&gt;"", B1433&lt;&gt;""), B1433+1, "")</f>
        <v>#REF!</v>
      </c>
      <c r="C1438" s="409"/>
      <c r="D1438" s="445"/>
      <c r="E1438" s="246" t="s">
        <v>765</v>
      </c>
      <c r="F1438" s="202">
        <v>0</v>
      </c>
      <c r="G1438" s="203">
        <v>0</v>
      </c>
      <c r="H1438" s="203">
        <v>0</v>
      </c>
      <c r="I1438" s="263">
        <v>0</v>
      </c>
      <c r="K1438" s="230"/>
      <c r="L1438" s="230"/>
      <c r="M1438" s="230"/>
    </row>
    <row r="1439" spans="1:13" s="231" customFormat="1" x14ac:dyDescent="0.25">
      <c r="A1439" s="1"/>
      <c r="B1439" s="245" t="e">
        <f>IF(AND(F1436&lt;&gt;"", B1434&lt;&gt;""), B1434+1, "")</f>
        <v>#REF!</v>
      </c>
      <c r="C1439" s="409"/>
      <c r="D1439" s="445"/>
      <c r="E1439" s="246" t="s">
        <v>766</v>
      </c>
      <c r="F1439" s="202">
        <v>0</v>
      </c>
      <c r="G1439" s="203">
        <v>0</v>
      </c>
      <c r="H1439" s="203">
        <v>0</v>
      </c>
      <c r="I1439" s="263">
        <v>0</v>
      </c>
      <c r="K1439" s="230"/>
      <c r="L1439" s="230"/>
      <c r="M1439" s="230"/>
    </row>
    <row r="1440" spans="1:13" s="231" customFormat="1" ht="15.75" customHeight="1" thickBot="1" x14ac:dyDescent="0.3">
      <c r="A1440" s="1"/>
      <c r="B1440" s="249" t="e">
        <f>IF(AND(F1436&lt;&gt;"", B1435&lt;&gt;""), B1435+1, "")</f>
        <v>#REF!</v>
      </c>
      <c r="C1440" s="416"/>
      <c r="D1440" s="446"/>
      <c r="E1440" s="250" t="s">
        <v>767</v>
      </c>
      <c r="F1440" s="204">
        <v>0</v>
      </c>
      <c r="G1440" s="205">
        <v>0</v>
      </c>
      <c r="H1440" s="205">
        <v>0</v>
      </c>
      <c r="I1440" s="264">
        <v>0</v>
      </c>
      <c r="K1440" s="230"/>
      <c r="L1440" s="230"/>
      <c r="M1440" s="230"/>
    </row>
    <row r="1441" spans="1:13" s="231" customFormat="1" x14ac:dyDescent="0.25">
      <c r="A1441" s="1"/>
      <c r="B1441" s="241" t="e">
        <f>IF(AND(F1441&lt;&gt;"", B1436&lt;&gt;""), B1436+1, "")</f>
        <v>#REF!</v>
      </c>
      <c r="C1441" s="442">
        <v>46318</v>
      </c>
      <c r="D1441" s="444">
        <f>D1436+1</f>
        <v>46318</v>
      </c>
      <c r="E1441" s="246" t="s">
        <v>394</v>
      </c>
      <c r="F1441" s="202">
        <v>0</v>
      </c>
      <c r="G1441" s="203">
        <v>0</v>
      </c>
      <c r="H1441" s="203">
        <v>0</v>
      </c>
      <c r="I1441" s="263">
        <v>0</v>
      </c>
      <c r="K1441" s="230"/>
      <c r="L1441" s="230"/>
      <c r="M1441" s="230"/>
    </row>
    <row r="1442" spans="1:13" s="231" customFormat="1" x14ac:dyDescent="0.25">
      <c r="A1442" s="1"/>
      <c r="B1442" s="245" t="e">
        <f>IF(AND(F1441&lt;&gt;"", B1437&lt;&gt;""), B1437+1, "")</f>
        <v>#REF!</v>
      </c>
      <c r="C1442" s="409"/>
      <c r="D1442" s="445"/>
      <c r="E1442" s="246" t="s">
        <v>764</v>
      </c>
      <c r="F1442" s="202">
        <v>0</v>
      </c>
      <c r="G1442" s="203">
        <v>0</v>
      </c>
      <c r="H1442" s="203">
        <v>0</v>
      </c>
      <c r="I1442" s="263">
        <v>0</v>
      </c>
      <c r="K1442" s="230"/>
      <c r="L1442" s="230"/>
      <c r="M1442" s="230"/>
    </row>
    <row r="1443" spans="1:13" s="231" customFormat="1" x14ac:dyDescent="0.25">
      <c r="A1443" s="1"/>
      <c r="B1443" s="245" t="e">
        <f>IF(AND(F1441&lt;&gt;"", B1438&lt;&gt;""), B1438+1, "")</f>
        <v>#REF!</v>
      </c>
      <c r="C1443" s="409"/>
      <c r="D1443" s="445"/>
      <c r="E1443" s="246" t="s">
        <v>765</v>
      </c>
      <c r="F1443" s="202">
        <v>0</v>
      </c>
      <c r="G1443" s="203">
        <v>0</v>
      </c>
      <c r="H1443" s="203">
        <v>0</v>
      </c>
      <c r="I1443" s="263">
        <v>0</v>
      </c>
      <c r="K1443" s="230"/>
      <c r="L1443" s="230"/>
      <c r="M1443" s="230"/>
    </row>
    <row r="1444" spans="1:13" s="231" customFormat="1" x14ac:dyDescent="0.25">
      <c r="A1444" s="1"/>
      <c r="B1444" s="245" t="e">
        <f>IF(AND(F1441&lt;&gt;"", B1439&lt;&gt;""), B1439+1, "")</f>
        <v>#REF!</v>
      </c>
      <c r="C1444" s="409"/>
      <c r="D1444" s="445"/>
      <c r="E1444" s="246" t="s">
        <v>766</v>
      </c>
      <c r="F1444" s="202">
        <v>0</v>
      </c>
      <c r="G1444" s="203">
        <v>0</v>
      </c>
      <c r="H1444" s="203">
        <v>0</v>
      </c>
      <c r="I1444" s="263">
        <v>0</v>
      </c>
      <c r="K1444" s="230"/>
      <c r="L1444" s="230"/>
      <c r="M1444" s="230"/>
    </row>
    <row r="1445" spans="1:13" s="231" customFormat="1" ht="15.75" customHeight="1" thickBot="1" x14ac:dyDescent="0.3">
      <c r="A1445" s="1"/>
      <c r="B1445" s="249" t="e">
        <f>IF(AND(F1441&lt;&gt;"", B1440&lt;&gt;""), B1440+1, "")</f>
        <v>#REF!</v>
      </c>
      <c r="C1445" s="416"/>
      <c r="D1445" s="446"/>
      <c r="E1445" s="250" t="s">
        <v>767</v>
      </c>
      <c r="F1445" s="204">
        <v>0</v>
      </c>
      <c r="G1445" s="205">
        <v>0</v>
      </c>
      <c r="H1445" s="205">
        <v>0</v>
      </c>
      <c r="I1445" s="264">
        <v>0</v>
      </c>
      <c r="K1445" s="230"/>
      <c r="L1445" s="230"/>
      <c r="M1445" s="230"/>
    </row>
    <row r="1446" spans="1:13" s="231" customFormat="1" x14ac:dyDescent="0.25">
      <c r="A1446" s="1"/>
      <c r="B1446" s="241" t="e">
        <f>IF(AND(F1446&lt;&gt;"", B1441&lt;&gt;""), B1441+1, "")</f>
        <v>#REF!</v>
      </c>
      <c r="C1446" s="442">
        <v>46319</v>
      </c>
      <c r="D1446" s="444">
        <f>D1441+1</f>
        <v>46319</v>
      </c>
      <c r="E1446" s="246" t="s">
        <v>394</v>
      </c>
      <c r="F1446" s="202">
        <v>0</v>
      </c>
      <c r="G1446" s="203">
        <v>0</v>
      </c>
      <c r="H1446" s="203">
        <v>0</v>
      </c>
      <c r="I1446" s="263">
        <v>0</v>
      </c>
      <c r="K1446" s="230"/>
      <c r="L1446" s="230"/>
      <c r="M1446" s="230"/>
    </row>
    <row r="1447" spans="1:13" s="231" customFormat="1" x14ac:dyDescent="0.25">
      <c r="A1447" s="1"/>
      <c r="B1447" s="245" t="e">
        <f>IF(AND(F1446&lt;&gt;"", B1442&lt;&gt;""), B1442+1, "")</f>
        <v>#REF!</v>
      </c>
      <c r="C1447" s="409"/>
      <c r="D1447" s="445"/>
      <c r="E1447" s="246" t="s">
        <v>764</v>
      </c>
      <c r="F1447" s="202">
        <v>0</v>
      </c>
      <c r="G1447" s="203">
        <v>0</v>
      </c>
      <c r="H1447" s="203">
        <v>0</v>
      </c>
      <c r="I1447" s="263">
        <v>0</v>
      </c>
      <c r="K1447" s="230"/>
      <c r="L1447" s="230"/>
      <c r="M1447" s="230"/>
    </row>
    <row r="1448" spans="1:13" s="231" customFormat="1" x14ac:dyDescent="0.25">
      <c r="A1448" s="1"/>
      <c r="B1448" s="245" t="e">
        <f>IF(AND(F1446&lt;&gt;"", B1443&lt;&gt;""), B1443+1, "")</f>
        <v>#REF!</v>
      </c>
      <c r="C1448" s="409"/>
      <c r="D1448" s="445"/>
      <c r="E1448" s="246" t="s">
        <v>765</v>
      </c>
      <c r="F1448" s="202">
        <v>0</v>
      </c>
      <c r="G1448" s="203">
        <v>0</v>
      </c>
      <c r="H1448" s="203">
        <v>0</v>
      </c>
      <c r="I1448" s="263">
        <v>0</v>
      </c>
      <c r="K1448" s="230"/>
      <c r="L1448" s="230"/>
      <c r="M1448" s="230"/>
    </row>
    <row r="1449" spans="1:13" s="231" customFormat="1" x14ac:dyDescent="0.25">
      <c r="A1449" s="1"/>
      <c r="B1449" s="245" t="e">
        <f>IF(AND(F1446&lt;&gt;"", B1444&lt;&gt;""), B1444+1, "")</f>
        <v>#REF!</v>
      </c>
      <c r="C1449" s="409"/>
      <c r="D1449" s="445"/>
      <c r="E1449" s="246" t="s">
        <v>766</v>
      </c>
      <c r="F1449" s="202">
        <v>0</v>
      </c>
      <c r="G1449" s="203">
        <v>0</v>
      </c>
      <c r="H1449" s="203">
        <v>0</v>
      </c>
      <c r="I1449" s="263">
        <v>0</v>
      </c>
      <c r="K1449" s="230"/>
      <c r="L1449" s="230"/>
      <c r="M1449" s="230"/>
    </row>
    <row r="1450" spans="1:13" s="231" customFormat="1" ht="15.75" customHeight="1" thickBot="1" x14ac:dyDescent="0.3">
      <c r="A1450" s="1"/>
      <c r="B1450" s="249" t="e">
        <f>IF(AND(F1446&lt;&gt;"", B1445&lt;&gt;""), B1445+1, "")</f>
        <v>#REF!</v>
      </c>
      <c r="C1450" s="416"/>
      <c r="D1450" s="446"/>
      <c r="E1450" s="250" t="s">
        <v>767</v>
      </c>
      <c r="F1450" s="204">
        <v>0</v>
      </c>
      <c r="G1450" s="205">
        <v>0</v>
      </c>
      <c r="H1450" s="205">
        <v>0</v>
      </c>
      <c r="I1450" s="264">
        <v>0</v>
      </c>
      <c r="K1450" s="230"/>
      <c r="L1450" s="230"/>
      <c r="M1450" s="230"/>
    </row>
    <row r="1451" spans="1:13" s="231" customFormat="1" x14ac:dyDescent="0.25">
      <c r="A1451" s="1"/>
      <c r="B1451" s="241" t="e">
        <f>IF(AND(F1451&lt;&gt;"", B1446&lt;&gt;""), B1446+1, "")</f>
        <v>#REF!</v>
      </c>
      <c r="C1451" s="442">
        <v>46320</v>
      </c>
      <c r="D1451" s="444">
        <f>D1446+1</f>
        <v>46320</v>
      </c>
      <c r="E1451" s="246" t="s">
        <v>394</v>
      </c>
      <c r="F1451" s="202">
        <v>0</v>
      </c>
      <c r="G1451" s="203">
        <v>0</v>
      </c>
      <c r="H1451" s="203">
        <v>0</v>
      </c>
      <c r="I1451" s="263">
        <v>0</v>
      </c>
      <c r="K1451" s="230"/>
      <c r="L1451" s="230"/>
      <c r="M1451" s="230"/>
    </row>
    <row r="1452" spans="1:13" s="231" customFormat="1" x14ac:dyDescent="0.25">
      <c r="A1452" s="1"/>
      <c r="B1452" s="245" t="e">
        <f>IF(AND(F1451&lt;&gt;"", B1447&lt;&gt;""), B1447+1, "")</f>
        <v>#REF!</v>
      </c>
      <c r="C1452" s="409"/>
      <c r="D1452" s="445"/>
      <c r="E1452" s="246" t="s">
        <v>764</v>
      </c>
      <c r="F1452" s="202">
        <v>0</v>
      </c>
      <c r="G1452" s="203">
        <v>0</v>
      </c>
      <c r="H1452" s="203">
        <v>0</v>
      </c>
      <c r="I1452" s="263">
        <v>0</v>
      </c>
      <c r="K1452" s="230"/>
      <c r="L1452" s="230"/>
      <c r="M1452" s="230"/>
    </row>
    <row r="1453" spans="1:13" s="231" customFormat="1" x14ac:dyDescent="0.25">
      <c r="A1453" s="1"/>
      <c r="B1453" s="245" t="e">
        <f>IF(AND(F1451&lt;&gt;"", B1448&lt;&gt;""), B1448+1, "")</f>
        <v>#REF!</v>
      </c>
      <c r="C1453" s="409"/>
      <c r="D1453" s="445"/>
      <c r="E1453" s="246" t="s">
        <v>765</v>
      </c>
      <c r="F1453" s="202">
        <v>0</v>
      </c>
      <c r="G1453" s="203">
        <v>0</v>
      </c>
      <c r="H1453" s="203">
        <v>0</v>
      </c>
      <c r="I1453" s="263">
        <v>0</v>
      </c>
      <c r="K1453" s="230"/>
      <c r="L1453" s="230"/>
      <c r="M1453" s="230"/>
    </row>
    <row r="1454" spans="1:13" s="231" customFormat="1" x14ac:dyDescent="0.25">
      <c r="A1454" s="1"/>
      <c r="B1454" s="245" t="e">
        <f>IF(AND(F1451&lt;&gt;"", B1449&lt;&gt;""), B1449+1, "")</f>
        <v>#REF!</v>
      </c>
      <c r="C1454" s="409"/>
      <c r="D1454" s="445"/>
      <c r="E1454" s="246" t="s">
        <v>766</v>
      </c>
      <c r="F1454" s="202">
        <v>0</v>
      </c>
      <c r="G1454" s="203">
        <v>0</v>
      </c>
      <c r="H1454" s="203">
        <v>0</v>
      </c>
      <c r="I1454" s="263">
        <v>0</v>
      </c>
      <c r="K1454" s="230"/>
      <c r="L1454" s="230"/>
      <c r="M1454" s="230"/>
    </row>
    <row r="1455" spans="1:13" s="231" customFormat="1" ht="15.75" customHeight="1" thickBot="1" x14ac:dyDescent="0.3">
      <c r="A1455" s="1"/>
      <c r="B1455" s="249" t="e">
        <f>IF(AND(F1451&lt;&gt;"", B1450&lt;&gt;""), B1450+1, "")</f>
        <v>#REF!</v>
      </c>
      <c r="C1455" s="416"/>
      <c r="D1455" s="446"/>
      <c r="E1455" s="250" t="s">
        <v>767</v>
      </c>
      <c r="F1455" s="204">
        <v>0</v>
      </c>
      <c r="G1455" s="205">
        <v>0</v>
      </c>
      <c r="H1455" s="205">
        <v>0</v>
      </c>
      <c r="I1455" s="264">
        <v>0</v>
      </c>
      <c r="K1455" s="230"/>
      <c r="L1455" s="230"/>
      <c r="M1455" s="230"/>
    </row>
    <row r="1456" spans="1:13" s="231" customFormat="1" x14ac:dyDescent="0.25">
      <c r="A1456" s="1"/>
      <c r="B1456" s="241" t="e">
        <f>IF(AND(F1456&lt;&gt;"", B1451&lt;&gt;""), B1451+1, "")</f>
        <v>#REF!</v>
      </c>
      <c r="C1456" s="442">
        <v>46321</v>
      </c>
      <c r="D1456" s="444">
        <f>D1451+1</f>
        <v>46321</v>
      </c>
      <c r="E1456" s="246" t="s">
        <v>394</v>
      </c>
      <c r="F1456" s="202">
        <v>0</v>
      </c>
      <c r="G1456" s="203">
        <v>0</v>
      </c>
      <c r="H1456" s="203">
        <v>0</v>
      </c>
      <c r="I1456" s="263">
        <v>0</v>
      </c>
      <c r="K1456" s="230"/>
      <c r="L1456" s="230"/>
      <c r="M1456" s="230"/>
    </row>
    <row r="1457" spans="1:13" s="231" customFormat="1" x14ac:dyDescent="0.25">
      <c r="A1457" s="1"/>
      <c r="B1457" s="245" t="e">
        <f>IF(AND(F1456&lt;&gt;"", B1452&lt;&gt;""), B1452+1, "")</f>
        <v>#REF!</v>
      </c>
      <c r="C1457" s="409"/>
      <c r="D1457" s="445"/>
      <c r="E1457" s="246" t="s">
        <v>764</v>
      </c>
      <c r="F1457" s="202">
        <v>0</v>
      </c>
      <c r="G1457" s="203">
        <v>0</v>
      </c>
      <c r="H1457" s="203">
        <v>0</v>
      </c>
      <c r="I1457" s="263">
        <v>0</v>
      </c>
      <c r="K1457" s="230"/>
      <c r="L1457" s="230"/>
      <c r="M1457" s="230"/>
    </row>
    <row r="1458" spans="1:13" s="231" customFormat="1" x14ac:dyDescent="0.25">
      <c r="A1458" s="1"/>
      <c r="B1458" s="245" t="e">
        <f>IF(AND(F1456&lt;&gt;"", B1453&lt;&gt;""), B1453+1, "")</f>
        <v>#REF!</v>
      </c>
      <c r="C1458" s="409"/>
      <c r="D1458" s="445"/>
      <c r="E1458" s="246" t="s">
        <v>765</v>
      </c>
      <c r="F1458" s="202">
        <v>0</v>
      </c>
      <c r="G1458" s="203">
        <v>0</v>
      </c>
      <c r="H1458" s="203">
        <v>0</v>
      </c>
      <c r="I1458" s="263">
        <v>0</v>
      </c>
      <c r="K1458" s="230"/>
      <c r="L1458" s="230"/>
      <c r="M1458" s="230"/>
    </row>
    <row r="1459" spans="1:13" s="231" customFormat="1" x14ac:dyDescent="0.25">
      <c r="A1459" s="1"/>
      <c r="B1459" s="245" t="e">
        <f>IF(AND(F1456&lt;&gt;"", B1454&lt;&gt;""), B1454+1, "")</f>
        <v>#REF!</v>
      </c>
      <c r="C1459" s="409"/>
      <c r="D1459" s="445"/>
      <c r="E1459" s="246" t="s">
        <v>766</v>
      </c>
      <c r="F1459" s="202">
        <v>0</v>
      </c>
      <c r="G1459" s="203">
        <v>0</v>
      </c>
      <c r="H1459" s="203">
        <v>0</v>
      </c>
      <c r="I1459" s="263">
        <v>0</v>
      </c>
      <c r="K1459" s="230"/>
      <c r="L1459" s="230"/>
      <c r="M1459" s="230"/>
    </row>
    <row r="1460" spans="1:13" s="231" customFormat="1" ht="15.75" customHeight="1" thickBot="1" x14ac:dyDescent="0.3">
      <c r="A1460" s="1"/>
      <c r="B1460" s="249" t="e">
        <f>IF(AND(F1456&lt;&gt;"", B1455&lt;&gt;""), B1455+1, "")</f>
        <v>#REF!</v>
      </c>
      <c r="C1460" s="416"/>
      <c r="D1460" s="446"/>
      <c r="E1460" s="250" t="s">
        <v>767</v>
      </c>
      <c r="F1460" s="204">
        <v>0</v>
      </c>
      <c r="G1460" s="205">
        <v>0</v>
      </c>
      <c r="H1460" s="205">
        <v>0</v>
      </c>
      <c r="I1460" s="264">
        <v>0</v>
      </c>
      <c r="K1460" s="230"/>
      <c r="L1460" s="230"/>
      <c r="M1460" s="230"/>
    </row>
    <row r="1461" spans="1:13" s="231" customFormat="1" x14ac:dyDescent="0.25">
      <c r="A1461" s="1"/>
      <c r="B1461" s="241" t="e">
        <f>IF(AND(F1461&lt;&gt;"", B1456&lt;&gt;""), B1456+1, "")</f>
        <v>#REF!</v>
      </c>
      <c r="C1461" s="442">
        <v>46322</v>
      </c>
      <c r="D1461" s="444">
        <f>D1456+1</f>
        <v>46322</v>
      </c>
      <c r="E1461" s="246" t="s">
        <v>394</v>
      </c>
      <c r="F1461" s="202">
        <v>0</v>
      </c>
      <c r="G1461" s="203">
        <v>0</v>
      </c>
      <c r="H1461" s="203">
        <v>0</v>
      </c>
      <c r="I1461" s="263">
        <v>0</v>
      </c>
      <c r="K1461" s="230"/>
      <c r="L1461" s="230"/>
      <c r="M1461" s="230"/>
    </row>
    <row r="1462" spans="1:13" s="231" customFormat="1" x14ac:dyDescent="0.25">
      <c r="A1462" s="1"/>
      <c r="B1462" s="245" t="e">
        <f>IF(AND(F1461&lt;&gt;"", B1457&lt;&gt;""), B1457+1, "")</f>
        <v>#REF!</v>
      </c>
      <c r="C1462" s="409"/>
      <c r="D1462" s="445"/>
      <c r="E1462" s="246" t="s">
        <v>764</v>
      </c>
      <c r="F1462" s="202">
        <v>0</v>
      </c>
      <c r="G1462" s="203">
        <v>0</v>
      </c>
      <c r="H1462" s="203">
        <v>0</v>
      </c>
      <c r="I1462" s="263">
        <v>0</v>
      </c>
      <c r="K1462" s="230"/>
      <c r="L1462" s="230"/>
      <c r="M1462" s="230"/>
    </row>
    <row r="1463" spans="1:13" s="231" customFormat="1" x14ac:dyDescent="0.25">
      <c r="A1463" s="1"/>
      <c r="B1463" s="245" t="e">
        <f>IF(AND(F1461&lt;&gt;"", B1458&lt;&gt;""), B1458+1, "")</f>
        <v>#REF!</v>
      </c>
      <c r="C1463" s="409"/>
      <c r="D1463" s="445"/>
      <c r="E1463" s="246" t="s">
        <v>765</v>
      </c>
      <c r="F1463" s="202">
        <v>0</v>
      </c>
      <c r="G1463" s="203">
        <v>0</v>
      </c>
      <c r="H1463" s="203">
        <v>0</v>
      </c>
      <c r="I1463" s="263">
        <v>0</v>
      </c>
      <c r="K1463" s="230"/>
      <c r="L1463" s="230"/>
      <c r="M1463" s="230"/>
    </row>
    <row r="1464" spans="1:13" s="231" customFormat="1" x14ac:dyDescent="0.25">
      <c r="A1464" s="1"/>
      <c r="B1464" s="245" t="e">
        <f>IF(AND(F1461&lt;&gt;"", B1459&lt;&gt;""), B1459+1, "")</f>
        <v>#REF!</v>
      </c>
      <c r="C1464" s="409"/>
      <c r="D1464" s="445"/>
      <c r="E1464" s="246" t="s">
        <v>766</v>
      </c>
      <c r="F1464" s="202">
        <v>0</v>
      </c>
      <c r="G1464" s="203">
        <v>0</v>
      </c>
      <c r="H1464" s="203">
        <v>0</v>
      </c>
      <c r="I1464" s="263">
        <v>0</v>
      </c>
      <c r="K1464" s="230"/>
      <c r="L1464" s="230"/>
      <c r="M1464" s="230"/>
    </row>
    <row r="1465" spans="1:13" s="231" customFormat="1" ht="15.75" customHeight="1" thickBot="1" x14ac:dyDescent="0.3">
      <c r="A1465" s="1"/>
      <c r="B1465" s="249" t="e">
        <f>IF(AND(F1461&lt;&gt;"", B1460&lt;&gt;""), B1460+1, "")</f>
        <v>#REF!</v>
      </c>
      <c r="C1465" s="416"/>
      <c r="D1465" s="446"/>
      <c r="E1465" s="250" t="s">
        <v>767</v>
      </c>
      <c r="F1465" s="204">
        <v>0</v>
      </c>
      <c r="G1465" s="205">
        <v>0</v>
      </c>
      <c r="H1465" s="205">
        <v>0</v>
      </c>
      <c r="I1465" s="264">
        <v>0</v>
      </c>
      <c r="K1465" s="230"/>
      <c r="L1465" s="230"/>
      <c r="M1465" s="230"/>
    </row>
    <row r="1466" spans="1:13" s="231" customFormat="1" x14ac:dyDescent="0.25">
      <c r="A1466" s="1"/>
      <c r="B1466" s="241" t="e">
        <f>IF(AND(F1466&lt;&gt;"", B1461&lt;&gt;""), B1461+1, "")</f>
        <v>#REF!</v>
      </c>
      <c r="C1466" s="442">
        <v>46323</v>
      </c>
      <c r="D1466" s="444">
        <f>D1461+1</f>
        <v>46323</v>
      </c>
      <c r="E1466" s="246" t="s">
        <v>394</v>
      </c>
      <c r="F1466" s="202">
        <v>0</v>
      </c>
      <c r="G1466" s="203">
        <v>0</v>
      </c>
      <c r="H1466" s="203">
        <v>0</v>
      </c>
      <c r="I1466" s="263">
        <v>0</v>
      </c>
      <c r="K1466" s="230"/>
      <c r="L1466" s="230"/>
      <c r="M1466" s="230"/>
    </row>
    <row r="1467" spans="1:13" s="231" customFormat="1" x14ac:dyDescent="0.25">
      <c r="A1467" s="1"/>
      <c r="B1467" s="245" t="e">
        <f>IF(AND(F1466&lt;&gt;"", B1462&lt;&gt;""), B1462+1, "")</f>
        <v>#REF!</v>
      </c>
      <c r="C1467" s="409"/>
      <c r="D1467" s="445"/>
      <c r="E1467" s="246" t="s">
        <v>764</v>
      </c>
      <c r="F1467" s="202">
        <v>0</v>
      </c>
      <c r="G1467" s="203">
        <v>0</v>
      </c>
      <c r="H1467" s="203">
        <v>0</v>
      </c>
      <c r="I1467" s="263">
        <v>0</v>
      </c>
      <c r="K1467" s="230"/>
      <c r="L1467" s="230"/>
      <c r="M1467" s="230"/>
    </row>
    <row r="1468" spans="1:13" s="231" customFormat="1" x14ac:dyDescent="0.25">
      <c r="A1468" s="1"/>
      <c r="B1468" s="245" t="e">
        <f>IF(AND(F1466&lt;&gt;"", B1463&lt;&gt;""), B1463+1, "")</f>
        <v>#REF!</v>
      </c>
      <c r="C1468" s="409"/>
      <c r="D1468" s="445"/>
      <c r="E1468" s="246" t="s">
        <v>765</v>
      </c>
      <c r="F1468" s="202">
        <v>0</v>
      </c>
      <c r="G1468" s="203">
        <v>0</v>
      </c>
      <c r="H1468" s="203">
        <v>0</v>
      </c>
      <c r="I1468" s="263">
        <v>0</v>
      </c>
      <c r="K1468" s="230"/>
      <c r="L1468" s="230"/>
      <c r="M1468" s="230"/>
    </row>
    <row r="1469" spans="1:13" s="231" customFormat="1" x14ac:dyDescent="0.25">
      <c r="A1469" s="1"/>
      <c r="B1469" s="245" t="e">
        <f>IF(AND(F1466&lt;&gt;"", B1464&lt;&gt;""), B1464+1, "")</f>
        <v>#REF!</v>
      </c>
      <c r="C1469" s="409"/>
      <c r="D1469" s="445"/>
      <c r="E1469" s="246" t="s">
        <v>766</v>
      </c>
      <c r="F1469" s="202">
        <v>0</v>
      </c>
      <c r="G1469" s="203">
        <v>0</v>
      </c>
      <c r="H1469" s="203">
        <v>0</v>
      </c>
      <c r="I1469" s="263">
        <v>0</v>
      </c>
      <c r="K1469" s="230"/>
      <c r="L1469" s="230"/>
      <c r="M1469" s="230"/>
    </row>
    <row r="1470" spans="1:13" s="231" customFormat="1" ht="15.75" customHeight="1" thickBot="1" x14ac:dyDescent="0.3">
      <c r="A1470" s="1"/>
      <c r="B1470" s="249" t="e">
        <f>IF(AND(F1466&lt;&gt;"", B1465&lt;&gt;""), B1465+1, "")</f>
        <v>#REF!</v>
      </c>
      <c r="C1470" s="416"/>
      <c r="D1470" s="446"/>
      <c r="E1470" s="250" t="s">
        <v>767</v>
      </c>
      <c r="F1470" s="204">
        <v>0</v>
      </c>
      <c r="G1470" s="205">
        <v>0</v>
      </c>
      <c r="H1470" s="205">
        <v>0</v>
      </c>
      <c r="I1470" s="264">
        <v>0</v>
      </c>
      <c r="K1470" s="230"/>
      <c r="L1470" s="230"/>
      <c r="M1470" s="230"/>
    </row>
    <row r="1471" spans="1:13" s="231" customFormat="1" x14ac:dyDescent="0.25">
      <c r="A1471" s="1"/>
      <c r="B1471" s="241" t="e">
        <f>IF(AND(F1471&lt;&gt;"", B1466&lt;&gt;""), B1466+1, "")</f>
        <v>#REF!</v>
      </c>
      <c r="C1471" s="442">
        <v>46324</v>
      </c>
      <c r="D1471" s="444">
        <f>D1466+1</f>
        <v>46324</v>
      </c>
      <c r="E1471" s="246" t="s">
        <v>394</v>
      </c>
      <c r="F1471" s="202">
        <v>0</v>
      </c>
      <c r="G1471" s="203">
        <v>0</v>
      </c>
      <c r="H1471" s="203">
        <v>0</v>
      </c>
      <c r="I1471" s="263">
        <v>0</v>
      </c>
      <c r="K1471" s="230"/>
      <c r="L1471" s="230"/>
      <c r="M1471" s="230"/>
    </row>
    <row r="1472" spans="1:13" s="231" customFormat="1" x14ac:dyDescent="0.25">
      <c r="A1472" s="1"/>
      <c r="B1472" s="245" t="e">
        <f>IF(AND(F1471&lt;&gt;"", B1467&lt;&gt;""), B1467+1, "")</f>
        <v>#REF!</v>
      </c>
      <c r="C1472" s="409"/>
      <c r="D1472" s="445"/>
      <c r="E1472" s="246" t="s">
        <v>764</v>
      </c>
      <c r="F1472" s="202">
        <v>0</v>
      </c>
      <c r="G1472" s="203">
        <v>0</v>
      </c>
      <c r="H1472" s="203">
        <v>0</v>
      </c>
      <c r="I1472" s="263">
        <v>0</v>
      </c>
      <c r="K1472" s="230"/>
      <c r="L1472" s="230"/>
      <c r="M1472" s="230"/>
    </row>
    <row r="1473" spans="1:13" s="231" customFormat="1" x14ac:dyDescent="0.25">
      <c r="A1473" s="1"/>
      <c r="B1473" s="245" t="e">
        <f>IF(AND(F1471&lt;&gt;"", B1468&lt;&gt;""), B1468+1, "")</f>
        <v>#REF!</v>
      </c>
      <c r="C1473" s="409"/>
      <c r="D1473" s="445"/>
      <c r="E1473" s="246" t="s">
        <v>765</v>
      </c>
      <c r="F1473" s="202">
        <v>0</v>
      </c>
      <c r="G1473" s="203">
        <v>0</v>
      </c>
      <c r="H1473" s="203">
        <v>0</v>
      </c>
      <c r="I1473" s="263">
        <v>0</v>
      </c>
      <c r="K1473" s="230"/>
      <c r="L1473" s="230"/>
      <c r="M1473" s="230"/>
    </row>
    <row r="1474" spans="1:13" s="231" customFormat="1" x14ac:dyDescent="0.25">
      <c r="A1474" s="1"/>
      <c r="B1474" s="245" t="e">
        <f>IF(AND(F1471&lt;&gt;"", B1469&lt;&gt;""), B1469+1, "")</f>
        <v>#REF!</v>
      </c>
      <c r="C1474" s="409"/>
      <c r="D1474" s="445"/>
      <c r="E1474" s="246" t="s">
        <v>766</v>
      </c>
      <c r="F1474" s="202">
        <v>0</v>
      </c>
      <c r="G1474" s="203">
        <v>0</v>
      </c>
      <c r="H1474" s="203">
        <v>0</v>
      </c>
      <c r="I1474" s="263">
        <v>0</v>
      </c>
      <c r="K1474" s="230"/>
      <c r="L1474" s="230"/>
      <c r="M1474" s="230"/>
    </row>
    <row r="1475" spans="1:13" s="231" customFormat="1" ht="15.75" customHeight="1" thickBot="1" x14ac:dyDescent="0.3">
      <c r="A1475" s="1"/>
      <c r="B1475" s="249" t="e">
        <f>IF(AND(F1471&lt;&gt;"", B1470&lt;&gt;""), B1470+1, "")</f>
        <v>#REF!</v>
      </c>
      <c r="C1475" s="416"/>
      <c r="D1475" s="446"/>
      <c r="E1475" s="250" t="s">
        <v>767</v>
      </c>
      <c r="F1475" s="204">
        <v>0</v>
      </c>
      <c r="G1475" s="205">
        <v>0</v>
      </c>
      <c r="H1475" s="205">
        <v>0</v>
      </c>
      <c r="I1475" s="264">
        <v>0</v>
      </c>
      <c r="K1475" s="230"/>
      <c r="L1475" s="230"/>
      <c r="M1475" s="230"/>
    </row>
    <row r="1476" spans="1:13" s="231" customFormat="1" x14ac:dyDescent="0.25">
      <c r="A1476" s="1"/>
      <c r="B1476" s="241" t="e">
        <f>IF(AND(F1476&lt;&gt;"", B1471&lt;&gt;""), B1471+1, "")</f>
        <v>#REF!</v>
      </c>
      <c r="C1476" s="442">
        <v>46325</v>
      </c>
      <c r="D1476" s="444">
        <f>D1471+1</f>
        <v>46325</v>
      </c>
      <c r="E1476" s="246" t="s">
        <v>394</v>
      </c>
      <c r="F1476" s="202">
        <v>0</v>
      </c>
      <c r="G1476" s="203">
        <v>0</v>
      </c>
      <c r="H1476" s="203">
        <v>0</v>
      </c>
      <c r="I1476" s="263">
        <v>0</v>
      </c>
      <c r="K1476" s="230"/>
      <c r="L1476" s="230"/>
      <c r="M1476" s="230"/>
    </row>
    <row r="1477" spans="1:13" s="231" customFormat="1" x14ac:dyDescent="0.25">
      <c r="A1477" s="1"/>
      <c r="B1477" s="245" t="e">
        <f>IF(AND(F1476&lt;&gt;"", B1472&lt;&gt;""), B1472+1, "")</f>
        <v>#REF!</v>
      </c>
      <c r="C1477" s="409"/>
      <c r="D1477" s="445"/>
      <c r="E1477" s="246" t="s">
        <v>764</v>
      </c>
      <c r="F1477" s="202">
        <v>0</v>
      </c>
      <c r="G1477" s="203">
        <v>0</v>
      </c>
      <c r="H1477" s="203">
        <v>0</v>
      </c>
      <c r="I1477" s="263">
        <v>0</v>
      </c>
      <c r="K1477" s="230"/>
      <c r="L1477" s="230"/>
      <c r="M1477" s="230"/>
    </row>
    <row r="1478" spans="1:13" s="231" customFormat="1" x14ac:dyDescent="0.25">
      <c r="A1478" s="1"/>
      <c r="B1478" s="245" t="e">
        <f>IF(AND(F1476&lt;&gt;"", B1473&lt;&gt;""), B1473+1, "")</f>
        <v>#REF!</v>
      </c>
      <c r="C1478" s="409"/>
      <c r="D1478" s="445"/>
      <c r="E1478" s="246" t="s">
        <v>765</v>
      </c>
      <c r="F1478" s="202">
        <v>0</v>
      </c>
      <c r="G1478" s="203">
        <v>0</v>
      </c>
      <c r="H1478" s="203">
        <v>0</v>
      </c>
      <c r="I1478" s="263">
        <v>0</v>
      </c>
      <c r="K1478" s="230"/>
      <c r="L1478" s="230"/>
      <c r="M1478" s="230"/>
    </row>
    <row r="1479" spans="1:13" s="231" customFormat="1" x14ac:dyDescent="0.25">
      <c r="A1479" s="1"/>
      <c r="B1479" s="245" t="e">
        <f>IF(AND(F1476&lt;&gt;"", B1474&lt;&gt;""), B1474+1, "")</f>
        <v>#REF!</v>
      </c>
      <c r="C1479" s="409"/>
      <c r="D1479" s="445"/>
      <c r="E1479" s="246" t="s">
        <v>766</v>
      </c>
      <c r="F1479" s="202">
        <v>0</v>
      </c>
      <c r="G1479" s="203">
        <v>0</v>
      </c>
      <c r="H1479" s="203">
        <v>0</v>
      </c>
      <c r="I1479" s="263">
        <v>0</v>
      </c>
      <c r="K1479" s="230"/>
      <c r="L1479" s="230"/>
      <c r="M1479" s="230"/>
    </row>
    <row r="1480" spans="1:13" s="231" customFormat="1" ht="15.75" customHeight="1" thickBot="1" x14ac:dyDescent="0.3">
      <c r="A1480" s="1"/>
      <c r="B1480" s="249" t="e">
        <f>IF(AND(F1476&lt;&gt;"", B1475&lt;&gt;""), B1475+1, "")</f>
        <v>#REF!</v>
      </c>
      <c r="C1480" s="416"/>
      <c r="D1480" s="446"/>
      <c r="E1480" s="250" t="s">
        <v>767</v>
      </c>
      <c r="F1480" s="204">
        <v>0</v>
      </c>
      <c r="G1480" s="205">
        <v>0</v>
      </c>
      <c r="H1480" s="205">
        <v>0</v>
      </c>
      <c r="I1480" s="264">
        <v>0</v>
      </c>
      <c r="K1480" s="230"/>
      <c r="L1480" s="230"/>
      <c r="M1480" s="230"/>
    </row>
    <row r="1481" spans="1:13" s="231" customFormat="1" x14ac:dyDescent="0.25">
      <c r="A1481" s="1"/>
      <c r="B1481" s="241" t="e">
        <f>IF(AND(F1481&lt;&gt;"", B1476&lt;&gt;""), B1476+1, "")</f>
        <v>#REF!</v>
      </c>
      <c r="C1481" s="442">
        <v>46326</v>
      </c>
      <c r="D1481" s="444">
        <f>D1476+1</f>
        <v>46326</v>
      </c>
      <c r="E1481" s="246" t="s">
        <v>394</v>
      </c>
      <c r="F1481" s="202">
        <v>0</v>
      </c>
      <c r="G1481" s="203">
        <v>0</v>
      </c>
      <c r="H1481" s="203">
        <v>0</v>
      </c>
      <c r="I1481" s="263">
        <v>0</v>
      </c>
      <c r="K1481" s="230"/>
      <c r="L1481" s="230"/>
      <c r="M1481" s="230"/>
    </row>
    <row r="1482" spans="1:13" s="231" customFormat="1" x14ac:dyDescent="0.25">
      <c r="A1482" s="1"/>
      <c r="B1482" s="245" t="e">
        <f>IF(AND(F1481&lt;&gt;"", B1477&lt;&gt;""), B1477+1, "")</f>
        <v>#REF!</v>
      </c>
      <c r="C1482" s="409"/>
      <c r="D1482" s="445"/>
      <c r="E1482" s="246" t="s">
        <v>764</v>
      </c>
      <c r="F1482" s="202">
        <v>0</v>
      </c>
      <c r="G1482" s="203">
        <v>0</v>
      </c>
      <c r="H1482" s="203">
        <v>0</v>
      </c>
      <c r="I1482" s="263">
        <v>0</v>
      </c>
      <c r="K1482" s="230"/>
      <c r="L1482" s="230"/>
      <c r="M1482" s="230"/>
    </row>
    <row r="1483" spans="1:13" s="231" customFormat="1" x14ac:dyDescent="0.25">
      <c r="A1483" s="1"/>
      <c r="B1483" s="245" t="e">
        <f>IF(AND(F1481&lt;&gt;"", B1478&lt;&gt;""), B1478+1, "")</f>
        <v>#REF!</v>
      </c>
      <c r="C1483" s="409"/>
      <c r="D1483" s="445"/>
      <c r="E1483" s="246" t="s">
        <v>765</v>
      </c>
      <c r="F1483" s="202">
        <v>0</v>
      </c>
      <c r="G1483" s="203">
        <v>0</v>
      </c>
      <c r="H1483" s="203">
        <v>0</v>
      </c>
      <c r="I1483" s="263">
        <v>0</v>
      </c>
      <c r="K1483" s="230"/>
      <c r="L1483" s="230"/>
      <c r="M1483" s="230"/>
    </row>
    <row r="1484" spans="1:13" s="231" customFormat="1" x14ac:dyDescent="0.25">
      <c r="A1484" s="1"/>
      <c r="B1484" s="245" t="e">
        <f>IF(AND(F1481&lt;&gt;"", B1479&lt;&gt;""), B1479+1, "")</f>
        <v>#REF!</v>
      </c>
      <c r="C1484" s="409"/>
      <c r="D1484" s="445"/>
      <c r="E1484" s="246" t="s">
        <v>766</v>
      </c>
      <c r="F1484" s="202">
        <v>0</v>
      </c>
      <c r="G1484" s="203">
        <v>0</v>
      </c>
      <c r="H1484" s="203">
        <v>0</v>
      </c>
      <c r="I1484" s="263">
        <v>0</v>
      </c>
      <c r="K1484" s="230"/>
      <c r="L1484" s="230"/>
      <c r="M1484" s="230"/>
    </row>
    <row r="1485" spans="1:13" s="231" customFormat="1" ht="15.75" customHeight="1" thickBot="1" x14ac:dyDescent="0.3">
      <c r="A1485" s="1"/>
      <c r="B1485" s="249" t="e">
        <f>IF(AND(F1481&lt;&gt;"", B1480&lt;&gt;""), B1480+1, "")</f>
        <v>#REF!</v>
      </c>
      <c r="C1485" s="416"/>
      <c r="D1485" s="446"/>
      <c r="E1485" s="250" t="s">
        <v>767</v>
      </c>
      <c r="F1485" s="204">
        <v>0</v>
      </c>
      <c r="G1485" s="205">
        <v>0</v>
      </c>
      <c r="H1485" s="205">
        <v>0</v>
      </c>
      <c r="I1485" s="264">
        <v>0</v>
      </c>
      <c r="K1485" s="230"/>
      <c r="L1485" s="230"/>
      <c r="M1485" s="230"/>
    </row>
    <row r="1486" spans="1:13" s="231" customFormat="1" x14ac:dyDescent="0.25">
      <c r="A1486" s="1"/>
      <c r="B1486" s="241" t="e">
        <f>IF(AND(F1486&lt;&gt;"", B1481&lt;&gt;""), B1481+1, "")</f>
        <v>#REF!</v>
      </c>
      <c r="C1486" s="442">
        <v>46327</v>
      </c>
      <c r="D1486" s="444">
        <f>D1481+1</f>
        <v>46327</v>
      </c>
      <c r="E1486" s="246" t="s">
        <v>394</v>
      </c>
      <c r="F1486" s="202">
        <v>0</v>
      </c>
      <c r="G1486" s="203">
        <v>0</v>
      </c>
      <c r="H1486" s="203">
        <v>0</v>
      </c>
      <c r="I1486" s="263">
        <v>0</v>
      </c>
      <c r="K1486" s="230"/>
      <c r="L1486" s="230"/>
      <c r="M1486" s="230"/>
    </row>
    <row r="1487" spans="1:13" s="231" customFormat="1" x14ac:dyDescent="0.25">
      <c r="A1487" s="1"/>
      <c r="B1487" s="245" t="e">
        <f>IF(AND(F1486&lt;&gt;"", B1482&lt;&gt;""), B1482+1, "")</f>
        <v>#REF!</v>
      </c>
      <c r="C1487" s="409"/>
      <c r="D1487" s="445"/>
      <c r="E1487" s="246" t="s">
        <v>764</v>
      </c>
      <c r="F1487" s="202">
        <v>0</v>
      </c>
      <c r="G1487" s="203">
        <v>0</v>
      </c>
      <c r="H1487" s="203">
        <v>0</v>
      </c>
      <c r="I1487" s="263">
        <v>0</v>
      </c>
      <c r="K1487" s="230"/>
      <c r="L1487" s="230"/>
      <c r="M1487" s="230"/>
    </row>
    <row r="1488" spans="1:13" s="231" customFormat="1" x14ac:dyDescent="0.25">
      <c r="A1488" s="1"/>
      <c r="B1488" s="245" t="e">
        <f>IF(AND(F1486&lt;&gt;"", B1483&lt;&gt;""), B1483+1, "")</f>
        <v>#REF!</v>
      </c>
      <c r="C1488" s="409"/>
      <c r="D1488" s="445"/>
      <c r="E1488" s="246" t="s">
        <v>765</v>
      </c>
      <c r="F1488" s="202">
        <v>0</v>
      </c>
      <c r="G1488" s="203">
        <v>0</v>
      </c>
      <c r="H1488" s="203">
        <v>0</v>
      </c>
      <c r="I1488" s="263">
        <v>0</v>
      </c>
      <c r="K1488" s="230"/>
      <c r="L1488" s="230"/>
      <c r="M1488" s="230"/>
    </row>
    <row r="1489" spans="1:13" s="231" customFormat="1" x14ac:dyDescent="0.25">
      <c r="A1489" s="1"/>
      <c r="B1489" s="245" t="e">
        <f>IF(AND(F1486&lt;&gt;"", B1484&lt;&gt;""), B1484+1, "")</f>
        <v>#REF!</v>
      </c>
      <c r="C1489" s="409"/>
      <c r="D1489" s="445"/>
      <c r="E1489" s="246" t="s">
        <v>766</v>
      </c>
      <c r="F1489" s="202">
        <v>0</v>
      </c>
      <c r="G1489" s="203">
        <v>0</v>
      </c>
      <c r="H1489" s="203">
        <v>0</v>
      </c>
      <c r="I1489" s="263">
        <v>0</v>
      </c>
      <c r="K1489" s="230"/>
      <c r="L1489" s="230"/>
      <c r="M1489" s="230"/>
    </row>
    <row r="1490" spans="1:13" s="231" customFormat="1" ht="15.75" customHeight="1" thickBot="1" x14ac:dyDescent="0.3">
      <c r="A1490" s="1"/>
      <c r="B1490" s="249" t="e">
        <f>IF(AND(F1486&lt;&gt;"", B1485&lt;&gt;""), B1485+1, "")</f>
        <v>#REF!</v>
      </c>
      <c r="C1490" s="416"/>
      <c r="D1490" s="446"/>
      <c r="E1490" s="250" t="s">
        <v>767</v>
      </c>
      <c r="F1490" s="204">
        <v>0</v>
      </c>
      <c r="G1490" s="205">
        <v>0</v>
      </c>
      <c r="H1490" s="205">
        <v>0</v>
      </c>
      <c r="I1490" s="264">
        <v>0</v>
      </c>
      <c r="K1490" s="230"/>
      <c r="L1490" s="230"/>
      <c r="M1490" s="230"/>
    </row>
    <row r="1491" spans="1:13" s="231" customFormat="1" x14ac:dyDescent="0.25">
      <c r="A1491" s="1"/>
      <c r="B1491" s="241" t="e">
        <f>IF(AND(F1491&lt;&gt;"", B1486&lt;&gt;""), B1486+1, "")</f>
        <v>#REF!</v>
      </c>
      <c r="C1491" s="442">
        <v>46328</v>
      </c>
      <c r="D1491" s="444">
        <f>D1486+1</f>
        <v>46328</v>
      </c>
      <c r="E1491" s="246" t="s">
        <v>394</v>
      </c>
      <c r="F1491" s="202">
        <v>0</v>
      </c>
      <c r="G1491" s="203">
        <v>0</v>
      </c>
      <c r="H1491" s="203">
        <v>0</v>
      </c>
      <c r="I1491" s="263">
        <v>0</v>
      </c>
      <c r="K1491" s="230"/>
      <c r="L1491" s="230"/>
      <c r="M1491" s="230"/>
    </row>
    <row r="1492" spans="1:13" s="231" customFormat="1" x14ac:dyDescent="0.25">
      <c r="A1492" s="1"/>
      <c r="B1492" s="245" t="e">
        <f>IF(AND(F1491&lt;&gt;"", B1487&lt;&gt;""), B1487+1, "")</f>
        <v>#REF!</v>
      </c>
      <c r="C1492" s="409"/>
      <c r="D1492" s="445"/>
      <c r="E1492" s="246" t="s">
        <v>764</v>
      </c>
      <c r="F1492" s="202">
        <v>0</v>
      </c>
      <c r="G1492" s="203">
        <v>0</v>
      </c>
      <c r="H1492" s="203">
        <v>0</v>
      </c>
      <c r="I1492" s="263">
        <v>0</v>
      </c>
      <c r="K1492" s="230"/>
      <c r="L1492" s="230"/>
      <c r="M1492" s="230"/>
    </row>
    <row r="1493" spans="1:13" s="231" customFormat="1" x14ac:dyDescent="0.25">
      <c r="A1493" s="1"/>
      <c r="B1493" s="245" t="e">
        <f>IF(AND(F1491&lt;&gt;"", B1488&lt;&gt;""), B1488+1, "")</f>
        <v>#REF!</v>
      </c>
      <c r="C1493" s="409"/>
      <c r="D1493" s="445"/>
      <c r="E1493" s="246" t="s">
        <v>765</v>
      </c>
      <c r="F1493" s="202">
        <v>0</v>
      </c>
      <c r="G1493" s="203">
        <v>0</v>
      </c>
      <c r="H1493" s="203">
        <v>0</v>
      </c>
      <c r="I1493" s="263">
        <v>0</v>
      </c>
      <c r="K1493" s="230"/>
      <c r="L1493" s="230"/>
      <c r="M1493" s="230"/>
    </row>
    <row r="1494" spans="1:13" s="231" customFormat="1" x14ac:dyDescent="0.25">
      <c r="A1494" s="1"/>
      <c r="B1494" s="245" t="e">
        <f>IF(AND(F1491&lt;&gt;"", B1489&lt;&gt;""), B1489+1, "")</f>
        <v>#REF!</v>
      </c>
      <c r="C1494" s="409"/>
      <c r="D1494" s="445"/>
      <c r="E1494" s="246" t="s">
        <v>766</v>
      </c>
      <c r="F1494" s="202">
        <v>0</v>
      </c>
      <c r="G1494" s="203">
        <v>0</v>
      </c>
      <c r="H1494" s="203">
        <v>0</v>
      </c>
      <c r="I1494" s="263">
        <v>0</v>
      </c>
      <c r="K1494" s="230"/>
      <c r="L1494" s="230"/>
      <c r="M1494" s="230"/>
    </row>
    <row r="1495" spans="1:13" s="231" customFormat="1" ht="15.75" customHeight="1" thickBot="1" x14ac:dyDescent="0.3">
      <c r="A1495" s="1"/>
      <c r="B1495" s="249" t="e">
        <f>IF(AND(F1491&lt;&gt;"", B1490&lt;&gt;""), B1490+1, "")</f>
        <v>#REF!</v>
      </c>
      <c r="C1495" s="416"/>
      <c r="D1495" s="446"/>
      <c r="E1495" s="250" t="s">
        <v>767</v>
      </c>
      <c r="F1495" s="204">
        <v>0</v>
      </c>
      <c r="G1495" s="205">
        <v>0</v>
      </c>
      <c r="H1495" s="205">
        <v>0</v>
      </c>
      <c r="I1495" s="264">
        <v>0</v>
      </c>
      <c r="K1495" s="230"/>
      <c r="L1495" s="230"/>
      <c r="M1495" s="230"/>
    </row>
    <row r="1496" spans="1:13" s="231" customFormat="1" x14ac:dyDescent="0.25">
      <c r="A1496" s="1"/>
      <c r="B1496" s="241" t="e">
        <f>IF(AND(F1496&lt;&gt;"", B1491&lt;&gt;""), B1491+1, "")</f>
        <v>#REF!</v>
      </c>
      <c r="C1496" s="442">
        <v>46329</v>
      </c>
      <c r="D1496" s="444">
        <f>D1491+1</f>
        <v>46329</v>
      </c>
      <c r="E1496" s="246" t="s">
        <v>394</v>
      </c>
      <c r="F1496" s="202">
        <v>0</v>
      </c>
      <c r="G1496" s="203">
        <v>0</v>
      </c>
      <c r="H1496" s="203">
        <v>0</v>
      </c>
      <c r="I1496" s="263">
        <v>0</v>
      </c>
      <c r="K1496" s="230"/>
      <c r="L1496" s="230"/>
      <c r="M1496" s="230"/>
    </row>
    <row r="1497" spans="1:13" s="231" customFormat="1" x14ac:dyDescent="0.25">
      <c r="A1497" s="1"/>
      <c r="B1497" s="245" t="e">
        <f>IF(AND(F1496&lt;&gt;"", B1492&lt;&gt;""), B1492+1, "")</f>
        <v>#REF!</v>
      </c>
      <c r="C1497" s="409"/>
      <c r="D1497" s="445"/>
      <c r="E1497" s="246" t="s">
        <v>764</v>
      </c>
      <c r="F1497" s="202">
        <v>0</v>
      </c>
      <c r="G1497" s="203">
        <v>0</v>
      </c>
      <c r="H1497" s="203">
        <v>0</v>
      </c>
      <c r="I1497" s="263">
        <v>0</v>
      </c>
      <c r="K1497" s="230"/>
      <c r="L1497" s="230"/>
      <c r="M1497" s="230"/>
    </row>
    <row r="1498" spans="1:13" s="231" customFormat="1" x14ac:dyDescent="0.25">
      <c r="A1498" s="1"/>
      <c r="B1498" s="245" t="e">
        <f>IF(AND(F1496&lt;&gt;"", B1493&lt;&gt;""), B1493+1, "")</f>
        <v>#REF!</v>
      </c>
      <c r="C1498" s="409"/>
      <c r="D1498" s="445"/>
      <c r="E1498" s="246" t="s">
        <v>765</v>
      </c>
      <c r="F1498" s="202">
        <v>0</v>
      </c>
      <c r="G1498" s="203">
        <v>0</v>
      </c>
      <c r="H1498" s="203">
        <v>0</v>
      </c>
      <c r="I1498" s="263">
        <v>0</v>
      </c>
      <c r="K1498" s="230"/>
      <c r="L1498" s="230"/>
      <c r="M1498" s="230"/>
    </row>
    <row r="1499" spans="1:13" s="231" customFormat="1" x14ac:dyDescent="0.25">
      <c r="A1499" s="1"/>
      <c r="B1499" s="245" t="e">
        <f>IF(AND(F1496&lt;&gt;"", B1494&lt;&gt;""), B1494+1, "")</f>
        <v>#REF!</v>
      </c>
      <c r="C1499" s="409"/>
      <c r="D1499" s="445"/>
      <c r="E1499" s="246" t="s">
        <v>766</v>
      </c>
      <c r="F1499" s="202">
        <v>0</v>
      </c>
      <c r="G1499" s="203">
        <v>0</v>
      </c>
      <c r="H1499" s="203">
        <v>0</v>
      </c>
      <c r="I1499" s="263">
        <v>0</v>
      </c>
      <c r="K1499" s="230"/>
      <c r="L1499" s="230"/>
      <c r="M1499" s="230"/>
    </row>
    <row r="1500" spans="1:13" s="231" customFormat="1" ht="15.75" customHeight="1" thickBot="1" x14ac:dyDescent="0.3">
      <c r="A1500" s="1"/>
      <c r="B1500" s="249" t="e">
        <f>IF(AND(F1496&lt;&gt;"", B1495&lt;&gt;""), B1495+1, "")</f>
        <v>#REF!</v>
      </c>
      <c r="C1500" s="416"/>
      <c r="D1500" s="446"/>
      <c r="E1500" s="250" t="s">
        <v>767</v>
      </c>
      <c r="F1500" s="204">
        <v>0</v>
      </c>
      <c r="G1500" s="205">
        <v>0</v>
      </c>
      <c r="H1500" s="205">
        <v>0</v>
      </c>
      <c r="I1500" s="264">
        <v>0</v>
      </c>
      <c r="K1500" s="230"/>
      <c r="L1500" s="230"/>
      <c r="M1500" s="230"/>
    </row>
    <row r="1501" spans="1:13" s="231" customFormat="1" x14ac:dyDescent="0.25">
      <c r="A1501" s="1"/>
      <c r="B1501" s="241" t="e">
        <f>IF(AND(F1501&lt;&gt;"", B1496&lt;&gt;""), B1496+1, "")</f>
        <v>#REF!</v>
      </c>
      <c r="C1501" s="442">
        <v>46330</v>
      </c>
      <c r="D1501" s="444">
        <f>D1496+1</f>
        <v>46330</v>
      </c>
      <c r="E1501" s="246" t="s">
        <v>394</v>
      </c>
      <c r="F1501" s="202">
        <v>0</v>
      </c>
      <c r="G1501" s="203">
        <v>0</v>
      </c>
      <c r="H1501" s="203">
        <v>0</v>
      </c>
      <c r="I1501" s="263">
        <v>0</v>
      </c>
      <c r="K1501" s="230"/>
      <c r="L1501" s="230"/>
      <c r="M1501" s="230"/>
    </row>
    <row r="1502" spans="1:13" s="231" customFormat="1" x14ac:dyDescent="0.25">
      <c r="A1502" s="1"/>
      <c r="B1502" s="245" t="e">
        <f>IF(AND(F1501&lt;&gt;"", B1497&lt;&gt;""), B1497+1, "")</f>
        <v>#REF!</v>
      </c>
      <c r="C1502" s="409"/>
      <c r="D1502" s="445"/>
      <c r="E1502" s="246" t="s">
        <v>764</v>
      </c>
      <c r="F1502" s="202">
        <v>0</v>
      </c>
      <c r="G1502" s="203">
        <v>0</v>
      </c>
      <c r="H1502" s="203">
        <v>0</v>
      </c>
      <c r="I1502" s="263">
        <v>0</v>
      </c>
      <c r="K1502" s="230"/>
      <c r="L1502" s="230"/>
      <c r="M1502" s="230"/>
    </row>
    <row r="1503" spans="1:13" s="231" customFormat="1" x14ac:dyDescent="0.25">
      <c r="A1503" s="1"/>
      <c r="B1503" s="245" t="e">
        <f>IF(AND(F1501&lt;&gt;"", B1498&lt;&gt;""), B1498+1, "")</f>
        <v>#REF!</v>
      </c>
      <c r="C1503" s="409"/>
      <c r="D1503" s="445"/>
      <c r="E1503" s="246" t="s">
        <v>765</v>
      </c>
      <c r="F1503" s="202">
        <v>0</v>
      </c>
      <c r="G1503" s="203">
        <v>0</v>
      </c>
      <c r="H1503" s="203">
        <v>0</v>
      </c>
      <c r="I1503" s="263">
        <v>0</v>
      </c>
      <c r="K1503" s="230"/>
      <c r="L1503" s="230"/>
      <c r="M1503" s="230"/>
    </row>
    <row r="1504" spans="1:13" s="231" customFormat="1" x14ac:dyDescent="0.25">
      <c r="A1504" s="1"/>
      <c r="B1504" s="245" t="e">
        <f>IF(AND(F1501&lt;&gt;"", B1499&lt;&gt;""), B1499+1, "")</f>
        <v>#REF!</v>
      </c>
      <c r="C1504" s="409"/>
      <c r="D1504" s="445"/>
      <c r="E1504" s="246" t="s">
        <v>766</v>
      </c>
      <c r="F1504" s="202">
        <v>0</v>
      </c>
      <c r="G1504" s="203">
        <v>0</v>
      </c>
      <c r="H1504" s="203">
        <v>0</v>
      </c>
      <c r="I1504" s="263">
        <v>0</v>
      </c>
      <c r="K1504" s="230"/>
      <c r="L1504" s="230"/>
      <c r="M1504" s="230"/>
    </row>
    <row r="1505" spans="1:13" s="231" customFormat="1" ht="15.75" customHeight="1" thickBot="1" x14ac:dyDescent="0.3">
      <c r="A1505" s="1"/>
      <c r="B1505" s="249" t="e">
        <f>IF(AND(F1501&lt;&gt;"", B1500&lt;&gt;""), B1500+1, "")</f>
        <v>#REF!</v>
      </c>
      <c r="C1505" s="416"/>
      <c r="D1505" s="446"/>
      <c r="E1505" s="250" t="s">
        <v>767</v>
      </c>
      <c r="F1505" s="204">
        <v>0</v>
      </c>
      <c r="G1505" s="205">
        <v>0</v>
      </c>
      <c r="H1505" s="205">
        <v>0</v>
      </c>
      <c r="I1505" s="264">
        <v>0</v>
      </c>
      <c r="K1505" s="230"/>
      <c r="L1505" s="230"/>
      <c r="M1505" s="230"/>
    </row>
    <row r="1506" spans="1:13" s="231" customFormat="1" x14ac:dyDescent="0.25">
      <c r="A1506" s="1"/>
      <c r="B1506" s="241" t="e">
        <f>IF(AND(F1506&lt;&gt;"", B1501&lt;&gt;""), B1501+1, "")</f>
        <v>#REF!</v>
      </c>
      <c r="C1506" s="442">
        <v>46331</v>
      </c>
      <c r="D1506" s="444">
        <f>D1501+1</f>
        <v>46331</v>
      </c>
      <c r="E1506" s="246" t="s">
        <v>394</v>
      </c>
      <c r="F1506" s="202">
        <v>0</v>
      </c>
      <c r="G1506" s="203">
        <v>0</v>
      </c>
      <c r="H1506" s="203">
        <v>0</v>
      </c>
      <c r="I1506" s="263">
        <v>0</v>
      </c>
      <c r="K1506" s="230"/>
      <c r="L1506" s="230"/>
      <c r="M1506" s="230"/>
    </row>
    <row r="1507" spans="1:13" s="231" customFormat="1" x14ac:dyDescent="0.25">
      <c r="A1507" s="1"/>
      <c r="B1507" s="245" t="e">
        <f>IF(AND(F1506&lt;&gt;"", B1502&lt;&gt;""), B1502+1, "")</f>
        <v>#REF!</v>
      </c>
      <c r="C1507" s="409"/>
      <c r="D1507" s="445"/>
      <c r="E1507" s="246" t="s">
        <v>764</v>
      </c>
      <c r="F1507" s="202">
        <v>0</v>
      </c>
      <c r="G1507" s="203">
        <v>0</v>
      </c>
      <c r="H1507" s="203">
        <v>0</v>
      </c>
      <c r="I1507" s="263">
        <v>0</v>
      </c>
      <c r="K1507" s="230"/>
      <c r="L1507" s="230"/>
      <c r="M1507" s="230"/>
    </row>
    <row r="1508" spans="1:13" s="231" customFormat="1" x14ac:dyDescent="0.25">
      <c r="A1508" s="1"/>
      <c r="B1508" s="245" t="e">
        <f>IF(AND(F1506&lt;&gt;"", B1503&lt;&gt;""), B1503+1, "")</f>
        <v>#REF!</v>
      </c>
      <c r="C1508" s="409"/>
      <c r="D1508" s="445"/>
      <c r="E1508" s="246" t="s">
        <v>765</v>
      </c>
      <c r="F1508" s="202">
        <v>0</v>
      </c>
      <c r="G1508" s="203">
        <v>0</v>
      </c>
      <c r="H1508" s="203">
        <v>0</v>
      </c>
      <c r="I1508" s="263">
        <v>0</v>
      </c>
      <c r="K1508" s="230"/>
      <c r="L1508" s="230"/>
      <c r="M1508" s="230"/>
    </row>
    <row r="1509" spans="1:13" s="231" customFormat="1" x14ac:dyDescent="0.25">
      <c r="A1509" s="1"/>
      <c r="B1509" s="245" t="e">
        <f>IF(AND(F1506&lt;&gt;"", B1504&lt;&gt;""), B1504+1, "")</f>
        <v>#REF!</v>
      </c>
      <c r="C1509" s="409"/>
      <c r="D1509" s="445"/>
      <c r="E1509" s="246" t="s">
        <v>766</v>
      </c>
      <c r="F1509" s="202">
        <v>0</v>
      </c>
      <c r="G1509" s="203">
        <v>0</v>
      </c>
      <c r="H1509" s="203">
        <v>0</v>
      </c>
      <c r="I1509" s="263">
        <v>0</v>
      </c>
      <c r="K1509" s="230"/>
      <c r="L1509" s="230"/>
      <c r="M1509" s="230"/>
    </row>
    <row r="1510" spans="1:13" s="231" customFormat="1" ht="15.75" customHeight="1" thickBot="1" x14ac:dyDescent="0.3">
      <c r="A1510" s="1"/>
      <c r="B1510" s="249" t="e">
        <f>IF(AND(F1506&lt;&gt;"", B1505&lt;&gt;""), B1505+1, "")</f>
        <v>#REF!</v>
      </c>
      <c r="C1510" s="416"/>
      <c r="D1510" s="446"/>
      <c r="E1510" s="250" t="s">
        <v>767</v>
      </c>
      <c r="F1510" s="204">
        <v>0</v>
      </c>
      <c r="G1510" s="205">
        <v>0</v>
      </c>
      <c r="H1510" s="205">
        <v>0</v>
      </c>
      <c r="I1510" s="264">
        <v>0</v>
      </c>
      <c r="K1510" s="230"/>
      <c r="L1510" s="230"/>
      <c r="M1510" s="230"/>
    </row>
    <row r="1511" spans="1:13" s="231" customFormat="1" x14ac:dyDescent="0.25">
      <c r="A1511" s="1"/>
      <c r="B1511" s="241" t="e">
        <f>IF(AND(F1511&lt;&gt;"", B1506&lt;&gt;""), B1506+1, "")</f>
        <v>#REF!</v>
      </c>
      <c r="C1511" s="442">
        <v>46332</v>
      </c>
      <c r="D1511" s="444">
        <f>D1506+1</f>
        <v>46332</v>
      </c>
      <c r="E1511" s="246" t="s">
        <v>394</v>
      </c>
      <c r="F1511" s="202">
        <v>0</v>
      </c>
      <c r="G1511" s="203">
        <v>0</v>
      </c>
      <c r="H1511" s="203">
        <v>0</v>
      </c>
      <c r="I1511" s="263">
        <v>0</v>
      </c>
      <c r="K1511" s="230"/>
      <c r="L1511" s="230"/>
      <c r="M1511" s="230"/>
    </row>
    <row r="1512" spans="1:13" s="231" customFormat="1" x14ac:dyDescent="0.25">
      <c r="A1512" s="1"/>
      <c r="B1512" s="245" t="e">
        <f>IF(AND(F1511&lt;&gt;"", B1507&lt;&gt;""), B1507+1, "")</f>
        <v>#REF!</v>
      </c>
      <c r="C1512" s="409"/>
      <c r="D1512" s="445"/>
      <c r="E1512" s="246" t="s">
        <v>764</v>
      </c>
      <c r="F1512" s="202">
        <v>0</v>
      </c>
      <c r="G1512" s="203">
        <v>0</v>
      </c>
      <c r="H1512" s="203">
        <v>0</v>
      </c>
      <c r="I1512" s="263">
        <v>0</v>
      </c>
      <c r="K1512" s="230"/>
      <c r="L1512" s="230"/>
      <c r="M1512" s="230"/>
    </row>
    <row r="1513" spans="1:13" s="231" customFormat="1" x14ac:dyDescent="0.25">
      <c r="A1513" s="1"/>
      <c r="B1513" s="245" t="e">
        <f>IF(AND(F1511&lt;&gt;"", B1508&lt;&gt;""), B1508+1, "")</f>
        <v>#REF!</v>
      </c>
      <c r="C1513" s="409"/>
      <c r="D1513" s="445"/>
      <c r="E1513" s="246" t="s">
        <v>765</v>
      </c>
      <c r="F1513" s="202">
        <v>0</v>
      </c>
      <c r="G1513" s="203">
        <v>0</v>
      </c>
      <c r="H1513" s="203">
        <v>0</v>
      </c>
      <c r="I1513" s="263">
        <v>0</v>
      </c>
      <c r="K1513" s="230"/>
      <c r="L1513" s="230"/>
      <c r="M1513" s="230"/>
    </row>
    <row r="1514" spans="1:13" s="231" customFormat="1" x14ac:dyDescent="0.25">
      <c r="A1514" s="1"/>
      <c r="B1514" s="245" t="e">
        <f>IF(AND(F1511&lt;&gt;"", B1509&lt;&gt;""), B1509+1, "")</f>
        <v>#REF!</v>
      </c>
      <c r="C1514" s="409"/>
      <c r="D1514" s="445"/>
      <c r="E1514" s="246" t="s">
        <v>766</v>
      </c>
      <c r="F1514" s="202">
        <v>0</v>
      </c>
      <c r="G1514" s="203">
        <v>0</v>
      </c>
      <c r="H1514" s="203">
        <v>0</v>
      </c>
      <c r="I1514" s="263">
        <v>0</v>
      </c>
      <c r="K1514" s="230"/>
      <c r="L1514" s="230"/>
      <c r="M1514" s="230"/>
    </row>
    <row r="1515" spans="1:13" s="231" customFormat="1" ht="15.75" customHeight="1" thickBot="1" x14ac:dyDescent="0.3">
      <c r="A1515" s="1"/>
      <c r="B1515" s="249" t="e">
        <f>IF(AND(F1511&lt;&gt;"", B1510&lt;&gt;""), B1510+1, "")</f>
        <v>#REF!</v>
      </c>
      <c r="C1515" s="416"/>
      <c r="D1515" s="446"/>
      <c r="E1515" s="250" t="s">
        <v>767</v>
      </c>
      <c r="F1515" s="204">
        <v>0</v>
      </c>
      <c r="G1515" s="205">
        <v>0</v>
      </c>
      <c r="H1515" s="205">
        <v>0</v>
      </c>
      <c r="I1515" s="264">
        <v>0</v>
      </c>
      <c r="K1515" s="230"/>
      <c r="L1515" s="230"/>
      <c r="M1515" s="230"/>
    </row>
    <row r="1516" spans="1:13" s="231" customFormat="1" x14ac:dyDescent="0.25">
      <c r="A1516" s="1"/>
      <c r="B1516" s="241" t="e">
        <f>IF(AND(F1516&lt;&gt;"", B1511&lt;&gt;""), B1511+1, "")</f>
        <v>#REF!</v>
      </c>
      <c r="C1516" s="442">
        <v>46333</v>
      </c>
      <c r="D1516" s="444">
        <f>D1511+1</f>
        <v>46333</v>
      </c>
      <c r="E1516" s="246" t="s">
        <v>394</v>
      </c>
      <c r="F1516" s="202">
        <v>0</v>
      </c>
      <c r="G1516" s="203">
        <v>0</v>
      </c>
      <c r="H1516" s="203">
        <v>0</v>
      </c>
      <c r="I1516" s="263">
        <v>0</v>
      </c>
      <c r="K1516" s="230"/>
      <c r="L1516" s="230"/>
      <c r="M1516" s="230"/>
    </row>
    <row r="1517" spans="1:13" s="231" customFormat="1" x14ac:dyDescent="0.25">
      <c r="A1517" s="1"/>
      <c r="B1517" s="245" t="e">
        <f>IF(AND(F1516&lt;&gt;"", B1512&lt;&gt;""), B1512+1, "")</f>
        <v>#REF!</v>
      </c>
      <c r="C1517" s="409"/>
      <c r="D1517" s="445"/>
      <c r="E1517" s="246" t="s">
        <v>764</v>
      </c>
      <c r="F1517" s="202">
        <v>0</v>
      </c>
      <c r="G1517" s="203">
        <v>0</v>
      </c>
      <c r="H1517" s="203">
        <v>0</v>
      </c>
      <c r="I1517" s="263">
        <v>0</v>
      </c>
      <c r="K1517" s="230"/>
      <c r="L1517" s="230"/>
      <c r="M1517" s="230"/>
    </row>
    <row r="1518" spans="1:13" s="231" customFormat="1" x14ac:dyDescent="0.25">
      <c r="A1518" s="1"/>
      <c r="B1518" s="245" t="e">
        <f>IF(AND(F1516&lt;&gt;"", B1513&lt;&gt;""), B1513+1, "")</f>
        <v>#REF!</v>
      </c>
      <c r="C1518" s="409"/>
      <c r="D1518" s="445"/>
      <c r="E1518" s="246" t="s">
        <v>765</v>
      </c>
      <c r="F1518" s="202">
        <v>0</v>
      </c>
      <c r="G1518" s="203">
        <v>0</v>
      </c>
      <c r="H1518" s="203">
        <v>0</v>
      </c>
      <c r="I1518" s="263">
        <v>0</v>
      </c>
      <c r="K1518" s="230"/>
      <c r="L1518" s="230"/>
      <c r="M1518" s="230"/>
    </row>
    <row r="1519" spans="1:13" s="231" customFormat="1" x14ac:dyDescent="0.25">
      <c r="A1519" s="1"/>
      <c r="B1519" s="245" t="e">
        <f>IF(AND(F1516&lt;&gt;"", B1514&lt;&gt;""), B1514+1, "")</f>
        <v>#REF!</v>
      </c>
      <c r="C1519" s="409"/>
      <c r="D1519" s="445"/>
      <c r="E1519" s="246" t="s">
        <v>766</v>
      </c>
      <c r="F1519" s="202">
        <v>0</v>
      </c>
      <c r="G1519" s="203">
        <v>0</v>
      </c>
      <c r="H1519" s="203">
        <v>0</v>
      </c>
      <c r="I1519" s="263">
        <v>0</v>
      </c>
      <c r="K1519" s="230"/>
      <c r="L1519" s="230"/>
      <c r="M1519" s="230"/>
    </row>
    <row r="1520" spans="1:13" s="231" customFormat="1" ht="15.75" customHeight="1" thickBot="1" x14ac:dyDescent="0.3">
      <c r="A1520" s="1"/>
      <c r="B1520" s="249" t="e">
        <f>IF(AND(F1516&lt;&gt;"", B1515&lt;&gt;""), B1515+1, "")</f>
        <v>#REF!</v>
      </c>
      <c r="C1520" s="416"/>
      <c r="D1520" s="446"/>
      <c r="E1520" s="250" t="s">
        <v>767</v>
      </c>
      <c r="F1520" s="204">
        <v>0</v>
      </c>
      <c r="G1520" s="205">
        <v>0</v>
      </c>
      <c r="H1520" s="205">
        <v>0</v>
      </c>
      <c r="I1520" s="264">
        <v>0</v>
      </c>
      <c r="K1520" s="230"/>
      <c r="L1520" s="230"/>
      <c r="M1520" s="230"/>
    </row>
    <row r="1521" spans="1:13" s="231" customFormat="1" x14ac:dyDescent="0.25">
      <c r="A1521" s="1"/>
      <c r="B1521" s="241" t="e">
        <f>IF(AND(F1521&lt;&gt;"", B1516&lt;&gt;""), B1516+1, "")</f>
        <v>#REF!</v>
      </c>
      <c r="C1521" s="442">
        <v>46334</v>
      </c>
      <c r="D1521" s="444">
        <f>D1516+1</f>
        <v>46334</v>
      </c>
      <c r="E1521" s="246" t="s">
        <v>394</v>
      </c>
      <c r="F1521" s="202">
        <v>0</v>
      </c>
      <c r="G1521" s="203">
        <v>0</v>
      </c>
      <c r="H1521" s="203">
        <v>0</v>
      </c>
      <c r="I1521" s="263">
        <v>0</v>
      </c>
      <c r="K1521" s="230"/>
      <c r="L1521" s="230"/>
      <c r="M1521" s="230"/>
    </row>
    <row r="1522" spans="1:13" s="231" customFormat="1" x14ac:dyDescent="0.25">
      <c r="A1522" s="1"/>
      <c r="B1522" s="245" t="e">
        <f>IF(AND(F1521&lt;&gt;"", B1517&lt;&gt;""), B1517+1, "")</f>
        <v>#REF!</v>
      </c>
      <c r="C1522" s="409"/>
      <c r="D1522" s="445"/>
      <c r="E1522" s="246" t="s">
        <v>764</v>
      </c>
      <c r="F1522" s="202">
        <v>0</v>
      </c>
      <c r="G1522" s="203">
        <v>0</v>
      </c>
      <c r="H1522" s="203">
        <v>0</v>
      </c>
      <c r="I1522" s="263">
        <v>0</v>
      </c>
      <c r="K1522" s="230"/>
      <c r="L1522" s="230"/>
      <c r="M1522" s="230"/>
    </row>
    <row r="1523" spans="1:13" s="231" customFormat="1" x14ac:dyDescent="0.25">
      <c r="A1523" s="1"/>
      <c r="B1523" s="245" t="e">
        <f>IF(AND(F1521&lt;&gt;"", B1518&lt;&gt;""), B1518+1, "")</f>
        <v>#REF!</v>
      </c>
      <c r="C1523" s="409"/>
      <c r="D1523" s="445"/>
      <c r="E1523" s="246" t="s">
        <v>765</v>
      </c>
      <c r="F1523" s="202">
        <v>0</v>
      </c>
      <c r="G1523" s="203">
        <v>0</v>
      </c>
      <c r="H1523" s="203">
        <v>0</v>
      </c>
      <c r="I1523" s="263">
        <v>0</v>
      </c>
      <c r="K1523" s="230"/>
      <c r="L1523" s="230"/>
      <c r="M1523" s="230"/>
    </row>
    <row r="1524" spans="1:13" s="231" customFormat="1" x14ac:dyDescent="0.25">
      <c r="A1524" s="1"/>
      <c r="B1524" s="245" t="e">
        <f>IF(AND(F1521&lt;&gt;"", B1519&lt;&gt;""), B1519+1, "")</f>
        <v>#REF!</v>
      </c>
      <c r="C1524" s="409"/>
      <c r="D1524" s="445"/>
      <c r="E1524" s="246" t="s">
        <v>766</v>
      </c>
      <c r="F1524" s="202">
        <v>0</v>
      </c>
      <c r="G1524" s="203">
        <v>0</v>
      </c>
      <c r="H1524" s="203">
        <v>0</v>
      </c>
      <c r="I1524" s="263">
        <v>0</v>
      </c>
      <c r="K1524" s="230"/>
      <c r="L1524" s="230"/>
      <c r="M1524" s="230"/>
    </row>
    <row r="1525" spans="1:13" s="231" customFormat="1" ht="15.75" customHeight="1" thickBot="1" x14ac:dyDescent="0.3">
      <c r="A1525" s="1"/>
      <c r="B1525" s="249" t="e">
        <f>IF(AND(F1521&lt;&gt;"", B1520&lt;&gt;""), B1520+1, "")</f>
        <v>#REF!</v>
      </c>
      <c r="C1525" s="416"/>
      <c r="D1525" s="446"/>
      <c r="E1525" s="250" t="s">
        <v>767</v>
      </c>
      <c r="F1525" s="204">
        <v>0</v>
      </c>
      <c r="G1525" s="205">
        <v>0</v>
      </c>
      <c r="H1525" s="205">
        <v>0</v>
      </c>
      <c r="I1525" s="264">
        <v>0</v>
      </c>
      <c r="K1525" s="230"/>
      <c r="L1525" s="230"/>
      <c r="M1525" s="230"/>
    </row>
    <row r="1526" spans="1:13" s="231" customFormat="1" x14ac:dyDescent="0.25">
      <c r="A1526" s="1"/>
      <c r="B1526" s="241" t="e">
        <f>IF(AND(F1526&lt;&gt;"", B1521&lt;&gt;""), B1521+1, "")</f>
        <v>#REF!</v>
      </c>
      <c r="C1526" s="442">
        <v>46335</v>
      </c>
      <c r="D1526" s="444">
        <f>D1521+1</f>
        <v>46335</v>
      </c>
      <c r="E1526" s="246" t="s">
        <v>394</v>
      </c>
      <c r="F1526" s="202">
        <v>0</v>
      </c>
      <c r="G1526" s="203">
        <v>0</v>
      </c>
      <c r="H1526" s="203">
        <v>0</v>
      </c>
      <c r="I1526" s="263">
        <v>0</v>
      </c>
      <c r="K1526" s="230"/>
      <c r="L1526" s="230"/>
      <c r="M1526" s="230"/>
    </row>
    <row r="1527" spans="1:13" s="231" customFormat="1" x14ac:dyDescent="0.25">
      <c r="A1527" s="1"/>
      <c r="B1527" s="245" t="e">
        <f>IF(AND(F1526&lt;&gt;"", B1522&lt;&gt;""), B1522+1, "")</f>
        <v>#REF!</v>
      </c>
      <c r="C1527" s="409"/>
      <c r="D1527" s="445"/>
      <c r="E1527" s="246" t="s">
        <v>764</v>
      </c>
      <c r="F1527" s="202">
        <v>0</v>
      </c>
      <c r="G1527" s="203">
        <v>0</v>
      </c>
      <c r="H1527" s="203">
        <v>0</v>
      </c>
      <c r="I1527" s="263">
        <v>0</v>
      </c>
      <c r="K1527" s="230"/>
      <c r="L1527" s="230"/>
      <c r="M1527" s="230"/>
    </row>
    <row r="1528" spans="1:13" s="231" customFormat="1" x14ac:dyDescent="0.25">
      <c r="A1528" s="1"/>
      <c r="B1528" s="245" t="e">
        <f>IF(AND(F1526&lt;&gt;"", B1523&lt;&gt;""), B1523+1, "")</f>
        <v>#REF!</v>
      </c>
      <c r="C1528" s="409"/>
      <c r="D1528" s="445"/>
      <c r="E1528" s="246" t="s">
        <v>765</v>
      </c>
      <c r="F1528" s="202">
        <v>0</v>
      </c>
      <c r="G1528" s="203">
        <v>0</v>
      </c>
      <c r="H1528" s="203">
        <v>0</v>
      </c>
      <c r="I1528" s="263">
        <v>0</v>
      </c>
      <c r="K1528" s="230"/>
      <c r="L1528" s="230"/>
      <c r="M1528" s="230"/>
    </row>
    <row r="1529" spans="1:13" s="231" customFormat="1" x14ac:dyDescent="0.25">
      <c r="A1529" s="1"/>
      <c r="B1529" s="245" t="e">
        <f>IF(AND(F1526&lt;&gt;"", B1524&lt;&gt;""), B1524+1, "")</f>
        <v>#REF!</v>
      </c>
      <c r="C1529" s="409"/>
      <c r="D1529" s="445"/>
      <c r="E1529" s="246" t="s">
        <v>766</v>
      </c>
      <c r="F1529" s="202">
        <v>0</v>
      </c>
      <c r="G1529" s="203">
        <v>0</v>
      </c>
      <c r="H1529" s="203">
        <v>0</v>
      </c>
      <c r="I1529" s="263">
        <v>0</v>
      </c>
      <c r="K1529" s="230"/>
      <c r="L1529" s="230"/>
      <c r="M1529" s="230"/>
    </row>
    <row r="1530" spans="1:13" s="231" customFormat="1" ht="15.75" customHeight="1" thickBot="1" x14ac:dyDescent="0.3">
      <c r="A1530" s="1"/>
      <c r="B1530" s="249" t="e">
        <f>IF(AND(F1526&lt;&gt;"", B1525&lt;&gt;""), B1525+1, "")</f>
        <v>#REF!</v>
      </c>
      <c r="C1530" s="416"/>
      <c r="D1530" s="446"/>
      <c r="E1530" s="250" t="s">
        <v>767</v>
      </c>
      <c r="F1530" s="204">
        <v>0</v>
      </c>
      <c r="G1530" s="205">
        <v>0</v>
      </c>
      <c r="H1530" s="205">
        <v>0</v>
      </c>
      <c r="I1530" s="264">
        <v>0</v>
      </c>
      <c r="K1530" s="230"/>
      <c r="L1530" s="230"/>
      <c r="M1530" s="230"/>
    </row>
    <row r="1531" spans="1:13" s="231" customFormat="1" x14ac:dyDescent="0.25">
      <c r="A1531" s="1"/>
      <c r="B1531" s="241" t="e">
        <f>IF(AND(F1531&lt;&gt;"", B1526&lt;&gt;""), B1526+1, "")</f>
        <v>#REF!</v>
      </c>
      <c r="C1531" s="442">
        <v>46336</v>
      </c>
      <c r="D1531" s="444">
        <f>D1526+1</f>
        <v>46336</v>
      </c>
      <c r="E1531" s="246" t="s">
        <v>394</v>
      </c>
      <c r="F1531" s="202">
        <v>0</v>
      </c>
      <c r="G1531" s="203">
        <v>0</v>
      </c>
      <c r="H1531" s="203">
        <v>0</v>
      </c>
      <c r="I1531" s="263">
        <v>0</v>
      </c>
      <c r="K1531" s="230"/>
      <c r="L1531" s="230"/>
      <c r="M1531" s="230"/>
    </row>
    <row r="1532" spans="1:13" s="231" customFormat="1" x14ac:dyDescent="0.25">
      <c r="A1532" s="1"/>
      <c r="B1532" s="245" t="e">
        <f>IF(AND(F1531&lt;&gt;"", B1527&lt;&gt;""), B1527+1, "")</f>
        <v>#REF!</v>
      </c>
      <c r="C1532" s="409"/>
      <c r="D1532" s="445"/>
      <c r="E1532" s="246" t="s">
        <v>764</v>
      </c>
      <c r="F1532" s="202">
        <v>0</v>
      </c>
      <c r="G1532" s="203">
        <v>0</v>
      </c>
      <c r="H1532" s="203">
        <v>0</v>
      </c>
      <c r="I1532" s="263">
        <v>0</v>
      </c>
      <c r="K1532" s="230"/>
      <c r="L1532" s="230"/>
      <c r="M1532" s="230"/>
    </row>
    <row r="1533" spans="1:13" s="231" customFormat="1" x14ac:dyDescent="0.25">
      <c r="A1533" s="1"/>
      <c r="B1533" s="245" t="e">
        <f>IF(AND(F1531&lt;&gt;"", B1528&lt;&gt;""), B1528+1, "")</f>
        <v>#REF!</v>
      </c>
      <c r="C1533" s="409"/>
      <c r="D1533" s="445"/>
      <c r="E1533" s="246" t="s">
        <v>765</v>
      </c>
      <c r="F1533" s="202">
        <v>0</v>
      </c>
      <c r="G1533" s="203">
        <v>0</v>
      </c>
      <c r="H1533" s="203">
        <v>0</v>
      </c>
      <c r="I1533" s="263">
        <v>0</v>
      </c>
      <c r="K1533" s="230"/>
      <c r="L1533" s="230"/>
      <c r="M1533" s="230"/>
    </row>
    <row r="1534" spans="1:13" s="231" customFormat="1" x14ac:dyDescent="0.25">
      <c r="A1534" s="1"/>
      <c r="B1534" s="245" t="e">
        <f>IF(AND(F1531&lt;&gt;"", B1529&lt;&gt;""), B1529+1, "")</f>
        <v>#REF!</v>
      </c>
      <c r="C1534" s="409"/>
      <c r="D1534" s="445"/>
      <c r="E1534" s="246" t="s">
        <v>766</v>
      </c>
      <c r="F1534" s="202">
        <v>0</v>
      </c>
      <c r="G1534" s="203">
        <v>0</v>
      </c>
      <c r="H1534" s="203">
        <v>0</v>
      </c>
      <c r="I1534" s="263">
        <v>0</v>
      </c>
      <c r="K1534" s="230"/>
      <c r="L1534" s="230"/>
      <c r="M1534" s="230"/>
    </row>
    <row r="1535" spans="1:13" s="231" customFormat="1" ht="15.75" customHeight="1" thickBot="1" x14ac:dyDescent="0.3">
      <c r="A1535" s="1"/>
      <c r="B1535" s="249" t="e">
        <f>IF(AND(F1531&lt;&gt;"", B1530&lt;&gt;""), B1530+1, "")</f>
        <v>#REF!</v>
      </c>
      <c r="C1535" s="416"/>
      <c r="D1535" s="446"/>
      <c r="E1535" s="250" t="s">
        <v>767</v>
      </c>
      <c r="F1535" s="204">
        <v>0</v>
      </c>
      <c r="G1535" s="205">
        <v>0</v>
      </c>
      <c r="H1535" s="205">
        <v>0</v>
      </c>
      <c r="I1535" s="264">
        <v>0</v>
      </c>
      <c r="K1535" s="230"/>
      <c r="L1535" s="230"/>
      <c r="M1535" s="230"/>
    </row>
    <row r="1536" spans="1:13" s="231" customFormat="1" x14ac:dyDescent="0.25">
      <c r="A1536" s="1"/>
      <c r="B1536" s="241" t="e">
        <f>IF(AND(F1536&lt;&gt;"", B1531&lt;&gt;""), B1531+1, "")</f>
        <v>#REF!</v>
      </c>
      <c r="C1536" s="442">
        <v>46337</v>
      </c>
      <c r="D1536" s="444">
        <f>D1531+1</f>
        <v>46337</v>
      </c>
      <c r="E1536" s="246" t="s">
        <v>394</v>
      </c>
      <c r="F1536" s="202">
        <v>0</v>
      </c>
      <c r="G1536" s="203">
        <v>0</v>
      </c>
      <c r="H1536" s="203">
        <v>0</v>
      </c>
      <c r="I1536" s="263">
        <v>0</v>
      </c>
      <c r="K1536" s="230"/>
      <c r="L1536" s="230"/>
      <c r="M1536" s="230"/>
    </row>
    <row r="1537" spans="1:13" s="231" customFormat="1" x14ac:dyDescent="0.25">
      <c r="A1537" s="1"/>
      <c r="B1537" s="245" t="e">
        <f>IF(AND(F1536&lt;&gt;"", B1532&lt;&gt;""), B1532+1, "")</f>
        <v>#REF!</v>
      </c>
      <c r="C1537" s="409"/>
      <c r="D1537" s="445"/>
      <c r="E1537" s="246" t="s">
        <v>764</v>
      </c>
      <c r="F1537" s="202">
        <v>0</v>
      </c>
      <c r="G1537" s="203">
        <v>0</v>
      </c>
      <c r="H1537" s="203">
        <v>0</v>
      </c>
      <c r="I1537" s="263">
        <v>0</v>
      </c>
      <c r="K1537" s="230"/>
      <c r="L1537" s="230"/>
      <c r="M1537" s="230"/>
    </row>
    <row r="1538" spans="1:13" s="231" customFormat="1" x14ac:dyDescent="0.25">
      <c r="A1538" s="1"/>
      <c r="B1538" s="245" t="e">
        <f>IF(AND(F1536&lt;&gt;"", B1533&lt;&gt;""), B1533+1, "")</f>
        <v>#REF!</v>
      </c>
      <c r="C1538" s="409"/>
      <c r="D1538" s="445"/>
      <c r="E1538" s="246" t="s">
        <v>765</v>
      </c>
      <c r="F1538" s="202">
        <v>0</v>
      </c>
      <c r="G1538" s="203">
        <v>0</v>
      </c>
      <c r="H1538" s="203">
        <v>0</v>
      </c>
      <c r="I1538" s="263">
        <v>0</v>
      </c>
      <c r="K1538" s="230"/>
      <c r="L1538" s="230"/>
      <c r="M1538" s="230"/>
    </row>
    <row r="1539" spans="1:13" s="231" customFormat="1" x14ac:dyDescent="0.25">
      <c r="A1539" s="1"/>
      <c r="B1539" s="245" t="e">
        <f>IF(AND(F1536&lt;&gt;"", B1534&lt;&gt;""), B1534+1, "")</f>
        <v>#REF!</v>
      </c>
      <c r="C1539" s="409"/>
      <c r="D1539" s="445"/>
      <c r="E1539" s="246" t="s">
        <v>766</v>
      </c>
      <c r="F1539" s="202">
        <v>0</v>
      </c>
      <c r="G1539" s="203">
        <v>0</v>
      </c>
      <c r="H1539" s="203">
        <v>0</v>
      </c>
      <c r="I1539" s="263">
        <v>0</v>
      </c>
      <c r="K1539" s="230"/>
      <c r="L1539" s="230"/>
      <c r="M1539" s="230"/>
    </row>
    <row r="1540" spans="1:13" s="231" customFormat="1" ht="15.75" customHeight="1" thickBot="1" x14ac:dyDescent="0.3">
      <c r="A1540" s="1"/>
      <c r="B1540" s="249" t="e">
        <f>IF(AND(F1536&lt;&gt;"", B1535&lt;&gt;""), B1535+1, "")</f>
        <v>#REF!</v>
      </c>
      <c r="C1540" s="416"/>
      <c r="D1540" s="446"/>
      <c r="E1540" s="250" t="s">
        <v>767</v>
      </c>
      <c r="F1540" s="204">
        <v>0</v>
      </c>
      <c r="G1540" s="205">
        <v>0</v>
      </c>
      <c r="H1540" s="205">
        <v>0</v>
      </c>
      <c r="I1540" s="264">
        <v>0</v>
      </c>
      <c r="K1540" s="230"/>
      <c r="L1540" s="230"/>
      <c r="M1540" s="230"/>
    </row>
    <row r="1541" spans="1:13" s="231" customFormat="1" x14ac:dyDescent="0.25">
      <c r="A1541" s="1"/>
      <c r="B1541" s="241" t="e">
        <f>IF(AND(F1541&lt;&gt;"", B1536&lt;&gt;""), B1536+1, "")</f>
        <v>#REF!</v>
      </c>
      <c r="C1541" s="442">
        <v>46338</v>
      </c>
      <c r="D1541" s="444">
        <f>D1536+1</f>
        <v>46338</v>
      </c>
      <c r="E1541" s="246" t="s">
        <v>394</v>
      </c>
      <c r="F1541" s="202">
        <v>0</v>
      </c>
      <c r="G1541" s="203">
        <v>0</v>
      </c>
      <c r="H1541" s="203">
        <v>0</v>
      </c>
      <c r="I1541" s="263">
        <v>0</v>
      </c>
      <c r="K1541" s="230"/>
      <c r="L1541" s="230"/>
      <c r="M1541" s="230"/>
    </row>
    <row r="1542" spans="1:13" s="231" customFormat="1" x14ac:dyDescent="0.25">
      <c r="A1542" s="1"/>
      <c r="B1542" s="245" t="e">
        <f>IF(AND(F1541&lt;&gt;"", B1537&lt;&gt;""), B1537+1, "")</f>
        <v>#REF!</v>
      </c>
      <c r="C1542" s="409"/>
      <c r="D1542" s="445"/>
      <c r="E1542" s="246" t="s">
        <v>764</v>
      </c>
      <c r="F1542" s="202">
        <v>0</v>
      </c>
      <c r="G1542" s="203">
        <v>0</v>
      </c>
      <c r="H1542" s="203">
        <v>0</v>
      </c>
      <c r="I1542" s="263">
        <v>0</v>
      </c>
      <c r="K1542" s="230"/>
      <c r="L1542" s="230"/>
      <c r="M1542" s="230"/>
    </row>
    <row r="1543" spans="1:13" s="231" customFormat="1" x14ac:dyDescent="0.25">
      <c r="A1543" s="1"/>
      <c r="B1543" s="245" t="e">
        <f>IF(AND(F1541&lt;&gt;"", B1538&lt;&gt;""), B1538+1, "")</f>
        <v>#REF!</v>
      </c>
      <c r="C1543" s="409"/>
      <c r="D1543" s="445"/>
      <c r="E1543" s="246" t="s">
        <v>765</v>
      </c>
      <c r="F1543" s="202">
        <v>0</v>
      </c>
      <c r="G1543" s="203">
        <v>0</v>
      </c>
      <c r="H1543" s="203">
        <v>0</v>
      </c>
      <c r="I1543" s="263">
        <v>0</v>
      </c>
      <c r="K1543" s="230"/>
      <c r="L1543" s="230"/>
      <c r="M1543" s="230"/>
    </row>
    <row r="1544" spans="1:13" s="231" customFormat="1" x14ac:dyDescent="0.25">
      <c r="A1544" s="1"/>
      <c r="B1544" s="245" t="e">
        <f>IF(AND(F1541&lt;&gt;"", B1539&lt;&gt;""), B1539+1, "")</f>
        <v>#REF!</v>
      </c>
      <c r="C1544" s="409"/>
      <c r="D1544" s="445"/>
      <c r="E1544" s="246" t="s">
        <v>766</v>
      </c>
      <c r="F1544" s="202">
        <v>0</v>
      </c>
      <c r="G1544" s="203">
        <v>0</v>
      </c>
      <c r="H1544" s="203">
        <v>0</v>
      </c>
      <c r="I1544" s="263">
        <v>0</v>
      </c>
      <c r="K1544" s="230"/>
      <c r="L1544" s="230"/>
      <c r="M1544" s="230"/>
    </row>
    <row r="1545" spans="1:13" s="231" customFormat="1" ht="15.75" customHeight="1" thickBot="1" x14ac:dyDescent="0.3">
      <c r="A1545" s="1"/>
      <c r="B1545" s="249" t="e">
        <f>IF(AND(F1541&lt;&gt;"", B1540&lt;&gt;""), B1540+1, "")</f>
        <v>#REF!</v>
      </c>
      <c r="C1545" s="416"/>
      <c r="D1545" s="446"/>
      <c r="E1545" s="250" t="s">
        <v>767</v>
      </c>
      <c r="F1545" s="204">
        <v>0</v>
      </c>
      <c r="G1545" s="205">
        <v>0</v>
      </c>
      <c r="H1545" s="205">
        <v>0</v>
      </c>
      <c r="I1545" s="264">
        <v>0</v>
      </c>
      <c r="K1545" s="230"/>
      <c r="L1545" s="230"/>
      <c r="M1545" s="230"/>
    </row>
    <row r="1546" spans="1:13" s="231" customFormat="1" x14ac:dyDescent="0.25">
      <c r="A1546" s="1"/>
      <c r="B1546" s="241" t="e">
        <f>IF(AND(F1546&lt;&gt;"", B1541&lt;&gt;""), B1541+1, "")</f>
        <v>#REF!</v>
      </c>
      <c r="C1546" s="442">
        <v>46339</v>
      </c>
      <c r="D1546" s="444">
        <f>D1541+1</f>
        <v>46339</v>
      </c>
      <c r="E1546" s="246" t="s">
        <v>394</v>
      </c>
      <c r="F1546" s="202">
        <v>0</v>
      </c>
      <c r="G1546" s="203">
        <v>0</v>
      </c>
      <c r="H1546" s="203">
        <v>0</v>
      </c>
      <c r="I1546" s="263">
        <v>0</v>
      </c>
      <c r="K1546" s="230"/>
      <c r="L1546" s="230"/>
      <c r="M1546" s="230"/>
    </row>
    <row r="1547" spans="1:13" s="231" customFormat="1" x14ac:dyDescent="0.25">
      <c r="A1547" s="1"/>
      <c r="B1547" s="245" t="e">
        <f>IF(AND(F1546&lt;&gt;"", B1542&lt;&gt;""), B1542+1, "")</f>
        <v>#REF!</v>
      </c>
      <c r="C1547" s="409"/>
      <c r="D1547" s="445"/>
      <c r="E1547" s="246" t="s">
        <v>764</v>
      </c>
      <c r="F1547" s="202">
        <v>0</v>
      </c>
      <c r="G1547" s="203">
        <v>0</v>
      </c>
      <c r="H1547" s="203">
        <v>0</v>
      </c>
      <c r="I1547" s="263">
        <v>0</v>
      </c>
      <c r="K1547" s="230"/>
      <c r="L1547" s="230"/>
      <c r="M1547" s="230"/>
    </row>
    <row r="1548" spans="1:13" s="231" customFormat="1" x14ac:dyDescent="0.25">
      <c r="A1548" s="1"/>
      <c r="B1548" s="245" t="e">
        <f>IF(AND(F1546&lt;&gt;"", B1543&lt;&gt;""), B1543+1, "")</f>
        <v>#REF!</v>
      </c>
      <c r="C1548" s="409"/>
      <c r="D1548" s="445"/>
      <c r="E1548" s="246" t="s">
        <v>765</v>
      </c>
      <c r="F1548" s="202">
        <v>0</v>
      </c>
      <c r="G1548" s="203">
        <v>0</v>
      </c>
      <c r="H1548" s="203">
        <v>0</v>
      </c>
      <c r="I1548" s="263">
        <v>0</v>
      </c>
      <c r="K1548" s="230"/>
      <c r="L1548" s="230"/>
      <c r="M1548" s="230"/>
    </row>
    <row r="1549" spans="1:13" s="231" customFormat="1" x14ac:dyDescent="0.25">
      <c r="A1549" s="1"/>
      <c r="B1549" s="245" t="e">
        <f>IF(AND(F1546&lt;&gt;"", B1544&lt;&gt;""), B1544+1, "")</f>
        <v>#REF!</v>
      </c>
      <c r="C1549" s="409"/>
      <c r="D1549" s="445"/>
      <c r="E1549" s="246" t="s">
        <v>766</v>
      </c>
      <c r="F1549" s="202">
        <v>0</v>
      </c>
      <c r="G1549" s="203">
        <v>0</v>
      </c>
      <c r="H1549" s="203">
        <v>0</v>
      </c>
      <c r="I1549" s="263">
        <v>0</v>
      </c>
      <c r="K1549" s="230"/>
      <c r="L1549" s="230"/>
      <c r="M1549" s="230"/>
    </row>
    <row r="1550" spans="1:13" s="231" customFormat="1" ht="15.75" customHeight="1" thickBot="1" x14ac:dyDescent="0.3">
      <c r="A1550" s="1"/>
      <c r="B1550" s="249" t="e">
        <f>IF(AND(F1546&lt;&gt;"", B1545&lt;&gt;""), B1545+1, "")</f>
        <v>#REF!</v>
      </c>
      <c r="C1550" s="416"/>
      <c r="D1550" s="446"/>
      <c r="E1550" s="250" t="s">
        <v>767</v>
      </c>
      <c r="F1550" s="204">
        <v>0</v>
      </c>
      <c r="G1550" s="205">
        <v>0</v>
      </c>
      <c r="H1550" s="205">
        <v>0</v>
      </c>
      <c r="I1550" s="264">
        <v>0</v>
      </c>
      <c r="K1550" s="230"/>
      <c r="L1550" s="230"/>
      <c r="M1550" s="230"/>
    </row>
    <row r="1551" spans="1:13" s="231" customFormat="1" x14ac:dyDescent="0.25">
      <c r="A1551" s="1"/>
      <c r="B1551" s="241" t="e">
        <f>IF(AND(F1551&lt;&gt;"", B1546&lt;&gt;""), B1546+1, "")</f>
        <v>#REF!</v>
      </c>
      <c r="C1551" s="442">
        <v>46340</v>
      </c>
      <c r="D1551" s="444">
        <f>D1546+1</f>
        <v>46340</v>
      </c>
      <c r="E1551" s="246" t="s">
        <v>394</v>
      </c>
      <c r="F1551" s="202">
        <v>0</v>
      </c>
      <c r="G1551" s="203">
        <v>0</v>
      </c>
      <c r="H1551" s="203">
        <v>0</v>
      </c>
      <c r="I1551" s="263">
        <v>0</v>
      </c>
      <c r="K1551" s="230"/>
      <c r="L1551" s="230"/>
      <c r="M1551" s="230"/>
    </row>
    <row r="1552" spans="1:13" s="231" customFormat="1" x14ac:dyDescent="0.25">
      <c r="A1552" s="1"/>
      <c r="B1552" s="245" t="e">
        <f>IF(AND(F1551&lt;&gt;"", B1547&lt;&gt;""), B1547+1, "")</f>
        <v>#REF!</v>
      </c>
      <c r="C1552" s="409"/>
      <c r="D1552" s="445"/>
      <c r="E1552" s="246" t="s">
        <v>764</v>
      </c>
      <c r="F1552" s="202">
        <v>0</v>
      </c>
      <c r="G1552" s="203">
        <v>0</v>
      </c>
      <c r="H1552" s="203">
        <v>0</v>
      </c>
      <c r="I1552" s="263">
        <v>0</v>
      </c>
      <c r="K1552" s="230"/>
      <c r="L1552" s="230"/>
      <c r="M1552" s="230"/>
    </row>
    <row r="1553" spans="1:13" s="231" customFormat="1" x14ac:dyDescent="0.25">
      <c r="A1553" s="1"/>
      <c r="B1553" s="245" t="e">
        <f>IF(AND(F1551&lt;&gt;"", B1548&lt;&gt;""), B1548+1, "")</f>
        <v>#REF!</v>
      </c>
      <c r="C1553" s="409"/>
      <c r="D1553" s="445"/>
      <c r="E1553" s="246" t="s">
        <v>765</v>
      </c>
      <c r="F1553" s="202">
        <v>0</v>
      </c>
      <c r="G1553" s="203">
        <v>0</v>
      </c>
      <c r="H1553" s="203">
        <v>0</v>
      </c>
      <c r="I1553" s="263">
        <v>0</v>
      </c>
      <c r="K1553" s="230"/>
      <c r="L1553" s="230"/>
      <c r="M1553" s="230"/>
    </row>
    <row r="1554" spans="1:13" s="231" customFormat="1" x14ac:dyDescent="0.25">
      <c r="A1554" s="1"/>
      <c r="B1554" s="245" t="e">
        <f>IF(AND(F1551&lt;&gt;"", B1549&lt;&gt;""), B1549+1, "")</f>
        <v>#REF!</v>
      </c>
      <c r="C1554" s="409"/>
      <c r="D1554" s="445"/>
      <c r="E1554" s="246" t="s">
        <v>766</v>
      </c>
      <c r="F1554" s="202">
        <v>0</v>
      </c>
      <c r="G1554" s="203">
        <v>0</v>
      </c>
      <c r="H1554" s="203">
        <v>0</v>
      </c>
      <c r="I1554" s="263">
        <v>0</v>
      </c>
      <c r="K1554" s="230"/>
      <c r="L1554" s="230"/>
      <c r="M1554" s="230"/>
    </row>
    <row r="1555" spans="1:13" s="231" customFormat="1" ht="15.75" customHeight="1" thickBot="1" x14ac:dyDescent="0.3">
      <c r="A1555" s="1"/>
      <c r="B1555" s="249" t="e">
        <f>IF(AND(F1551&lt;&gt;"", B1550&lt;&gt;""), B1550+1, "")</f>
        <v>#REF!</v>
      </c>
      <c r="C1555" s="416"/>
      <c r="D1555" s="446"/>
      <c r="E1555" s="250" t="s">
        <v>767</v>
      </c>
      <c r="F1555" s="204">
        <v>0</v>
      </c>
      <c r="G1555" s="205">
        <v>0</v>
      </c>
      <c r="H1555" s="205">
        <v>0</v>
      </c>
      <c r="I1555" s="264">
        <v>0</v>
      </c>
      <c r="K1555" s="230"/>
      <c r="L1555" s="230"/>
      <c r="M1555" s="230"/>
    </row>
    <row r="1556" spans="1:13" s="231" customFormat="1" x14ac:dyDescent="0.25">
      <c r="A1556" s="1"/>
      <c r="B1556" s="241" t="e">
        <f>IF(AND(F1556&lt;&gt;"", B1551&lt;&gt;""), B1551+1, "")</f>
        <v>#REF!</v>
      </c>
      <c r="C1556" s="442">
        <v>46341</v>
      </c>
      <c r="D1556" s="444">
        <f>D1551+1</f>
        <v>46341</v>
      </c>
      <c r="E1556" s="246" t="s">
        <v>394</v>
      </c>
      <c r="F1556" s="202">
        <v>0</v>
      </c>
      <c r="G1556" s="203">
        <v>0</v>
      </c>
      <c r="H1556" s="203">
        <v>0</v>
      </c>
      <c r="I1556" s="263">
        <v>0</v>
      </c>
      <c r="K1556" s="230"/>
      <c r="L1556" s="230"/>
      <c r="M1556" s="230"/>
    </row>
    <row r="1557" spans="1:13" s="231" customFormat="1" x14ac:dyDescent="0.25">
      <c r="A1557" s="1"/>
      <c r="B1557" s="245" t="e">
        <f>IF(AND(F1556&lt;&gt;"", B1552&lt;&gt;""), B1552+1, "")</f>
        <v>#REF!</v>
      </c>
      <c r="C1557" s="409"/>
      <c r="D1557" s="445"/>
      <c r="E1557" s="246" t="s">
        <v>764</v>
      </c>
      <c r="F1557" s="202">
        <v>0</v>
      </c>
      <c r="G1557" s="203">
        <v>0</v>
      </c>
      <c r="H1557" s="203">
        <v>0</v>
      </c>
      <c r="I1557" s="263">
        <v>0</v>
      </c>
      <c r="K1557" s="230"/>
      <c r="L1557" s="230"/>
      <c r="M1557" s="230"/>
    </row>
    <row r="1558" spans="1:13" s="231" customFormat="1" x14ac:dyDescent="0.25">
      <c r="A1558" s="1"/>
      <c r="B1558" s="245" t="e">
        <f>IF(AND(F1556&lt;&gt;"", B1553&lt;&gt;""), B1553+1, "")</f>
        <v>#REF!</v>
      </c>
      <c r="C1558" s="409"/>
      <c r="D1558" s="445"/>
      <c r="E1558" s="246" t="s">
        <v>765</v>
      </c>
      <c r="F1558" s="202">
        <v>0</v>
      </c>
      <c r="G1558" s="203">
        <v>0</v>
      </c>
      <c r="H1558" s="203">
        <v>0</v>
      </c>
      <c r="I1558" s="263">
        <v>0</v>
      </c>
      <c r="K1558" s="230"/>
      <c r="L1558" s="230"/>
      <c r="M1558" s="230"/>
    </row>
    <row r="1559" spans="1:13" s="231" customFormat="1" x14ac:dyDescent="0.25">
      <c r="A1559" s="1"/>
      <c r="B1559" s="245" t="e">
        <f>IF(AND(F1556&lt;&gt;"", B1554&lt;&gt;""), B1554+1, "")</f>
        <v>#REF!</v>
      </c>
      <c r="C1559" s="409"/>
      <c r="D1559" s="445"/>
      <c r="E1559" s="246" t="s">
        <v>766</v>
      </c>
      <c r="F1559" s="202">
        <v>0</v>
      </c>
      <c r="G1559" s="203">
        <v>0</v>
      </c>
      <c r="H1559" s="203">
        <v>0</v>
      </c>
      <c r="I1559" s="263">
        <v>0</v>
      </c>
      <c r="K1559" s="230"/>
      <c r="L1559" s="230"/>
      <c r="M1559" s="230"/>
    </row>
    <row r="1560" spans="1:13" s="231" customFormat="1" ht="15.75" customHeight="1" thickBot="1" x14ac:dyDescent="0.3">
      <c r="A1560" s="1"/>
      <c r="B1560" s="249" t="e">
        <f>IF(AND(F1556&lt;&gt;"", B1555&lt;&gt;""), B1555+1, "")</f>
        <v>#REF!</v>
      </c>
      <c r="C1560" s="416"/>
      <c r="D1560" s="446"/>
      <c r="E1560" s="250" t="s">
        <v>767</v>
      </c>
      <c r="F1560" s="204">
        <v>0</v>
      </c>
      <c r="G1560" s="205">
        <v>0</v>
      </c>
      <c r="H1560" s="205">
        <v>0</v>
      </c>
      <c r="I1560" s="264">
        <v>0</v>
      </c>
      <c r="K1560" s="230"/>
      <c r="L1560" s="230"/>
      <c r="M1560" s="230"/>
    </row>
    <row r="1561" spans="1:13" s="231" customFormat="1" x14ac:dyDescent="0.25">
      <c r="A1561" s="1"/>
      <c r="B1561" s="241" t="e">
        <f>IF(AND(F1561&lt;&gt;"", B1556&lt;&gt;""), B1556+1, "")</f>
        <v>#REF!</v>
      </c>
      <c r="C1561" s="442">
        <v>46342</v>
      </c>
      <c r="D1561" s="444">
        <f>D1556+1</f>
        <v>46342</v>
      </c>
      <c r="E1561" s="246" t="s">
        <v>394</v>
      </c>
      <c r="F1561" s="202">
        <v>0</v>
      </c>
      <c r="G1561" s="203">
        <v>0</v>
      </c>
      <c r="H1561" s="203">
        <v>0</v>
      </c>
      <c r="I1561" s="263">
        <v>0</v>
      </c>
      <c r="K1561" s="230"/>
      <c r="L1561" s="230"/>
      <c r="M1561" s="230"/>
    </row>
    <row r="1562" spans="1:13" s="231" customFormat="1" x14ac:dyDescent="0.25">
      <c r="A1562" s="1"/>
      <c r="B1562" s="245" t="e">
        <f>IF(AND(F1561&lt;&gt;"", B1557&lt;&gt;""), B1557+1, "")</f>
        <v>#REF!</v>
      </c>
      <c r="C1562" s="409"/>
      <c r="D1562" s="445"/>
      <c r="E1562" s="246" t="s">
        <v>764</v>
      </c>
      <c r="F1562" s="202">
        <v>0</v>
      </c>
      <c r="G1562" s="203">
        <v>0</v>
      </c>
      <c r="H1562" s="203">
        <v>0</v>
      </c>
      <c r="I1562" s="263">
        <v>0</v>
      </c>
      <c r="K1562" s="230"/>
      <c r="L1562" s="230"/>
      <c r="M1562" s="230"/>
    </row>
    <row r="1563" spans="1:13" s="231" customFormat="1" x14ac:dyDescent="0.25">
      <c r="A1563" s="1"/>
      <c r="B1563" s="245" t="e">
        <f>IF(AND(F1561&lt;&gt;"", B1558&lt;&gt;""), B1558+1, "")</f>
        <v>#REF!</v>
      </c>
      <c r="C1563" s="409"/>
      <c r="D1563" s="445"/>
      <c r="E1563" s="246" t="s">
        <v>765</v>
      </c>
      <c r="F1563" s="202">
        <v>0</v>
      </c>
      <c r="G1563" s="203">
        <v>0</v>
      </c>
      <c r="H1563" s="203">
        <v>0</v>
      </c>
      <c r="I1563" s="263">
        <v>0</v>
      </c>
      <c r="K1563" s="230"/>
      <c r="L1563" s="230"/>
      <c r="M1563" s="230"/>
    </row>
    <row r="1564" spans="1:13" s="231" customFormat="1" x14ac:dyDescent="0.25">
      <c r="A1564" s="1"/>
      <c r="B1564" s="245" t="e">
        <f>IF(AND(F1561&lt;&gt;"", B1559&lt;&gt;""), B1559+1, "")</f>
        <v>#REF!</v>
      </c>
      <c r="C1564" s="409"/>
      <c r="D1564" s="445"/>
      <c r="E1564" s="246" t="s">
        <v>766</v>
      </c>
      <c r="F1564" s="202">
        <v>0</v>
      </c>
      <c r="G1564" s="203">
        <v>0</v>
      </c>
      <c r="H1564" s="203">
        <v>0</v>
      </c>
      <c r="I1564" s="263">
        <v>0</v>
      </c>
      <c r="K1564" s="230"/>
      <c r="L1564" s="230"/>
      <c r="M1564" s="230"/>
    </row>
    <row r="1565" spans="1:13" s="231" customFormat="1" ht="15.75" customHeight="1" thickBot="1" x14ac:dyDescent="0.3">
      <c r="A1565" s="1"/>
      <c r="B1565" s="249" t="e">
        <f>IF(AND(F1561&lt;&gt;"", B1560&lt;&gt;""), B1560+1, "")</f>
        <v>#REF!</v>
      </c>
      <c r="C1565" s="416"/>
      <c r="D1565" s="446"/>
      <c r="E1565" s="250" t="s">
        <v>767</v>
      </c>
      <c r="F1565" s="204">
        <v>0</v>
      </c>
      <c r="G1565" s="205">
        <v>0</v>
      </c>
      <c r="H1565" s="205">
        <v>0</v>
      </c>
      <c r="I1565" s="264">
        <v>0</v>
      </c>
      <c r="K1565" s="230"/>
      <c r="L1565" s="230"/>
      <c r="M1565" s="230"/>
    </row>
    <row r="1566" spans="1:13" s="231" customFormat="1" x14ac:dyDescent="0.25">
      <c r="A1566" s="1"/>
      <c r="B1566" s="241" t="e">
        <f>IF(AND(F1566&lt;&gt;"", B1561&lt;&gt;""), B1561+1, "")</f>
        <v>#REF!</v>
      </c>
      <c r="C1566" s="442">
        <v>46343</v>
      </c>
      <c r="D1566" s="444">
        <f>D1561+1</f>
        <v>46343</v>
      </c>
      <c r="E1566" s="246" t="s">
        <v>394</v>
      </c>
      <c r="F1566" s="202">
        <v>0</v>
      </c>
      <c r="G1566" s="203">
        <v>0</v>
      </c>
      <c r="H1566" s="203">
        <v>0</v>
      </c>
      <c r="I1566" s="263">
        <v>0</v>
      </c>
      <c r="K1566" s="230"/>
      <c r="L1566" s="230"/>
      <c r="M1566" s="230"/>
    </row>
    <row r="1567" spans="1:13" s="231" customFormat="1" x14ac:dyDescent="0.25">
      <c r="A1567" s="1"/>
      <c r="B1567" s="245" t="e">
        <f>IF(AND(F1566&lt;&gt;"", B1562&lt;&gt;""), B1562+1, "")</f>
        <v>#REF!</v>
      </c>
      <c r="C1567" s="409"/>
      <c r="D1567" s="445"/>
      <c r="E1567" s="246" t="s">
        <v>764</v>
      </c>
      <c r="F1567" s="202">
        <v>0</v>
      </c>
      <c r="G1567" s="203">
        <v>0</v>
      </c>
      <c r="H1567" s="203">
        <v>0</v>
      </c>
      <c r="I1567" s="263">
        <v>0</v>
      </c>
      <c r="K1567" s="230"/>
      <c r="L1567" s="230"/>
      <c r="M1567" s="230"/>
    </row>
    <row r="1568" spans="1:13" s="231" customFormat="1" x14ac:dyDescent="0.25">
      <c r="A1568" s="1"/>
      <c r="B1568" s="245" t="e">
        <f>IF(AND(F1566&lt;&gt;"", B1563&lt;&gt;""), B1563+1, "")</f>
        <v>#REF!</v>
      </c>
      <c r="C1568" s="409"/>
      <c r="D1568" s="445"/>
      <c r="E1568" s="246" t="s">
        <v>765</v>
      </c>
      <c r="F1568" s="202">
        <v>0</v>
      </c>
      <c r="G1568" s="203">
        <v>0</v>
      </c>
      <c r="H1568" s="203">
        <v>0</v>
      </c>
      <c r="I1568" s="263">
        <v>0</v>
      </c>
      <c r="K1568" s="230"/>
      <c r="L1568" s="230"/>
      <c r="M1568" s="230"/>
    </row>
    <row r="1569" spans="1:13" s="231" customFormat="1" x14ac:dyDescent="0.25">
      <c r="A1569" s="1"/>
      <c r="B1569" s="245" t="e">
        <f>IF(AND(F1566&lt;&gt;"", B1564&lt;&gt;""), B1564+1, "")</f>
        <v>#REF!</v>
      </c>
      <c r="C1569" s="409"/>
      <c r="D1569" s="445"/>
      <c r="E1569" s="246" t="s">
        <v>766</v>
      </c>
      <c r="F1569" s="202">
        <v>0</v>
      </c>
      <c r="G1569" s="203">
        <v>0</v>
      </c>
      <c r="H1569" s="203">
        <v>0</v>
      </c>
      <c r="I1569" s="263">
        <v>0</v>
      </c>
      <c r="K1569" s="230"/>
      <c r="L1569" s="230"/>
      <c r="M1569" s="230"/>
    </row>
    <row r="1570" spans="1:13" s="231" customFormat="1" ht="15.75" customHeight="1" thickBot="1" x14ac:dyDescent="0.3">
      <c r="A1570" s="1"/>
      <c r="B1570" s="249" t="e">
        <f>IF(AND(F1566&lt;&gt;"", B1565&lt;&gt;""), B1565+1, "")</f>
        <v>#REF!</v>
      </c>
      <c r="C1570" s="416"/>
      <c r="D1570" s="446"/>
      <c r="E1570" s="250" t="s">
        <v>767</v>
      </c>
      <c r="F1570" s="204">
        <v>0</v>
      </c>
      <c r="G1570" s="205">
        <v>0</v>
      </c>
      <c r="H1570" s="205">
        <v>0</v>
      </c>
      <c r="I1570" s="264">
        <v>0</v>
      </c>
      <c r="K1570" s="230"/>
      <c r="L1570" s="230"/>
      <c r="M1570" s="230"/>
    </row>
    <row r="1571" spans="1:13" s="231" customFormat="1" x14ac:dyDescent="0.25">
      <c r="A1571" s="1"/>
      <c r="B1571" s="241" t="e">
        <f>IF(AND(F1571&lt;&gt;"", B1566&lt;&gt;""), B1566+1, "")</f>
        <v>#REF!</v>
      </c>
      <c r="C1571" s="442">
        <v>46344</v>
      </c>
      <c r="D1571" s="444">
        <f>D1566+1</f>
        <v>46344</v>
      </c>
      <c r="E1571" s="246" t="s">
        <v>394</v>
      </c>
      <c r="F1571" s="202">
        <v>0</v>
      </c>
      <c r="G1571" s="203">
        <v>0</v>
      </c>
      <c r="H1571" s="203">
        <v>0</v>
      </c>
      <c r="I1571" s="263">
        <v>0</v>
      </c>
      <c r="K1571" s="230"/>
      <c r="L1571" s="230"/>
      <c r="M1571" s="230"/>
    </row>
    <row r="1572" spans="1:13" s="231" customFormat="1" x14ac:dyDescent="0.25">
      <c r="A1572" s="1"/>
      <c r="B1572" s="245" t="e">
        <f>IF(AND(F1571&lt;&gt;"", B1567&lt;&gt;""), B1567+1, "")</f>
        <v>#REF!</v>
      </c>
      <c r="C1572" s="409"/>
      <c r="D1572" s="445"/>
      <c r="E1572" s="246" t="s">
        <v>764</v>
      </c>
      <c r="F1572" s="202">
        <v>0</v>
      </c>
      <c r="G1572" s="203">
        <v>0</v>
      </c>
      <c r="H1572" s="203">
        <v>0</v>
      </c>
      <c r="I1572" s="263">
        <v>0</v>
      </c>
      <c r="K1572" s="230"/>
      <c r="L1572" s="230"/>
      <c r="M1572" s="230"/>
    </row>
    <row r="1573" spans="1:13" s="231" customFormat="1" x14ac:dyDescent="0.25">
      <c r="A1573" s="1"/>
      <c r="B1573" s="245" t="e">
        <f>IF(AND(F1571&lt;&gt;"", B1568&lt;&gt;""), B1568+1, "")</f>
        <v>#REF!</v>
      </c>
      <c r="C1573" s="409"/>
      <c r="D1573" s="445"/>
      <c r="E1573" s="246" t="s">
        <v>765</v>
      </c>
      <c r="F1573" s="202">
        <v>0</v>
      </c>
      <c r="G1573" s="203">
        <v>0</v>
      </c>
      <c r="H1573" s="203">
        <v>0</v>
      </c>
      <c r="I1573" s="263">
        <v>0</v>
      </c>
      <c r="K1573" s="230"/>
      <c r="L1573" s="230"/>
      <c r="M1573" s="230"/>
    </row>
    <row r="1574" spans="1:13" s="231" customFormat="1" x14ac:dyDescent="0.25">
      <c r="A1574" s="1"/>
      <c r="B1574" s="245" t="e">
        <f>IF(AND(F1571&lt;&gt;"", B1569&lt;&gt;""), B1569+1, "")</f>
        <v>#REF!</v>
      </c>
      <c r="C1574" s="409"/>
      <c r="D1574" s="445"/>
      <c r="E1574" s="246" t="s">
        <v>766</v>
      </c>
      <c r="F1574" s="202">
        <v>0</v>
      </c>
      <c r="G1574" s="203">
        <v>0</v>
      </c>
      <c r="H1574" s="203">
        <v>0</v>
      </c>
      <c r="I1574" s="263">
        <v>0</v>
      </c>
      <c r="K1574" s="230"/>
      <c r="L1574" s="230"/>
      <c r="M1574" s="230"/>
    </row>
    <row r="1575" spans="1:13" s="231" customFormat="1" ht="15.75" customHeight="1" thickBot="1" x14ac:dyDescent="0.3">
      <c r="A1575" s="1"/>
      <c r="B1575" s="249" t="e">
        <f>IF(AND(F1571&lt;&gt;"", B1570&lt;&gt;""), B1570+1, "")</f>
        <v>#REF!</v>
      </c>
      <c r="C1575" s="416"/>
      <c r="D1575" s="446"/>
      <c r="E1575" s="250" t="s">
        <v>767</v>
      </c>
      <c r="F1575" s="204">
        <v>0</v>
      </c>
      <c r="G1575" s="205">
        <v>0</v>
      </c>
      <c r="H1575" s="205">
        <v>0</v>
      </c>
      <c r="I1575" s="264">
        <v>0</v>
      </c>
      <c r="K1575" s="230"/>
      <c r="L1575" s="230"/>
      <c r="M1575" s="230"/>
    </row>
    <row r="1576" spans="1:13" s="231" customFormat="1" x14ac:dyDescent="0.25">
      <c r="A1576" s="1"/>
      <c r="B1576" s="241" t="e">
        <f>IF(AND(F1576&lt;&gt;"", B1571&lt;&gt;""), B1571+1, "")</f>
        <v>#REF!</v>
      </c>
      <c r="C1576" s="442">
        <v>46345</v>
      </c>
      <c r="D1576" s="444">
        <f>D1571+1</f>
        <v>46345</v>
      </c>
      <c r="E1576" s="246" t="s">
        <v>394</v>
      </c>
      <c r="F1576" s="202">
        <v>0</v>
      </c>
      <c r="G1576" s="203">
        <v>0</v>
      </c>
      <c r="H1576" s="203">
        <v>0</v>
      </c>
      <c r="I1576" s="263">
        <v>0</v>
      </c>
      <c r="K1576" s="230"/>
      <c r="L1576" s="230"/>
      <c r="M1576" s="230"/>
    </row>
    <row r="1577" spans="1:13" s="231" customFormat="1" x14ac:dyDescent="0.25">
      <c r="A1577" s="1"/>
      <c r="B1577" s="245" t="e">
        <f>IF(AND(F1576&lt;&gt;"", B1572&lt;&gt;""), B1572+1, "")</f>
        <v>#REF!</v>
      </c>
      <c r="C1577" s="409"/>
      <c r="D1577" s="445"/>
      <c r="E1577" s="246" t="s">
        <v>764</v>
      </c>
      <c r="F1577" s="202">
        <v>0</v>
      </c>
      <c r="G1577" s="203">
        <v>0</v>
      </c>
      <c r="H1577" s="203">
        <v>0</v>
      </c>
      <c r="I1577" s="263">
        <v>0</v>
      </c>
      <c r="K1577" s="230"/>
      <c r="L1577" s="230"/>
      <c r="M1577" s="230"/>
    </row>
    <row r="1578" spans="1:13" s="231" customFormat="1" x14ac:dyDescent="0.25">
      <c r="A1578" s="1"/>
      <c r="B1578" s="245" t="e">
        <f>IF(AND(F1576&lt;&gt;"", B1573&lt;&gt;""), B1573+1, "")</f>
        <v>#REF!</v>
      </c>
      <c r="C1578" s="409"/>
      <c r="D1578" s="445"/>
      <c r="E1578" s="246" t="s">
        <v>765</v>
      </c>
      <c r="F1578" s="202">
        <v>0</v>
      </c>
      <c r="G1578" s="203">
        <v>0</v>
      </c>
      <c r="H1578" s="203">
        <v>0</v>
      </c>
      <c r="I1578" s="263">
        <v>0</v>
      </c>
      <c r="K1578" s="230"/>
      <c r="L1578" s="230"/>
      <c r="M1578" s="230"/>
    </row>
    <row r="1579" spans="1:13" s="231" customFormat="1" x14ac:dyDescent="0.25">
      <c r="A1579" s="1"/>
      <c r="B1579" s="245" t="e">
        <f>IF(AND(F1576&lt;&gt;"", B1574&lt;&gt;""), B1574+1, "")</f>
        <v>#REF!</v>
      </c>
      <c r="C1579" s="409"/>
      <c r="D1579" s="445"/>
      <c r="E1579" s="246" t="s">
        <v>766</v>
      </c>
      <c r="F1579" s="202">
        <v>0</v>
      </c>
      <c r="G1579" s="203">
        <v>0</v>
      </c>
      <c r="H1579" s="203">
        <v>0</v>
      </c>
      <c r="I1579" s="263">
        <v>0</v>
      </c>
      <c r="K1579" s="230"/>
      <c r="L1579" s="230"/>
      <c r="M1579" s="230"/>
    </row>
    <row r="1580" spans="1:13" s="231" customFormat="1" ht="15.75" customHeight="1" thickBot="1" x14ac:dyDescent="0.3">
      <c r="A1580" s="1"/>
      <c r="B1580" s="249" t="e">
        <f>IF(AND(F1576&lt;&gt;"", B1575&lt;&gt;""), B1575+1, "")</f>
        <v>#REF!</v>
      </c>
      <c r="C1580" s="416"/>
      <c r="D1580" s="446"/>
      <c r="E1580" s="250" t="s">
        <v>767</v>
      </c>
      <c r="F1580" s="204">
        <v>0</v>
      </c>
      <c r="G1580" s="205">
        <v>0</v>
      </c>
      <c r="H1580" s="205">
        <v>0</v>
      </c>
      <c r="I1580" s="264">
        <v>0</v>
      </c>
      <c r="K1580" s="230"/>
      <c r="L1580" s="230"/>
      <c r="M1580" s="230"/>
    </row>
    <row r="1581" spans="1:13" s="231" customFormat="1" x14ac:dyDescent="0.25">
      <c r="A1581" s="1"/>
      <c r="B1581" s="241" t="e">
        <f>IF(AND(F1581&lt;&gt;"", B1576&lt;&gt;""), B1576+1, "")</f>
        <v>#REF!</v>
      </c>
      <c r="C1581" s="442">
        <v>46346</v>
      </c>
      <c r="D1581" s="444">
        <f>D1576+1</f>
        <v>46346</v>
      </c>
      <c r="E1581" s="246" t="s">
        <v>394</v>
      </c>
      <c r="F1581" s="202">
        <v>0</v>
      </c>
      <c r="G1581" s="203">
        <v>0</v>
      </c>
      <c r="H1581" s="203">
        <v>0</v>
      </c>
      <c r="I1581" s="263">
        <v>0</v>
      </c>
      <c r="K1581" s="230"/>
      <c r="L1581" s="230"/>
      <c r="M1581" s="230"/>
    </row>
    <row r="1582" spans="1:13" s="231" customFormat="1" x14ac:dyDescent="0.25">
      <c r="A1582" s="1"/>
      <c r="B1582" s="245" t="e">
        <f>IF(AND(F1581&lt;&gt;"", B1577&lt;&gt;""), B1577+1, "")</f>
        <v>#REF!</v>
      </c>
      <c r="C1582" s="409"/>
      <c r="D1582" s="445"/>
      <c r="E1582" s="246" t="s">
        <v>764</v>
      </c>
      <c r="F1582" s="202">
        <v>0</v>
      </c>
      <c r="G1582" s="203">
        <v>0</v>
      </c>
      <c r="H1582" s="203">
        <v>0</v>
      </c>
      <c r="I1582" s="263">
        <v>0</v>
      </c>
      <c r="K1582" s="230"/>
      <c r="L1582" s="230"/>
      <c r="M1582" s="230"/>
    </row>
    <row r="1583" spans="1:13" s="231" customFormat="1" x14ac:dyDescent="0.25">
      <c r="A1583" s="1"/>
      <c r="B1583" s="245" t="e">
        <f>IF(AND(F1581&lt;&gt;"", B1578&lt;&gt;""), B1578+1, "")</f>
        <v>#REF!</v>
      </c>
      <c r="C1583" s="409"/>
      <c r="D1583" s="445"/>
      <c r="E1583" s="246" t="s">
        <v>765</v>
      </c>
      <c r="F1583" s="202">
        <v>0</v>
      </c>
      <c r="G1583" s="203">
        <v>0</v>
      </c>
      <c r="H1583" s="203">
        <v>0</v>
      </c>
      <c r="I1583" s="263">
        <v>0</v>
      </c>
      <c r="K1583" s="230"/>
      <c r="L1583" s="230"/>
      <c r="M1583" s="230"/>
    </row>
    <row r="1584" spans="1:13" s="231" customFormat="1" x14ac:dyDescent="0.25">
      <c r="A1584" s="1"/>
      <c r="B1584" s="245" t="e">
        <f>IF(AND(F1581&lt;&gt;"", B1579&lt;&gt;""), B1579+1, "")</f>
        <v>#REF!</v>
      </c>
      <c r="C1584" s="409"/>
      <c r="D1584" s="445"/>
      <c r="E1584" s="246" t="s">
        <v>766</v>
      </c>
      <c r="F1584" s="202">
        <v>0</v>
      </c>
      <c r="G1584" s="203">
        <v>0</v>
      </c>
      <c r="H1584" s="203">
        <v>0</v>
      </c>
      <c r="I1584" s="263">
        <v>0</v>
      </c>
      <c r="K1584" s="230"/>
      <c r="L1584" s="230"/>
      <c r="M1584" s="230"/>
    </row>
    <row r="1585" spans="1:13" s="231" customFormat="1" ht="15.75" customHeight="1" thickBot="1" x14ac:dyDescent="0.3">
      <c r="A1585" s="1"/>
      <c r="B1585" s="249" t="e">
        <f>IF(AND(F1581&lt;&gt;"", B1580&lt;&gt;""), B1580+1, "")</f>
        <v>#REF!</v>
      </c>
      <c r="C1585" s="416"/>
      <c r="D1585" s="446"/>
      <c r="E1585" s="250" t="s">
        <v>767</v>
      </c>
      <c r="F1585" s="204">
        <v>0</v>
      </c>
      <c r="G1585" s="205">
        <v>0</v>
      </c>
      <c r="H1585" s="205">
        <v>0</v>
      </c>
      <c r="I1585" s="264">
        <v>0</v>
      </c>
      <c r="K1585" s="230"/>
      <c r="L1585" s="230"/>
      <c r="M1585" s="230"/>
    </row>
    <row r="1586" spans="1:13" s="231" customFormat="1" x14ac:dyDescent="0.25">
      <c r="A1586" s="1"/>
      <c r="B1586" s="241" t="e">
        <f>IF(AND(F1586&lt;&gt;"", B1581&lt;&gt;""), B1581+1, "")</f>
        <v>#REF!</v>
      </c>
      <c r="C1586" s="442">
        <v>46347</v>
      </c>
      <c r="D1586" s="444">
        <f>D1581+1</f>
        <v>46347</v>
      </c>
      <c r="E1586" s="246" t="s">
        <v>394</v>
      </c>
      <c r="F1586" s="202">
        <v>0</v>
      </c>
      <c r="G1586" s="203">
        <v>0</v>
      </c>
      <c r="H1586" s="203">
        <v>0</v>
      </c>
      <c r="I1586" s="263">
        <v>0</v>
      </c>
      <c r="K1586" s="230"/>
      <c r="L1586" s="230"/>
      <c r="M1586" s="230"/>
    </row>
    <row r="1587" spans="1:13" s="231" customFormat="1" x14ac:dyDescent="0.25">
      <c r="A1587" s="1"/>
      <c r="B1587" s="245" t="e">
        <f>IF(AND(F1586&lt;&gt;"", B1582&lt;&gt;""), B1582+1, "")</f>
        <v>#REF!</v>
      </c>
      <c r="C1587" s="409"/>
      <c r="D1587" s="445"/>
      <c r="E1587" s="246" t="s">
        <v>764</v>
      </c>
      <c r="F1587" s="202">
        <v>0</v>
      </c>
      <c r="G1587" s="203">
        <v>0</v>
      </c>
      <c r="H1587" s="203">
        <v>0</v>
      </c>
      <c r="I1587" s="263">
        <v>0</v>
      </c>
      <c r="K1587" s="230"/>
      <c r="L1587" s="230"/>
      <c r="M1587" s="230"/>
    </row>
    <row r="1588" spans="1:13" s="231" customFormat="1" x14ac:dyDescent="0.25">
      <c r="A1588" s="1"/>
      <c r="B1588" s="245" t="e">
        <f>IF(AND(F1586&lt;&gt;"", B1583&lt;&gt;""), B1583+1, "")</f>
        <v>#REF!</v>
      </c>
      <c r="C1588" s="409"/>
      <c r="D1588" s="445"/>
      <c r="E1588" s="246" t="s">
        <v>765</v>
      </c>
      <c r="F1588" s="202">
        <v>0</v>
      </c>
      <c r="G1588" s="203">
        <v>0</v>
      </c>
      <c r="H1588" s="203">
        <v>0</v>
      </c>
      <c r="I1588" s="263">
        <v>0</v>
      </c>
      <c r="K1588" s="230"/>
      <c r="L1588" s="230"/>
      <c r="M1588" s="230"/>
    </row>
    <row r="1589" spans="1:13" s="231" customFormat="1" x14ac:dyDescent="0.25">
      <c r="A1589" s="1"/>
      <c r="B1589" s="245" t="e">
        <f>IF(AND(F1586&lt;&gt;"", B1584&lt;&gt;""), B1584+1, "")</f>
        <v>#REF!</v>
      </c>
      <c r="C1589" s="409"/>
      <c r="D1589" s="445"/>
      <c r="E1589" s="246" t="s">
        <v>766</v>
      </c>
      <c r="F1589" s="202">
        <v>0</v>
      </c>
      <c r="G1589" s="203">
        <v>0</v>
      </c>
      <c r="H1589" s="203">
        <v>0</v>
      </c>
      <c r="I1589" s="263">
        <v>0</v>
      </c>
      <c r="K1589" s="230"/>
      <c r="L1589" s="230"/>
      <c r="M1589" s="230"/>
    </row>
    <row r="1590" spans="1:13" s="231" customFormat="1" ht="15.75" customHeight="1" thickBot="1" x14ac:dyDescent="0.3">
      <c r="A1590" s="1"/>
      <c r="B1590" s="249" t="e">
        <f>IF(AND(F1586&lt;&gt;"", B1585&lt;&gt;""), B1585+1, "")</f>
        <v>#REF!</v>
      </c>
      <c r="C1590" s="416"/>
      <c r="D1590" s="446"/>
      <c r="E1590" s="250" t="s">
        <v>767</v>
      </c>
      <c r="F1590" s="204">
        <v>0</v>
      </c>
      <c r="G1590" s="205">
        <v>0</v>
      </c>
      <c r="H1590" s="205">
        <v>0</v>
      </c>
      <c r="I1590" s="264">
        <v>0</v>
      </c>
      <c r="K1590" s="230"/>
      <c r="L1590" s="230"/>
      <c r="M1590" s="230"/>
    </row>
    <row r="1591" spans="1:13" s="231" customFormat="1" x14ac:dyDescent="0.25">
      <c r="A1591" s="1"/>
      <c r="B1591" s="241" t="e">
        <f>IF(AND(F1591&lt;&gt;"", B1586&lt;&gt;""), B1586+1, "")</f>
        <v>#REF!</v>
      </c>
      <c r="C1591" s="442">
        <v>46348</v>
      </c>
      <c r="D1591" s="444">
        <f>D1586+1</f>
        <v>46348</v>
      </c>
      <c r="E1591" s="246" t="s">
        <v>394</v>
      </c>
      <c r="F1591" s="202">
        <v>0</v>
      </c>
      <c r="G1591" s="203">
        <v>0</v>
      </c>
      <c r="H1591" s="203">
        <v>0</v>
      </c>
      <c r="I1591" s="263">
        <v>0</v>
      </c>
      <c r="K1591" s="230"/>
      <c r="L1591" s="230"/>
      <c r="M1591" s="230"/>
    </row>
    <row r="1592" spans="1:13" s="231" customFormat="1" x14ac:dyDescent="0.25">
      <c r="A1592" s="1"/>
      <c r="B1592" s="245" t="e">
        <f>IF(AND(F1591&lt;&gt;"", B1587&lt;&gt;""), B1587+1, "")</f>
        <v>#REF!</v>
      </c>
      <c r="C1592" s="409"/>
      <c r="D1592" s="445"/>
      <c r="E1592" s="246" t="s">
        <v>764</v>
      </c>
      <c r="F1592" s="202">
        <v>0</v>
      </c>
      <c r="G1592" s="203">
        <v>0</v>
      </c>
      <c r="H1592" s="203">
        <v>0</v>
      </c>
      <c r="I1592" s="263">
        <v>0</v>
      </c>
      <c r="K1592" s="230"/>
      <c r="L1592" s="230"/>
      <c r="M1592" s="230"/>
    </row>
    <row r="1593" spans="1:13" s="231" customFormat="1" x14ac:dyDescent="0.25">
      <c r="A1593" s="1"/>
      <c r="B1593" s="245" t="e">
        <f>IF(AND(F1591&lt;&gt;"", B1588&lt;&gt;""), B1588+1, "")</f>
        <v>#REF!</v>
      </c>
      <c r="C1593" s="409"/>
      <c r="D1593" s="445"/>
      <c r="E1593" s="246" t="s">
        <v>765</v>
      </c>
      <c r="F1593" s="202">
        <v>0</v>
      </c>
      <c r="G1593" s="203">
        <v>0</v>
      </c>
      <c r="H1593" s="203">
        <v>0</v>
      </c>
      <c r="I1593" s="263">
        <v>0</v>
      </c>
      <c r="K1593" s="230"/>
      <c r="L1593" s="230"/>
      <c r="M1593" s="230"/>
    </row>
    <row r="1594" spans="1:13" s="231" customFormat="1" x14ac:dyDescent="0.25">
      <c r="A1594" s="1"/>
      <c r="B1594" s="245" t="e">
        <f>IF(AND(F1591&lt;&gt;"", B1589&lt;&gt;""), B1589+1, "")</f>
        <v>#REF!</v>
      </c>
      <c r="C1594" s="409"/>
      <c r="D1594" s="445"/>
      <c r="E1594" s="246" t="s">
        <v>766</v>
      </c>
      <c r="F1594" s="202">
        <v>0</v>
      </c>
      <c r="G1594" s="203">
        <v>0</v>
      </c>
      <c r="H1594" s="203">
        <v>0</v>
      </c>
      <c r="I1594" s="263">
        <v>0</v>
      </c>
      <c r="K1594" s="230"/>
      <c r="L1594" s="230"/>
      <c r="M1594" s="230"/>
    </row>
    <row r="1595" spans="1:13" s="231" customFormat="1" ht="15.75" customHeight="1" thickBot="1" x14ac:dyDescent="0.3">
      <c r="A1595" s="1"/>
      <c r="B1595" s="249" t="e">
        <f>IF(AND(F1591&lt;&gt;"", B1590&lt;&gt;""), B1590+1, "")</f>
        <v>#REF!</v>
      </c>
      <c r="C1595" s="416"/>
      <c r="D1595" s="446"/>
      <c r="E1595" s="250" t="s">
        <v>767</v>
      </c>
      <c r="F1595" s="204">
        <v>0</v>
      </c>
      <c r="G1595" s="205">
        <v>0</v>
      </c>
      <c r="H1595" s="205">
        <v>0</v>
      </c>
      <c r="I1595" s="264">
        <v>0</v>
      </c>
      <c r="K1595" s="230"/>
      <c r="L1595" s="230"/>
      <c r="M1595" s="230"/>
    </row>
    <row r="1596" spans="1:13" s="231" customFormat="1" x14ac:dyDescent="0.25">
      <c r="A1596" s="1"/>
      <c r="B1596" s="241" t="e">
        <f>IF(AND(F1596&lt;&gt;"", B1591&lt;&gt;""), B1591+1, "")</f>
        <v>#REF!</v>
      </c>
      <c r="C1596" s="442">
        <v>46349</v>
      </c>
      <c r="D1596" s="444">
        <f>D1591+1</f>
        <v>46349</v>
      </c>
      <c r="E1596" s="246" t="s">
        <v>394</v>
      </c>
      <c r="F1596" s="202">
        <v>0</v>
      </c>
      <c r="G1596" s="203">
        <v>0</v>
      </c>
      <c r="H1596" s="203">
        <v>0</v>
      </c>
      <c r="I1596" s="263">
        <v>0</v>
      </c>
      <c r="K1596" s="230"/>
      <c r="L1596" s="230"/>
      <c r="M1596" s="230"/>
    </row>
    <row r="1597" spans="1:13" s="231" customFormat="1" x14ac:dyDescent="0.25">
      <c r="A1597" s="1"/>
      <c r="B1597" s="245" t="e">
        <f>IF(AND(F1596&lt;&gt;"", B1592&lt;&gt;""), B1592+1, "")</f>
        <v>#REF!</v>
      </c>
      <c r="C1597" s="409"/>
      <c r="D1597" s="445"/>
      <c r="E1597" s="246" t="s">
        <v>764</v>
      </c>
      <c r="F1597" s="202">
        <v>0</v>
      </c>
      <c r="G1597" s="203">
        <v>0</v>
      </c>
      <c r="H1597" s="203">
        <v>0</v>
      </c>
      <c r="I1597" s="263">
        <v>0</v>
      </c>
      <c r="K1597" s="230"/>
      <c r="L1597" s="230"/>
      <c r="M1597" s="230"/>
    </row>
    <row r="1598" spans="1:13" s="231" customFormat="1" x14ac:dyDescent="0.25">
      <c r="A1598" s="1"/>
      <c r="B1598" s="245" t="e">
        <f>IF(AND(F1596&lt;&gt;"", B1593&lt;&gt;""), B1593+1, "")</f>
        <v>#REF!</v>
      </c>
      <c r="C1598" s="409"/>
      <c r="D1598" s="445"/>
      <c r="E1598" s="246" t="s">
        <v>765</v>
      </c>
      <c r="F1598" s="202">
        <v>0</v>
      </c>
      <c r="G1598" s="203">
        <v>0</v>
      </c>
      <c r="H1598" s="203">
        <v>0</v>
      </c>
      <c r="I1598" s="263">
        <v>0</v>
      </c>
      <c r="K1598" s="230"/>
      <c r="L1598" s="230"/>
      <c r="M1598" s="230"/>
    </row>
    <row r="1599" spans="1:13" s="231" customFormat="1" x14ac:dyDescent="0.25">
      <c r="A1599" s="1"/>
      <c r="B1599" s="245" t="e">
        <f>IF(AND(F1596&lt;&gt;"", B1594&lt;&gt;""), B1594+1, "")</f>
        <v>#REF!</v>
      </c>
      <c r="C1599" s="409"/>
      <c r="D1599" s="445"/>
      <c r="E1599" s="246" t="s">
        <v>766</v>
      </c>
      <c r="F1599" s="202">
        <v>0</v>
      </c>
      <c r="G1599" s="203">
        <v>0</v>
      </c>
      <c r="H1599" s="203">
        <v>0</v>
      </c>
      <c r="I1599" s="263">
        <v>0</v>
      </c>
      <c r="K1599" s="230"/>
      <c r="L1599" s="230"/>
      <c r="M1599" s="230"/>
    </row>
    <row r="1600" spans="1:13" s="231" customFormat="1" ht="15.75" customHeight="1" thickBot="1" x14ac:dyDescent="0.3">
      <c r="A1600" s="1"/>
      <c r="B1600" s="249" t="e">
        <f>IF(AND(F1596&lt;&gt;"", B1595&lt;&gt;""), B1595+1, "")</f>
        <v>#REF!</v>
      </c>
      <c r="C1600" s="416"/>
      <c r="D1600" s="446"/>
      <c r="E1600" s="250" t="s">
        <v>767</v>
      </c>
      <c r="F1600" s="204">
        <v>0</v>
      </c>
      <c r="G1600" s="205">
        <v>0</v>
      </c>
      <c r="H1600" s="205">
        <v>0</v>
      </c>
      <c r="I1600" s="264">
        <v>0</v>
      </c>
      <c r="K1600" s="230"/>
      <c r="L1600" s="230"/>
      <c r="M1600" s="230"/>
    </row>
    <row r="1601" spans="1:13" s="231" customFormat="1" x14ac:dyDescent="0.25">
      <c r="A1601" s="1"/>
      <c r="B1601" s="241" t="e">
        <f>IF(AND(F1601&lt;&gt;"", B1596&lt;&gt;""), B1596+1, "")</f>
        <v>#REF!</v>
      </c>
      <c r="C1601" s="442">
        <v>46350</v>
      </c>
      <c r="D1601" s="444">
        <f>D1596+1</f>
        <v>46350</v>
      </c>
      <c r="E1601" s="246" t="s">
        <v>394</v>
      </c>
      <c r="F1601" s="202">
        <v>0</v>
      </c>
      <c r="G1601" s="203">
        <v>0</v>
      </c>
      <c r="H1601" s="203">
        <v>0</v>
      </c>
      <c r="I1601" s="263">
        <v>0</v>
      </c>
      <c r="K1601" s="230"/>
      <c r="L1601" s="230"/>
      <c r="M1601" s="230"/>
    </row>
    <row r="1602" spans="1:13" s="231" customFormat="1" x14ac:dyDescent="0.25">
      <c r="A1602" s="1"/>
      <c r="B1602" s="245" t="e">
        <f>IF(AND(F1601&lt;&gt;"", B1597&lt;&gt;""), B1597+1, "")</f>
        <v>#REF!</v>
      </c>
      <c r="C1602" s="409"/>
      <c r="D1602" s="445"/>
      <c r="E1602" s="246" t="s">
        <v>764</v>
      </c>
      <c r="F1602" s="202">
        <v>0</v>
      </c>
      <c r="G1602" s="203">
        <v>0</v>
      </c>
      <c r="H1602" s="203">
        <v>0</v>
      </c>
      <c r="I1602" s="263">
        <v>0</v>
      </c>
      <c r="K1602" s="230"/>
      <c r="L1602" s="230"/>
      <c r="M1602" s="230"/>
    </row>
    <row r="1603" spans="1:13" s="231" customFormat="1" x14ac:dyDescent="0.25">
      <c r="A1603" s="1"/>
      <c r="B1603" s="245" t="e">
        <f>IF(AND(F1601&lt;&gt;"", B1598&lt;&gt;""), B1598+1, "")</f>
        <v>#REF!</v>
      </c>
      <c r="C1603" s="409"/>
      <c r="D1603" s="445"/>
      <c r="E1603" s="246" t="s">
        <v>765</v>
      </c>
      <c r="F1603" s="202">
        <v>0</v>
      </c>
      <c r="G1603" s="203">
        <v>0</v>
      </c>
      <c r="H1603" s="203">
        <v>0</v>
      </c>
      <c r="I1603" s="263">
        <v>0</v>
      </c>
      <c r="K1603" s="230"/>
      <c r="L1603" s="230"/>
      <c r="M1603" s="230"/>
    </row>
    <row r="1604" spans="1:13" s="231" customFormat="1" x14ac:dyDescent="0.25">
      <c r="A1604" s="1"/>
      <c r="B1604" s="245" t="e">
        <f>IF(AND(F1601&lt;&gt;"", B1599&lt;&gt;""), B1599+1, "")</f>
        <v>#REF!</v>
      </c>
      <c r="C1604" s="409"/>
      <c r="D1604" s="445"/>
      <c r="E1604" s="246" t="s">
        <v>766</v>
      </c>
      <c r="F1604" s="202">
        <v>0</v>
      </c>
      <c r="G1604" s="203">
        <v>0</v>
      </c>
      <c r="H1604" s="203">
        <v>0</v>
      </c>
      <c r="I1604" s="263">
        <v>0</v>
      </c>
      <c r="K1604" s="230"/>
      <c r="L1604" s="230"/>
      <c r="M1604" s="230"/>
    </row>
    <row r="1605" spans="1:13" s="231" customFormat="1" ht="15.75" customHeight="1" thickBot="1" x14ac:dyDescent="0.3">
      <c r="A1605" s="1"/>
      <c r="B1605" s="249" t="e">
        <f>IF(AND(F1601&lt;&gt;"", B1600&lt;&gt;""), B1600+1, "")</f>
        <v>#REF!</v>
      </c>
      <c r="C1605" s="416"/>
      <c r="D1605" s="446"/>
      <c r="E1605" s="250" t="s">
        <v>767</v>
      </c>
      <c r="F1605" s="204">
        <v>0</v>
      </c>
      <c r="G1605" s="205">
        <v>0</v>
      </c>
      <c r="H1605" s="205">
        <v>0</v>
      </c>
      <c r="I1605" s="264">
        <v>0</v>
      </c>
      <c r="K1605" s="230"/>
      <c r="L1605" s="230"/>
      <c r="M1605" s="230"/>
    </row>
    <row r="1606" spans="1:13" s="231" customFormat="1" x14ac:dyDescent="0.25">
      <c r="A1606" s="1"/>
      <c r="B1606" s="241" t="e">
        <f>IF(AND(F1606&lt;&gt;"", B1601&lt;&gt;""), B1601+1, "")</f>
        <v>#REF!</v>
      </c>
      <c r="C1606" s="442">
        <v>46351</v>
      </c>
      <c r="D1606" s="444">
        <f>D1601+1</f>
        <v>46351</v>
      </c>
      <c r="E1606" s="246" t="s">
        <v>394</v>
      </c>
      <c r="F1606" s="202">
        <v>0</v>
      </c>
      <c r="G1606" s="203">
        <v>0</v>
      </c>
      <c r="H1606" s="203">
        <v>0</v>
      </c>
      <c r="I1606" s="263">
        <v>0</v>
      </c>
      <c r="K1606" s="230"/>
      <c r="L1606" s="230"/>
      <c r="M1606" s="230"/>
    </row>
    <row r="1607" spans="1:13" s="231" customFormat="1" x14ac:dyDescent="0.25">
      <c r="A1607" s="1"/>
      <c r="B1607" s="245" t="e">
        <f>IF(AND(F1606&lt;&gt;"", B1602&lt;&gt;""), B1602+1, "")</f>
        <v>#REF!</v>
      </c>
      <c r="C1607" s="409"/>
      <c r="D1607" s="445"/>
      <c r="E1607" s="246" t="s">
        <v>764</v>
      </c>
      <c r="F1607" s="202">
        <v>0</v>
      </c>
      <c r="G1607" s="203">
        <v>0</v>
      </c>
      <c r="H1607" s="203">
        <v>0</v>
      </c>
      <c r="I1607" s="263">
        <v>0</v>
      </c>
      <c r="K1607" s="230"/>
      <c r="L1607" s="230"/>
      <c r="M1607" s="230"/>
    </row>
    <row r="1608" spans="1:13" s="231" customFormat="1" x14ac:dyDescent="0.25">
      <c r="A1608" s="1"/>
      <c r="B1608" s="245" t="e">
        <f>IF(AND(F1606&lt;&gt;"", B1603&lt;&gt;""), B1603+1, "")</f>
        <v>#REF!</v>
      </c>
      <c r="C1608" s="409"/>
      <c r="D1608" s="445"/>
      <c r="E1608" s="246" t="s">
        <v>765</v>
      </c>
      <c r="F1608" s="202">
        <v>0</v>
      </c>
      <c r="G1608" s="203">
        <v>0</v>
      </c>
      <c r="H1608" s="203">
        <v>0</v>
      </c>
      <c r="I1608" s="263">
        <v>0</v>
      </c>
      <c r="K1608" s="230"/>
      <c r="L1608" s="230"/>
      <c r="M1608" s="230"/>
    </row>
    <row r="1609" spans="1:13" s="231" customFormat="1" x14ac:dyDescent="0.25">
      <c r="A1609" s="1"/>
      <c r="B1609" s="245" t="e">
        <f>IF(AND(F1606&lt;&gt;"", B1604&lt;&gt;""), B1604+1, "")</f>
        <v>#REF!</v>
      </c>
      <c r="C1609" s="409"/>
      <c r="D1609" s="445"/>
      <c r="E1609" s="246" t="s">
        <v>766</v>
      </c>
      <c r="F1609" s="202">
        <v>0</v>
      </c>
      <c r="G1609" s="203">
        <v>0</v>
      </c>
      <c r="H1609" s="203">
        <v>0</v>
      </c>
      <c r="I1609" s="263">
        <v>0</v>
      </c>
      <c r="K1609" s="230"/>
      <c r="L1609" s="230"/>
      <c r="M1609" s="230"/>
    </row>
    <row r="1610" spans="1:13" s="231" customFormat="1" ht="15.75" customHeight="1" thickBot="1" x14ac:dyDescent="0.3">
      <c r="A1610" s="1"/>
      <c r="B1610" s="249" t="e">
        <f>IF(AND(F1606&lt;&gt;"", B1605&lt;&gt;""), B1605+1, "")</f>
        <v>#REF!</v>
      </c>
      <c r="C1610" s="416"/>
      <c r="D1610" s="446"/>
      <c r="E1610" s="250" t="s">
        <v>767</v>
      </c>
      <c r="F1610" s="204">
        <v>0</v>
      </c>
      <c r="G1610" s="205">
        <v>0</v>
      </c>
      <c r="H1610" s="205">
        <v>0</v>
      </c>
      <c r="I1610" s="264">
        <v>0</v>
      </c>
      <c r="K1610" s="230"/>
      <c r="L1610" s="230"/>
      <c r="M1610" s="230"/>
    </row>
    <row r="1611" spans="1:13" s="231" customFormat="1" x14ac:dyDescent="0.25">
      <c r="A1611" s="1"/>
      <c r="B1611" s="241" t="e">
        <f>IF(AND(F1611&lt;&gt;"", B1606&lt;&gt;""), B1606+1, "")</f>
        <v>#REF!</v>
      </c>
      <c r="C1611" s="442">
        <v>46352</v>
      </c>
      <c r="D1611" s="444">
        <f>D1606+1</f>
        <v>46352</v>
      </c>
      <c r="E1611" s="246" t="s">
        <v>394</v>
      </c>
      <c r="F1611" s="202">
        <v>0</v>
      </c>
      <c r="G1611" s="203">
        <v>0</v>
      </c>
      <c r="H1611" s="203">
        <v>0</v>
      </c>
      <c r="I1611" s="263">
        <v>0</v>
      </c>
      <c r="K1611" s="230"/>
      <c r="L1611" s="230"/>
      <c r="M1611" s="230"/>
    </row>
    <row r="1612" spans="1:13" s="231" customFormat="1" x14ac:dyDescent="0.25">
      <c r="A1612" s="1"/>
      <c r="B1612" s="245" t="e">
        <f>IF(AND(F1611&lt;&gt;"", B1607&lt;&gt;""), B1607+1, "")</f>
        <v>#REF!</v>
      </c>
      <c r="C1612" s="409"/>
      <c r="D1612" s="445"/>
      <c r="E1612" s="246" t="s">
        <v>764</v>
      </c>
      <c r="F1612" s="202">
        <v>0</v>
      </c>
      <c r="G1612" s="203">
        <v>0</v>
      </c>
      <c r="H1612" s="203">
        <v>0</v>
      </c>
      <c r="I1612" s="263">
        <v>0</v>
      </c>
      <c r="K1612" s="230"/>
      <c r="L1612" s="230"/>
      <c r="M1612" s="230"/>
    </row>
    <row r="1613" spans="1:13" s="231" customFormat="1" x14ac:dyDescent="0.25">
      <c r="A1613" s="1"/>
      <c r="B1613" s="245" t="e">
        <f>IF(AND(F1611&lt;&gt;"", B1608&lt;&gt;""), B1608+1, "")</f>
        <v>#REF!</v>
      </c>
      <c r="C1613" s="409"/>
      <c r="D1613" s="445"/>
      <c r="E1613" s="246" t="s">
        <v>765</v>
      </c>
      <c r="F1613" s="202">
        <v>0</v>
      </c>
      <c r="G1613" s="203">
        <v>0</v>
      </c>
      <c r="H1613" s="203">
        <v>0</v>
      </c>
      <c r="I1613" s="263">
        <v>0</v>
      </c>
      <c r="K1613" s="230"/>
      <c r="L1613" s="230"/>
      <c r="M1613" s="230"/>
    </row>
    <row r="1614" spans="1:13" s="231" customFormat="1" x14ac:dyDescent="0.25">
      <c r="A1614" s="1"/>
      <c r="B1614" s="245" t="e">
        <f>IF(AND(F1611&lt;&gt;"", B1609&lt;&gt;""), B1609+1, "")</f>
        <v>#REF!</v>
      </c>
      <c r="C1614" s="409"/>
      <c r="D1614" s="445"/>
      <c r="E1614" s="246" t="s">
        <v>766</v>
      </c>
      <c r="F1614" s="202">
        <v>0</v>
      </c>
      <c r="G1614" s="203">
        <v>0</v>
      </c>
      <c r="H1614" s="203">
        <v>0</v>
      </c>
      <c r="I1614" s="263">
        <v>0</v>
      </c>
      <c r="K1614" s="230"/>
      <c r="L1614" s="230"/>
      <c r="M1614" s="230"/>
    </row>
    <row r="1615" spans="1:13" s="231" customFormat="1" ht="15.75" customHeight="1" thickBot="1" x14ac:dyDescent="0.3">
      <c r="A1615" s="1"/>
      <c r="B1615" s="249" t="e">
        <f>IF(AND(F1611&lt;&gt;"", B1610&lt;&gt;""), B1610+1, "")</f>
        <v>#REF!</v>
      </c>
      <c r="C1615" s="416"/>
      <c r="D1615" s="446"/>
      <c r="E1615" s="250" t="s">
        <v>767</v>
      </c>
      <c r="F1615" s="204">
        <v>0</v>
      </c>
      <c r="G1615" s="205">
        <v>0</v>
      </c>
      <c r="H1615" s="205">
        <v>0</v>
      </c>
      <c r="I1615" s="264">
        <v>0</v>
      </c>
      <c r="K1615" s="230"/>
      <c r="L1615" s="230"/>
      <c r="M1615" s="230"/>
    </row>
    <row r="1616" spans="1:13" s="231" customFormat="1" x14ac:dyDescent="0.25">
      <c r="A1616" s="1"/>
      <c r="B1616" s="241" t="e">
        <f>IF(AND(F1616&lt;&gt;"", B1611&lt;&gt;""), B1611+1, "")</f>
        <v>#REF!</v>
      </c>
      <c r="C1616" s="442">
        <v>46353</v>
      </c>
      <c r="D1616" s="444">
        <f>D1611+1</f>
        <v>46353</v>
      </c>
      <c r="E1616" s="246" t="s">
        <v>394</v>
      </c>
      <c r="F1616" s="202">
        <v>0</v>
      </c>
      <c r="G1616" s="203">
        <v>0</v>
      </c>
      <c r="H1616" s="203">
        <v>0</v>
      </c>
      <c r="I1616" s="263">
        <v>0</v>
      </c>
      <c r="K1616" s="230"/>
      <c r="L1616" s="230"/>
      <c r="M1616" s="230"/>
    </row>
    <row r="1617" spans="1:13" s="231" customFormat="1" x14ac:dyDescent="0.25">
      <c r="A1617" s="1"/>
      <c r="B1617" s="245" t="e">
        <f>IF(AND(F1616&lt;&gt;"", B1612&lt;&gt;""), B1612+1, "")</f>
        <v>#REF!</v>
      </c>
      <c r="C1617" s="409"/>
      <c r="D1617" s="445"/>
      <c r="E1617" s="246" t="s">
        <v>764</v>
      </c>
      <c r="F1617" s="202">
        <v>0</v>
      </c>
      <c r="G1617" s="203">
        <v>0</v>
      </c>
      <c r="H1617" s="203">
        <v>0</v>
      </c>
      <c r="I1617" s="263">
        <v>0</v>
      </c>
      <c r="K1617" s="230"/>
      <c r="L1617" s="230"/>
      <c r="M1617" s="230"/>
    </row>
    <row r="1618" spans="1:13" s="231" customFormat="1" x14ac:dyDescent="0.25">
      <c r="A1618" s="1"/>
      <c r="B1618" s="245" t="e">
        <f>IF(AND(F1616&lt;&gt;"", B1613&lt;&gt;""), B1613+1, "")</f>
        <v>#REF!</v>
      </c>
      <c r="C1618" s="409"/>
      <c r="D1618" s="445"/>
      <c r="E1618" s="246" t="s">
        <v>765</v>
      </c>
      <c r="F1618" s="202">
        <v>0</v>
      </c>
      <c r="G1618" s="203">
        <v>0</v>
      </c>
      <c r="H1618" s="203">
        <v>0</v>
      </c>
      <c r="I1618" s="263">
        <v>0</v>
      </c>
      <c r="K1618" s="230"/>
      <c r="L1618" s="230"/>
      <c r="M1618" s="230"/>
    </row>
    <row r="1619" spans="1:13" s="231" customFormat="1" x14ac:dyDescent="0.25">
      <c r="A1619" s="1"/>
      <c r="B1619" s="245" t="e">
        <f>IF(AND(F1616&lt;&gt;"", B1614&lt;&gt;""), B1614+1, "")</f>
        <v>#REF!</v>
      </c>
      <c r="C1619" s="409"/>
      <c r="D1619" s="445"/>
      <c r="E1619" s="246" t="s">
        <v>766</v>
      </c>
      <c r="F1619" s="202">
        <v>0</v>
      </c>
      <c r="G1619" s="203">
        <v>0</v>
      </c>
      <c r="H1619" s="203">
        <v>0</v>
      </c>
      <c r="I1619" s="263">
        <v>0</v>
      </c>
      <c r="K1619" s="230"/>
      <c r="L1619" s="230"/>
      <c r="M1619" s="230"/>
    </row>
    <row r="1620" spans="1:13" s="231" customFormat="1" ht="15.75" customHeight="1" thickBot="1" x14ac:dyDescent="0.3">
      <c r="A1620" s="1"/>
      <c r="B1620" s="249" t="e">
        <f>IF(AND(F1616&lt;&gt;"", B1615&lt;&gt;""), B1615+1, "")</f>
        <v>#REF!</v>
      </c>
      <c r="C1620" s="416"/>
      <c r="D1620" s="446"/>
      <c r="E1620" s="250" t="s">
        <v>767</v>
      </c>
      <c r="F1620" s="204">
        <v>0</v>
      </c>
      <c r="G1620" s="205">
        <v>0</v>
      </c>
      <c r="H1620" s="205">
        <v>0</v>
      </c>
      <c r="I1620" s="264">
        <v>0</v>
      </c>
      <c r="K1620" s="230"/>
      <c r="L1620" s="230"/>
      <c r="M1620" s="230"/>
    </row>
    <row r="1621" spans="1:13" s="231" customFormat="1" x14ac:dyDescent="0.25">
      <c r="A1621" s="1"/>
      <c r="B1621" s="241" t="e">
        <f>IF(AND(F1621&lt;&gt;"", B1616&lt;&gt;""), B1616+1, "")</f>
        <v>#REF!</v>
      </c>
      <c r="C1621" s="442">
        <v>46354</v>
      </c>
      <c r="D1621" s="444">
        <f>D1616+1</f>
        <v>46354</v>
      </c>
      <c r="E1621" s="246" t="s">
        <v>394</v>
      </c>
      <c r="F1621" s="202">
        <v>0</v>
      </c>
      <c r="G1621" s="203">
        <v>0</v>
      </c>
      <c r="H1621" s="203">
        <v>0</v>
      </c>
      <c r="I1621" s="263">
        <v>0</v>
      </c>
      <c r="K1621" s="230"/>
      <c r="L1621" s="230"/>
      <c r="M1621" s="230"/>
    </row>
    <row r="1622" spans="1:13" s="231" customFormat="1" x14ac:dyDescent="0.25">
      <c r="A1622" s="1"/>
      <c r="B1622" s="245" t="e">
        <f>IF(AND(F1621&lt;&gt;"", B1617&lt;&gt;""), B1617+1, "")</f>
        <v>#REF!</v>
      </c>
      <c r="C1622" s="409"/>
      <c r="D1622" s="445"/>
      <c r="E1622" s="246" t="s">
        <v>764</v>
      </c>
      <c r="F1622" s="202">
        <v>0</v>
      </c>
      <c r="G1622" s="203">
        <v>0</v>
      </c>
      <c r="H1622" s="203">
        <v>0</v>
      </c>
      <c r="I1622" s="263">
        <v>0</v>
      </c>
      <c r="K1622" s="230"/>
      <c r="L1622" s="230"/>
      <c r="M1622" s="230"/>
    </row>
    <row r="1623" spans="1:13" s="231" customFormat="1" x14ac:dyDescent="0.25">
      <c r="A1623" s="1"/>
      <c r="B1623" s="245" t="e">
        <f>IF(AND(F1621&lt;&gt;"", B1618&lt;&gt;""), B1618+1, "")</f>
        <v>#REF!</v>
      </c>
      <c r="C1623" s="409"/>
      <c r="D1623" s="445"/>
      <c r="E1623" s="246" t="s">
        <v>765</v>
      </c>
      <c r="F1623" s="202">
        <v>0</v>
      </c>
      <c r="G1623" s="203">
        <v>0</v>
      </c>
      <c r="H1623" s="203">
        <v>0</v>
      </c>
      <c r="I1623" s="263">
        <v>0</v>
      </c>
      <c r="K1623" s="230"/>
      <c r="L1623" s="230"/>
      <c r="M1623" s="230"/>
    </row>
    <row r="1624" spans="1:13" s="231" customFormat="1" x14ac:dyDescent="0.25">
      <c r="A1624" s="1"/>
      <c r="B1624" s="245" t="e">
        <f>IF(AND(F1621&lt;&gt;"", B1619&lt;&gt;""), B1619+1, "")</f>
        <v>#REF!</v>
      </c>
      <c r="C1624" s="409"/>
      <c r="D1624" s="445"/>
      <c r="E1624" s="246" t="s">
        <v>766</v>
      </c>
      <c r="F1624" s="202">
        <v>0</v>
      </c>
      <c r="G1624" s="203">
        <v>0</v>
      </c>
      <c r="H1624" s="203">
        <v>0</v>
      </c>
      <c r="I1624" s="263">
        <v>0</v>
      </c>
      <c r="K1624" s="230"/>
      <c r="L1624" s="230"/>
      <c r="M1624" s="230"/>
    </row>
    <row r="1625" spans="1:13" s="231" customFormat="1" ht="15.75" customHeight="1" thickBot="1" x14ac:dyDescent="0.3">
      <c r="A1625" s="1"/>
      <c r="B1625" s="249" t="e">
        <f>IF(AND(F1621&lt;&gt;"", B1620&lt;&gt;""), B1620+1, "")</f>
        <v>#REF!</v>
      </c>
      <c r="C1625" s="416"/>
      <c r="D1625" s="446"/>
      <c r="E1625" s="250" t="s">
        <v>767</v>
      </c>
      <c r="F1625" s="204">
        <v>0</v>
      </c>
      <c r="G1625" s="205">
        <v>0</v>
      </c>
      <c r="H1625" s="205">
        <v>0</v>
      </c>
      <c r="I1625" s="264">
        <v>0</v>
      </c>
      <c r="K1625" s="230"/>
      <c r="L1625" s="230"/>
      <c r="M1625" s="230"/>
    </row>
    <row r="1626" spans="1:13" s="231" customFormat="1" x14ac:dyDescent="0.25">
      <c r="A1626" s="1"/>
      <c r="B1626" s="241" t="e">
        <f>IF(AND(F1626&lt;&gt;"", B1621&lt;&gt;""), B1621+1, "")</f>
        <v>#REF!</v>
      </c>
      <c r="C1626" s="442">
        <v>46355</v>
      </c>
      <c r="D1626" s="444">
        <f>D1621+1</f>
        <v>46355</v>
      </c>
      <c r="E1626" s="246" t="s">
        <v>394</v>
      </c>
      <c r="F1626" s="202">
        <v>0</v>
      </c>
      <c r="G1626" s="203">
        <v>0</v>
      </c>
      <c r="H1626" s="203">
        <v>0</v>
      </c>
      <c r="I1626" s="263">
        <v>0</v>
      </c>
      <c r="K1626" s="230"/>
      <c r="L1626" s="230"/>
      <c r="M1626" s="230"/>
    </row>
    <row r="1627" spans="1:13" s="231" customFormat="1" x14ac:dyDescent="0.25">
      <c r="A1627" s="1"/>
      <c r="B1627" s="245" t="e">
        <f>IF(AND(F1626&lt;&gt;"", B1622&lt;&gt;""), B1622+1, "")</f>
        <v>#REF!</v>
      </c>
      <c r="C1627" s="409"/>
      <c r="D1627" s="445"/>
      <c r="E1627" s="246" t="s">
        <v>764</v>
      </c>
      <c r="F1627" s="202">
        <v>0</v>
      </c>
      <c r="G1627" s="203">
        <v>0</v>
      </c>
      <c r="H1627" s="203">
        <v>0</v>
      </c>
      <c r="I1627" s="263">
        <v>0</v>
      </c>
      <c r="K1627" s="230"/>
      <c r="L1627" s="230"/>
      <c r="M1627" s="230"/>
    </row>
    <row r="1628" spans="1:13" s="231" customFormat="1" x14ac:dyDescent="0.25">
      <c r="A1628" s="1"/>
      <c r="B1628" s="245" t="e">
        <f>IF(AND(F1626&lt;&gt;"", B1623&lt;&gt;""), B1623+1, "")</f>
        <v>#REF!</v>
      </c>
      <c r="C1628" s="409"/>
      <c r="D1628" s="445"/>
      <c r="E1628" s="246" t="s">
        <v>765</v>
      </c>
      <c r="F1628" s="202">
        <v>0</v>
      </c>
      <c r="G1628" s="203">
        <v>0</v>
      </c>
      <c r="H1628" s="203">
        <v>0</v>
      </c>
      <c r="I1628" s="263">
        <v>0</v>
      </c>
      <c r="K1628" s="230"/>
      <c r="L1628" s="230"/>
      <c r="M1628" s="230"/>
    </row>
    <row r="1629" spans="1:13" s="231" customFormat="1" x14ac:dyDescent="0.25">
      <c r="A1629" s="1"/>
      <c r="B1629" s="245" t="e">
        <f>IF(AND(F1626&lt;&gt;"", B1624&lt;&gt;""), B1624+1, "")</f>
        <v>#REF!</v>
      </c>
      <c r="C1629" s="409"/>
      <c r="D1629" s="445"/>
      <c r="E1629" s="246" t="s">
        <v>766</v>
      </c>
      <c r="F1629" s="202">
        <v>0</v>
      </c>
      <c r="G1629" s="203">
        <v>0</v>
      </c>
      <c r="H1629" s="203">
        <v>0</v>
      </c>
      <c r="I1629" s="263">
        <v>0</v>
      </c>
      <c r="K1629" s="230"/>
      <c r="L1629" s="230"/>
      <c r="M1629" s="230"/>
    </row>
    <row r="1630" spans="1:13" s="231" customFormat="1" ht="15.75" customHeight="1" thickBot="1" x14ac:dyDescent="0.3">
      <c r="A1630" s="1"/>
      <c r="B1630" s="249" t="e">
        <f>IF(AND(F1626&lt;&gt;"", B1625&lt;&gt;""), B1625+1, "")</f>
        <v>#REF!</v>
      </c>
      <c r="C1630" s="416"/>
      <c r="D1630" s="446"/>
      <c r="E1630" s="250" t="s">
        <v>767</v>
      </c>
      <c r="F1630" s="204">
        <v>0</v>
      </c>
      <c r="G1630" s="205">
        <v>0</v>
      </c>
      <c r="H1630" s="205">
        <v>0</v>
      </c>
      <c r="I1630" s="264">
        <v>0</v>
      </c>
      <c r="K1630" s="230"/>
      <c r="L1630" s="230"/>
      <c r="M1630" s="230"/>
    </row>
    <row r="1631" spans="1:13" s="231" customFormat="1" x14ac:dyDescent="0.25">
      <c r="A1631" s="1"/>
      <c r="B1631" s="241" t="e">
        <f>IF(AND(F1631&lt;&gt;"", B1626&lt;&gt;""), B1626+1, "")</f>
        <v>#REF!</v>
      </c>
      <c r="C1631" s="442">
        <v>46356</v>
      </c>
      <c r="D1631" s="444">
        <f>D1626+1</f>
        <v>46356</v>
      </c>
      <c r="E1631" s="246" t="s">
        <v>394</v>
      </c>
      <c r="F1631" s="202">
        <v>0</v>
      </c>
      <c r="G1631" s="203">
        <v>0</v>
      </c>
      <c r="H1631" s="203">
        <v>0</v>
      </c>
      <c r="I1631" s="263">
        <v>0</v>
      </c>
      <c r="K1631" s="230"/>
      <c r="L1631" s="230"/>
      <c r="M1631" s="230"/>
    </row>
    <row r="1632" spans="1:13" s="231" customFormat="1" x14ac:dyDescent="0.25">
      <c r="A1632" s="1"/>
      <c r="B1632" s="245" t="e">
        <f>IF(AND(F1631&lt;&gt;"", B1627&lt;&gt;""), B1627+1, "")</f>
        <v>#REF!</v>
      </c>
      <c r="C1632" s="409"/>
      <c r="D1632" s="445"/>
      <c r="E1632" s="246" t="s">
        <v>764</v>
      </c>
      <c r="F1632" s="202">
        <v>0</v>
      </c>
      <c r="G1632" s="203">
        <v>0</v>
      </c>
      <c r="H1632" s="203">
        <v>0</v>
      </c>
      <c r="I1632" s="263">
        <v>0</v>
      </c>
      <c r="K1632" s="230"/>
      <c r="L1632" s="230"/>
      <c r="M1632" s="230"/>
    </row>
    <row r="1633" spans="1:13" s="231" customFormat="1" x14ac:dyDescent="0.25">
      <c r="A1633" s="1"/>
      <c r="B1633" s="245" t="e">
        <f>IF(AND(F1631&lt;&gt;"", B1628&lt;&gt;""), B1628+1, "")</f>
        <v>#REF!</v>
      </c>
      <c r="C1633" s="409"/>
      <c r="D1633" s="445"/>
      <c r="E1633" s="246" t="s">
        <v>765</v>
      </c>
      <c r="F1633" s="202">
        <v>0</v>
      </c>
      <c r="G1633" s="203">
        <v>0</v>
      </c>
      <c r="H1633" s="203">
        <v>0</v>
      </c>
      <c r="I1633" s="263">
        <v>0</v>
      </c>
      <c r="K1633" s="230"/>
      <c r="L1633" s="230"/>
      <c r="M1633" s="230"/>
    </row>
    <row r="1634" spans="1:13" s="231" customFormat="1" x14ac:dyDescent="0.25">
      <c r="A1634" s="1"/>
      <c r="B1634" s="245" t="e">
        <f>IF(AND(F1631&lt;&gt;"", B1629&lt;&gt;""), B1629+1, "")</f>
        <v>#REF!</v>
      </c>
      <c r="C1634" s="409"/>
      <c r="D1634" s="445"/>
      <c r="E1634" s="246" t="s">
        <v>766</v>
      </c>
      <c r="F1634" s="202">
        <v>0</v>
      </c>
      <c r="G1634" s="203">
        <v>0</v>
      </c>
      <c r="H1634" s="203">
        <v>0</v>
      </c>
      <c r="I1634" s="263">
        <v>0</v>
      </c>
      <c r="K1634" s="230"/>
      <c r="L1634" s="230"/>
      <c r="M1634" s="230"/>
    </row>
    <row r="1635" spans="1:13" s="231" customFormat="1" ht="15.75" customHeight="1" thickBot="1" x14ac:dyDescent="0.3">
      <c r="A1635" s="1"/>
      <c r="B1635" s="249" t="e">
        <f>IF(AND(F1631&lt;&gt;"", B1630&lt;&gt;""), B1630+1, "")</f>
        <v>#REF!</v>
      </c>
      <c r="C1635" s="416"/>
      <c r="D1635" s="446"/>
      <c r="E1635" s="250" t="s">
        <v>767</v>
      </c>
      <c r="F1635" s="204">
        <v>0</v>
      </c>
      <c r="G1635" s="205">
        <v>0</v>
      </c>
      <c r="H1635" s="205">
        <v>0</v>
      </c>
      <c r="I1635" s="264">
        <v>0</v>
      </c>
      <c r="K1635" s="230"/>
      <c r="L1635" s="230"/>
      <c r="M1635" s="230"/>
    </row>
    <row r="1636" spans="1:13" s="231" customFormat="1" x14ac:dyDescent="0.25">
      <c r="A1636" s="1"/>
      <c r="B1636" s="241" t="e">
        <f>IF(AND(F1636&lt;&gt;"", B1631&lt;&gt;""), B1631+1, "")</f>
        <v>#REF!</v>
      </c>
      <c r="C1636" s="442">
        <v>46357</v>
      </c>
      <c r="D1636" s="444">
        <f>D1631+1</f>
        <v>46357</v>
      </c>
      <c r="E1636" s="246" t="s">
        <v>394</v>
      </c>
      <c r="F1636" s="202">
        <v>0</v>
      </c>
      <c r="G1636" s="203">
        <v>0</v>
      </c>
      <c r="H1636" s="203">
        <v>0</v>
      </c>
      <c r="I1636" s="263">
        <v>0</v>
      </c>
      <c r="K1636" s="230"/>
      <c r="L1636" s="230"/>
      <c r="M1636" s="230"/>
    </row>
    <row r="1637" spans="1:13" s="231" customFormat="1" x14ac:dyDescent="0.25">
      <c r="A1637" s="1"/>
      <c r="B1637" s="245" t="e">
        <f>IF(AND(F1636&lt;&gt;"", B1632&lt;&gt;""), B1632+1, "")</f>
        <v>#REF!</v>
      </c>
      <c r="C1637" s="409"/>
      <c r="D1637" s="445"/>
      <c r="E1637" s="246" t="s">
        <v>764</v>
      </c>
      <c r="F1637" s="202">
        <v>0</v>
      </c>
      <c r="G1637" s="203">
        <v>0</v>
      </c>
      <c r="H1637" s="203">
        <v>0</v>
      </c>
      <c r="I1637" s="263">
        <v>0</v>
      </c>
      <c r="K1637" s="230"/>
      <c r="L1637" s="230"/>
      <c r="M1637" s="230"/>
    </row>
    <row r="1638" spans="1:13" s="231" customFormat="1" x14ac:dyDescent="0.25">
      <c r="A1638" s="1"/>
      <c r="B1638" s="245" t="e">
        <f>IF(AND(F1636&lt;&gt;"", B1633&lt;&gt;""), B1633+1, "")</f>
        <v>#REF!</v>
      </c>
      <c r="C1638" s="409"/>
      <c r="D1638" s="445"/>
      <c r="E1638" s="246" t="s">
        <v>765</v>
      </c>
      <c r="F1638" s="202">
        <v>0</v>
      </c>
      <c r="G1638" s="203">
        <v>0</v>
      </c>
      <c r="H1638" s="203">
        <v>0</v>
      </c>
      <c r="I1638" s="263">
        <v>0</v>
      </c>
      <c r="K1638" s="230"/>
      <c r="L1638" s="230"/>
      <c r="M1638" s="230"/>
    </row>
    <row r="1639" spans="1:13" s="231" customFormat="1" x14ac:dyDescent="0.25">
      <c r="A1639" s="1"/>
      <c r="B1639" s="245" t="e">
        <f>IF(AND(F1636&lt;&gt;"", B1634&lt;&gt;""), B1634+1, "")</f>
        <v>#REF!</v>
      </c>
      <c r="C1639" s="409"/>
      <c r="D1639" s="445"/>
      <c r="E1639" s="246" t="s">
        <v>766</v>
      </c>
      <c r="F1639" s="202">
        <v>0</v>
      </c>
      <c r="G1639" s="203">
        <v>0</v>
      </c>
      <c r="H1639" s="203">
        <v>0</v>
      </c>
      <c r="I1639" s="263">
        <v>0</v>
      </c>
      <c r="K1639" s="230"/>
      <c r="L1639" s="230"/>
      <c r="M1639" s="230"/>
    </row>
    <row r="1640" spans="1:13" s="231" customFormat="1" ht="15.75" customHeight="1" thickBot="1" x14ac:dyDescent="0.3">
      <c r="A1640" s="1"/>
      <c r="B1640" s="249" t="e">
        <f>IF(AND(F1636&lt;&gt;"", B1635&lt;&gt;""), B1635+1, "")</f>
        <v>#REF!</v>
      </c>
      <c r="C1640" s="416"/>
      <c r="D1640" s="446"/>
      <c r="E1640" s="250" t="s">
        <v>767</v>
      </c>
      <c r="F1640" s="204">
        <v>0</v>
      </c>
      <c r="G1640" s="205">
        <v>0</v>
      </c>
      <c r="H1640" s="205">
        <v>0</v>
      </c>
      <c r="I1640" s="264">
        <v>0</v>
      </c>
      <c r="K1640" s="230"/>
      <c r="L1640" s="230"/>
      <c r="M1640" s="230"/>
    </row>
    <row r="1641" spans="1:13" s="231" customFormat="1" x14ac:dyDescent="0.25">
      <c r="A1641" s="1"/>
      <c r="B1641" s="241" t="e">
        <f>IF(AND(F1641&lt;&gt;"", B1636&lt;&gt;""), B1636+1, "")</f>
        <v>#REF!</v>
      </c>
      <c r="C1641" s="442">
        <v>46358</v>
      </c>
      <c r="D1641" s="444">
        <f>D1636+1</f>
        <v>46358</v>
      </c>
      <c r="E1641" s="246" t="s">
        <v>394</v>
      </c>
      <c r="F1641" s="202">
        <v>0</v>
      </c>
      <c r="G1641" s="203">
        <v>0</v>
      </c>
      <c r="H1641" s="203">
        <v>0</v>
      </c>
      <c r="I1641" s="263">
        <v>0</v>
      </c>
      <c r="K1641" s="230"/>
      <c r="L1641" s="230"/>
      <c r="M1641" s="230"/>
    </row>
    <row r="1642" spans="1:13" s="231" customFormat="1" x14ac:dyDescent="0.25">
      <c r="A1642" s="1"/>
      <c r="B1642" s="245" t="e">
        <f>IF(AND(F1641&lt;&gt;"", B1637&lt;&gt;""), B1637+1, "")</f>
        <v>#REF!</v>
      </c>
      <c r="C1642" s="409"/>
      <c r="D1642" s="445"/>
      <c r="E1642" s="246" t="s">
        <v>764</v>
      </c>
      <c r="F1642" s="202">
        <v>0</v>
      </c>
      <c r="G1642" s="203">
        <v>0</v>
      </c>
      <c r="H1642" s="203">
        <v>0</v>
      </c>
      <c r="I1642" s="263">
        <v>0</v>
      </c>
      <c r="K1642" s="230"/>
      <c r="L1642" s="230"/>
      <c r="M1642" s="230"/>
    </row>
    <row r="1643" spans="1:13" s="231" customFormat="1" x14ac:dyDescent="0.25">
      <c r="A1643" s="1"/>
      <c r="B1643" s="245" t="e">
        <f>IF(AND(F1641&lt;&gt;"", B1638&lt;&gt;""), B1638+1, "")</f>
        <v>#REF!</v>
      </c>
      <c r="C1643" s="409"/>
      <c r="D1643" s="445"/>
      <c r="E1643" s="246" t="s">
        <v>765</v>
      </c>
      <c r="F1643" s="202">
        <v>0</v>
      </c>
      <c r="G1643" s="203">
        <v>0</v>
      </c>
      <c r="H1643" s="203">
        <v>0</v>
      </c>
      <c r="I1643" s="263">
        <v>0</v>
      </c>
      <c r="K1643" s="230"/>
      <c r="L1643" s="230"/>
      <c r="M1643" s="230"/>
    </row>
    <row r="1644" spans="1:13" s="231" customFormat="1" x14ac:dyDescent="0.25">
      <c r="A1644" s="1"/>
      <c r="B1644" s="245" t="e">
        <f>IF(AND(F1641&lt;&gt;"", B1639&lt;&gt;""), B1639+1, "")</f>
        <v>#REF!</v>
      </c>
      <c r="C1644" s="409"/>
      <c r="D1644" s="445"/>
      <c r="E1644" s="246" t="s">
        <v>766</v>
      </c>
      <c r="F1644" s="202">
        <v>0</v>
      </c>
      <c r="G1644" s="203">
        <v>0</v>
      </c>
      <c r="H1644" s="203">
        <v>0</v>
      </c>
      <c r="I1644" s="263">
        <v>0</v>
      </c>
      <c r="K1644" s="230"/>
      <c r="L1644" s="230"/>
      <c r="M1644" s="230"/>
    </row>
    <row r="1645" spans="1:13" s="231" customFormat="1" ht="15.75" customHeight="1" thickBot="1" x14ac:dyDescent="0.3">
      <c r="A1645" s="1"/>
      <c r="B1645" s="249" t="e">
        <f>IF(AND(F1641&lt;&gt;"", B1640&lt;&gt;""), B1640+1, "")</f>
        <v>#REF!</v>
      </c>
      <c r="C1645" s="416"/>
      <c r="D1645" s="446"/>
      <c r="E1645" s="250" t="s">
        <v>767</v>
      </c>
      <c r="F1645" s="204">
        <v>0</v>
      </c>
      <c r="G1645" s="205">
        <v>0</v>
      </c>
      <c r="H1645" s="205">
        <v>0</v>
      </c>
      <c r="I1645" s="264">
        <v>0</v>
      </c>
      <c r="K1645" s="230"/>
      <c r="L1645" s="230"/>
      <c r="M1645" s="230"/>
    </row>
    <row r="1646" spans="1:13" s="231" customFormat="1" x14ac:dyDescent="0.25">
      <c r="A1646" s="1"/>
      <c r="B1646" s="241" t="e">
        <f>IF(AND(F1646&lt;&gt;"", B1641&lt;&gt;""), B1641+1, "")</f>
        <v>#REF!</v>
      </c>
      <c r="C1646" s="442">
        <v>46359</v>
      </c>
      <c r="D1646" s="444">
        <f>D1641+1</f>
        <v>46359</v>
      </c>
      <c r="E1646" s="246" t="s">
        <v>394</v>
      </c>
      <c r="F1646" s="202">
        <v>0</v>
      </c>
      <c r="G1646" s="203">
        <v>0</v>
      </c>
      <c r="H1646" s="203">
        <v>0</v>
      </c>
      <c r="I1646" s="263">
        <v>0</v>
      </c>
      <c r="K1646" s="230"/>
      <c r="L1646" s="230"/>
      <c r="M1646" s="230"/>
    </row>
    <row r="1647" spans="1:13" s="231" customFormat="1" x14ac:dyDescent="0.25">
      <c r="A1647" s="1"/>
      <c r="B1647" s="245" t="e">
        <f>IF(AND(F1646&lt;&gt;"", B1642&lt;&gt;""), B1642+1, "")</f>
        <v>#REF!</v>
      </c>
      <c r="C1647" s="409"/>
      <c r="D1647" s="445"/>
      <c r="E1647" s="246" t="s">
        <v>764</v>
      </c>
      <c r="F1647" s="202">
        <v>0</v>
      </c>
      <c r="G1647" s="203">
        <v>0</v>
      </c>
      <c r="H1647" s="203">
        <v>0</v>
      </c>
      <c r="I1647" s="263">
        <v>0</v>
      </c>
      <c r="K1647" s="230"/>
      <c r="L1647" s="230"/>
      <c r="M1647" s="230"/>
    </row>
    <row r="1648" spans="1:13" s="231" customFormat="1" x14ac:dyDescent="0.25">
      <c r="A1648" s="1"/>
      <c r="B1648" s="245" t="e">
        <f>IF(AND(F1646&lt;&gt;"", B1643&lt;&gt;""), B1643+1, "")</f>
        <v>#REF!</v>
      </c>
      <c r="C1648" s="409"/>
      <c r="D1648" s="445"/>
      <c r="E1648" s="246" t="s">
        <v>765</v>
      </c>
      <c r="F1648" s="202">
        <v>0</v>
      </c>
      <c r="G1648" s="203">
        <v>0</v>
      </c>
      <c r="H1648" s="203">
        <v>0</v>
      </c>
      <c r="I1648" s="263">
        <v>0</v>
      </c>
      <c r="K1648" s="230"/>
      <c r="L1648" s="230"/>
      <c r="M1648" s="230"/>
    </row>
    <row r="1649" spans="1:13" s="231" customFormat="1" x14ac:dyDescent="0.25">
      <c r="A1649" s="1"/>
      <c r="B1649" s="245" t="e">
        <f>IF(AND(F1646&lt;&gt;"", B1644&lt;&gt;""), B1644+1, "")</f>
        <v>#REF!</v>
      </c>
      <c r="C1649" s="409"/>
      <c r="D1649" s="445"/>
      <c r="E1649" s="246" t="s">
        <v>766</v>
      </c>
      <c r="F1649" s="202">
        <v>0</v>
      </c>
      <c r="G1649" s="203">
        <v>0</v>
      </c>
      <c r="H1649" s="203">
        <v>0</v>
      </c>
      <c r="I1649" s="263">
        <v>0</v>
      </c>
      <c r="K1649" s="230"/>
      <c r="L1649" s="230"/>
      <c r="M1649" s="230"/>
    </row>
    <row r="1650" spans="1:13" s="231" customFormat="1" ht="15.75" customHeight="1" thickBot="1" x14ac:dyDescent="0.3">
      <c r="A1650" s="1"/>
      <c r="B1650" s="249" t="e">
        <f>IF(AND(F1646&lt;&gt;"", B1645&lt;&gt;""), B1645+1, "")</f>
        <v>#REF!</v>
      </c>
      <c r="C1650" s="416"/>
      <c r="D1650" s="446"/>
      <c r="E1650" s="250" t="s">
        <v>767</v>
      </c>
      <c r="F1650" s="204">
        <v>0</v>
      </c>
      <c r="G1650" s="205">
        <v>0</v>
      </c>
      <c r="H1650" s="205">
        <v>0</v>
      </c>
      <c r="I1650" s="264">
        <v>0</v>
      </c>
      <c r="K1650" s="230"/>
      <c r="L1650" s="230"/>
      <c r="M1650" s="230"/>
    </row>
    <row r="1651" spans="1:13" s="231" customFormat="1" x14ac:dyDescent="0.25">
      <c r="A1651" s="1"/>
      <c r="B1651" s="241" t="e">
        <f>IF(AND(F1651&lt;&gt;"", B1646&lt;&gt;""), B1646+1, "")</f>
        <v>#REF!</v>
      </c>
      <c r="C1651" s="442">
        <v>46360</v>
      </c>
      <c r="D1651" s="444">
        <f>D1646+1</f>
        <v>46360</v>
      </c>
      <c r="E1651" s="246" t="s">
        <v>394</v>
      </c>
      <c r="F1651" s="202">
        <v>0</v>
      </c>
      <c r="G1651" s="203">
        <v>0</v>
      </c>
      <c r="H1651" s="203">
        <v>0</v>
      </c>
      <c r="I1651" s="263">
        <v>0</v>
      </c>
      <c r="K1651" s="230"/>
      <c r="L1651" s="230"/>
      <c r="M1651" s="230"/>
    </row>
    <row r="1652" spans="1:13" s="231" customFormat="1" x14ac:dyDescent="0.25">
      <c r="A1652" s="1"/>
      <c r="B1652" s="245" t="e">
        <f>IF(AND(F1651&lt;&gt;"", B1647&lt;&gt;""), B1647+1, "")</f>
        <v>#REF!</v>
      </c>
      <c r="C1652" s="409"/>
      <c r="D1652" s="445"/>
      <c r="E1652" s="246" t="s">
        <v>764</v>
      </c>
      <c r="F1652" s="202">
        <v>0</v>
      </c>
      <c r="G1652" s="203">
        <v>0</v>
      </c>
      <c r="H1652" s="203">
        <v>0</v>
      </c>
      <c r="I1652" s="263">
        <v>0</v>
      </c>
      <c r="K1652" s="230"/>
      <c r="L1652" s="230"/>
      <c r="M1652" s="230"/>
    </row>
    <row r="1653" spans="1:13" s="231" customFormat="1" x14ac:dyDescent="0.25">
      <c r="A1653" s="1"/>
      <c r="B1653" s="245" t="e">
        <f>IF(AND(F1651&lt;&gt;"", B1648&lt;&gt;""), B1648+1, "")</f>
        <v>#REF!</v>
      </c>
      <c r="C1653" s="409"/>
      <c r="D1653" s="445"/>
      <c r="E1653" s="246" t="s">
        <v>765</v>
      </c>
      <c r="F1653" s="202">
        <v>0</v>
      </c>
      <c r="G1653" s="203">
        <v>0</v>
      </c>
      <c r="H1653" s="203">
        <v>0</v>
      </c>
      <c r="I1653" s="263">
        <v>0</v>
      </c>
      <c r="K1653" s="230"/>
      <c r="L1653" s="230"/>
      <c r="M1653" s="230"/>
    </row>
    <row r="1654" spans="1:13" s="231" customFormat="1" x14ac:dyDescent="0.25">
      <c r="A1654" s="1"/>
      <c r="B1654" s="245" t="e">
        <f>IF(AND(F1651&lt;&gt;"", B1649&lt;&gt;""), B1649+1, "")</f>
        <v>#REF!</v>
      </c>
      <c r="C1654" s="409"/>
      <c r="D1654" s="445"/>
      <c r="E1654" s="246" t="s">
        <v>766</v>
      </c>
      <c r="F1654" s="202">
        <v>0</v>
      </c>
      <c r="G1654" s="203">
        <v>0</v>
      </c>
      <c r="H1654" s="203">
        <v>0</v>
      </c>
      <c r="I1654" s="263">
        <v>0</v>
      </c>
      <c r="K1654" s="230"/>
      <c r="L1654" s="230"/>
      <c r="M1654" s="230"/>
    </row>
    <row r="1655" spans="1:13" s="231" customFormat="1" ht="15.75" customHeight="1" thickBot="1" x14ac:dyDescent="0.3">
      <c r="A1655" s="1"/>
      <c r="B1655" s="249" t="e">
        <f>IF(AND(F1651&lt;&gt;"", B1650&lt;&gt;""), B1650+1, "")</f>
        <v>#REF!</v>
      </c>
      <c r="C1655" s="416"/>
      <c r="D1655" s="446"/>
      <c r="E1655" s="250" t="s">
        <v>767</v>
      </c>
      <c r="F1655" s="204">
        <v>0</v>
      </c>
      <c r="G1655" s="205">
        <v>0</v>
      </c>
      <c r="H1655" s="205">
        <v>0</v>
      </c>
      <c r="I1655" s="264">
        <v>0</v>
      </c>
      <c r="K1655" s="230"/>
      <c r="L1655" s="230"/>
      <c r="M1655" s="230"/>
    </row>
    <row r="1656" spans="1:13" s="231" customFormat="1" x14ac:dyDescent="0.25">
      <c r="A1656" s="1"/>
      <c r="B1656" s="241" t="e">
        <f>IF(AND(F1656&lt;&gt;"", B1651&lt;&gt;""), B1651+1, "")</f>
        <v>#REF!</v>
      </c>
      <c r="C1656" s="442">
        <v>46361</v>
      </c>
      <c r="D1656" s="444">
        <f>D1651+1</f>
        <v>46361</v>
      </c>
      <c r="E1656" s="246" t="s">
        <v>394</v>
      </c>
      <c r="F1656" s="202">
        <v>0</v>
      </c>
      <c r="G1656" s="203">
        <v>0</v>
      </c>
      <c r="H1656" s="203">
        <v>0</v>
      </c>
      <c r="I1656" s="263">
        <v>0</v>
      </c>
      <c r="K1656" s="230"/>
      <c r="L1656" s="230"/>
      <c r="M1656" s="230"/>
    </row>
    <row r="1657" spans="1:13" s="231" customFormat="1" x14ac:dyDescent="0.25">
      <c r="A1657" s="1"/>
      <c r="B1657" s="245" t="e">
        <f>IF(AND(F1656&lt;&gt;"", B1652&lt;&gt;""), B1652+1, "")</f>
        <v>#REF!</v>
      </c>
      <c r="C1657" s="409"/>
      <c r="D1657" s="445"/>
      <c r="E1657" s="246" t="s">
        <v>764</v>
      </c>
      <c r="F1657" s="202">
        <v>0</v>
      </c>
      <c r="G1657" s="203">
        <v>0</v>
      </c>
      <c r="H1657" s="203">
        <v>0</v>
      </c>
      <c r="I1657" s="263">
        <v>0</v>
      </c>
      <c r="K1657" s="230"/>
      <c r="L1657" s="230"/>
      <c r="M1657" s="230"/>
    </row>
    <row r="1658" spans="1:13" s="231" customFormat="1" x14ac:dyDescent="0.25">
      <c r="A1658" s="1"/>
      <c r="B1658" s="245" t="e">
        <f>IF(AND(F1656&lt;&gt;"", B1653&lt;&gt;""), B1653+1, "")</f>
        <v>#REF!</v>
      </c>
      <c r="C1658" s="409"/>
      <c r="D1658" s="445"/>
      <c r="E1658" s="246" t="s">
        <v>765</v>
      </c>
      <c r="F1658" s="202">
        <v>0</v>
      </c>
      <c r="G1658" s="203">
        <v>0</v>
      </c>
      <c r="H1658" s="203">
        <v>0</v>
      </c>
      <c r="I1658" s="263">
        <v>0</v>
      </c>
      <c r="K1658" s="230"/>
      <c r="L1658" s="230"/>
      <c r="M1658" s="230"/>
    </row>
    <row r="1659" spans="1:13" s="231" customFormat="1" x14ac:dyDescent="0.25">
      <c r="A1659" s="1"/>
      <c r="B1659" s="245" t="e">
        <f>IF(AND(F1656&lt;&gt;"", B1654&lt;&gt;""), B1654+1, "")</f>
        <v>#REF!</v>
      </c>
      <c r="C1659" s="409"/>
      <c r="D1659" s="445"/>
      <c r="E1659" s="246" t="s">
        <v>766</v>
      </c>
      <c r="F1659" s="202">
        <v>0</v>
      </c>
      <c r="G1659" s="203">
        <v>0</v>
      </c>
      <c r="H1659" s="203">
        <v>0</v>
      </c>
      <c r="I1659" s="263">
        <v>0</v>
      </c>
      <c r="K1659" s="230"/>
      <c r="L1659" s="230"/>
      <c r="M1659" s="230"/>
    </row>
    <row r="1660" spans="1:13" s="231" customFormat="1" ht="15.75" customHeight="1" thickBot="1" x14ac:dyDescent="0.3">
      <c r="A1660" s="1"/>
      <c r="B1660" s="249" t="e">
        <f>IF(AND(F1656&lt;&gt;"", B1655&lt;&gt;""), B1655+1, "")</f>
        <v>#REF!</v>
      </c>
      <c r="C1660" s="416"/>
      <c r="D1660" s="446"/>
      <c r="E1660" s="250" t="s">
        <v>767</v>
      </c>
      <c r="F1660" s="204">
        <v>0</v>
      </c>
      <c r="G1660" s="205">
        <v>0</v>
      </c>
      <c r="H1660" s="205">
        <v>0</v>
      </c>
      <c r="I1660" s="264">
        <v>0</v>
      </c>
      <c r="K1660" s="230"/>
      <c r="L1660" s="230"/>
      <c r="M1660" s="230"/>
    </row>
    <row r="1661" spans="1:13" s="231" customFormat="1" x14ac:dyDescent="0.25">
      <c r="A1661" s="1"/>
      <c r="B1661" s="241" t="e">
        <f>IF(AND(F1661&lt;&gt;"", B1656&lt;&gt;""), B1656+1, "")</f>
        <v>#REF!</v>
      </c>
      <c r="C1661" s="442">
        <v>46362</v>
      </c>
      <c r="D1661" s="444">
        <f>D1656+1</f>
        <v>46362</v>
      </c>
      <c r="E1661" s="246" t="s">
        <v>394</v>
      </c>
      <c r="F1661" s="202">
        <v>0</v>
      </c>
      <c r="G1661" s="203">
        <v>0</v>
      </c>
      <c r="H1661" s="203">
        <v>0</v>
      </c>
      <c r="I1661" s="263">
        <v>0</v>
      </c>
      <c r="K1661" s="230"/>
      <c r="L1661" s="230"/>
      <c r="M1661" s="230"/>
    </row>
    <row r="1662" spans="1:13" s="231" customFormat="1" x14ac:dyDescent="0.25">
      <c r="A1662" s="1"/>
      <c r="B1662" s="245" t="e">
        <f>IF(AND(F1661&lt;&gt;"", B1657&lt;&gt;""), B1657+1, "")</f>
        <v>#REF!</v>
      </c>
      <c r="C1662" s="409"/>
      <c r="D1662" s="445"/>
      <c r="E1662" s="246" t="s">
        <v>764</v>
      </c>
      <c r="F1662" s="202">
        <v>0</v>
      </c>
      <c r="G1662" s="203">
        <v>0</v>
      </c>
      <c r="H1662" s="203">
        <v>0</v>
      </c>
      <c r="I1662" s="263">
        <v>0</v>
      </c>
      <c r="K1662" s="230"/>
      <c r="L1662" s="230"/>
      <c r="M1662" s="230"/>
    </row>
    <row r="1663" spans="1:13" s="231" customFormat="1" x14ac:dyDescent="0.25">
      <c r="A1663" s="1"/>
      <c r="B1663" s="245" t="e">
        <f>IF(AND(F1661&lt;&gt;"", B1658&lt;&gt;""), B1658+1, "")</f>
        <v>#REF!</v>
      </c>
      <c r="C1663" s="409"/>
      <c r="D1663" s="445"/>
      <c r="E1663" s="246" t="s">
        <v>765</v>
      </c>
      <c r="F1663" s="202">
        <v>0</v>
      </c>
      <c r="G1663" s="203">
        <v>0</v>
      </c>
      <c r="H1663" s="203">
        <v>0</v>
      </c>
      <c r="I1663" s="263">
        <v>0</v>
      </c>
      <c r="K1663" s="230"/>
      <c r="L1663" s="230"/>
      <c r="M1663" s="230"/>
    </row>
    <row r="1664" spans="1:13" s="231" customFormat="1" x14ac:dyDescent="0.25">
      <c r="A1664" s="1"/>
      <c r="B1664" s="245" t="e">
        <f>IF(AND(F1661&lt;&gt;"", B1659&lt;&gt;""), B1659+1, "")</f>
        <v>#REF!</v>
      </c>
      <c r="C1664" s="409"/>
      <c r="D1664" s="445"/>
      <c r="E1664" s="246" t="s">
        <v>766</v>
      </c>
      <c r="F1664" s="202">
        <v>0</v>
      </c>
      <c r="G1664" s="203">
        <v>0</v>
      </c>
      <c r="H1664" s="203">
        <v>0</v>
      </c>
      <c r="I1664" s="263">
        <v>0</v>
      </c>
      <c r="K1664" s="230"/>
      <c r="L1664" s="230"/>
      <c r="M1664" s="230"/>
    </row>
    <row r="1665" spans="1:13" s="231" customFormat="1" ht="15.75" customHeight="1" thickBot="1" x14ac:dyDescent="0.3">
      <c r="A1665" s="1"/>
      <c r="B1665" s="249" t="e">
        <f>IF(AND(F1661&lt;&gt;"", B1660&lt;&gt;""), B1660+1, "")</f>
        <v>#REF!</v>
      </c>
      <c r="C1665" s="416"/>
      <c r="D1665" s="446"/>
      <c r="E1665" s="250" t="s">
        <v>767</v>
      </c>
      <c r="F1665" s="204">
        <v>0</v>
      </c>
      <c r="G1665" s="205">
        <v>0</v>
      </c>
      <c r="H1665" s="205">
        <v>0</v>
      </c>
      <c r="I1665" s="264">
        <v>0</v>
      </c>
      <c r="K1665" s="230"/>
      <c r="L1665" s="230"/>
      <c r="M1665" s="230"/>
    </row>
    <row r="1666" spans="1:13" s="231" customFormat="1" x14ac:dyDescent="0.25">
      <c r="A1666" s="1"/>
      <c r="B1666" s="241" t="e">
        <f>IF(AND(F1666&lt;&gt;"", B1661&lt;&gt;""), B1661+1, "")</f>
        <v>#REF!</v>
      </c>
      <c r="C1666" s="442">
        <v>46363</v>
      </c>
      <c r="D1666" s="444">
        <f>D1661+1</f>
        <v>46363</v>
      </c>
      <c r="E1666" s="246" t="s">
        <v>394</v>
      </c>
      <c r="F1666" s="202">
        <v>0</v>
      </c>
      <c r="G1666" s="203">
        <v>0</v>
      </c>
      <c r="H1666" s="203">
        <v>0</v>
      </c>
      <c r="I1666" s="263">
        <v>0</v>
      </c>
      <c r="K1666" s="230"/>
      <c r="L1666" s="230"/>
      <c r="M1666" s="230"/>
    </row>
    <row r="1667" spans="1:13" s="231" customFormat="1" x14ac:dyDescent="0.25">
      <c r="A1667" s="1"/>
      <c r="B1667" s="245" t="e">
        <f>IF(AND(F1666&lt;&gt;"", B1662&lt;&gt;""), B1662+1, "")</f>
        <v>#REF!</v>
      </c>
      <c r="C1667" s="409"/>
      <c r="D1667" s="445"/>
      <c r="E1667" s="246" t="s">
        <v>764</v>
      </c>
      <c r="F1667" s="202">
        <v>0</v>
      </c>
      <c r="G1667" s="203">
        <v>0</v>
      </c>
      <c r="H1667" s="203">
        <v>0</v>
      </c>
      <c r="I1667" s="263">
        <v>0</v>
      </c>
      <c r="K1667" s="230"/>
      <c r="L1667" s="230"/>
      <c r="M1667" s="230"/>
    </row>
    <row r="1668" spans="1:13" s="231" customFormat="1" x14ac:dyDescent="0.25">
      <c r="A1668" s="1"/>
      <c r="B1668" s="245" t="e">
        <f>IF(AND(F1666&lt;&gt;"", B1663&lt;&gt;""), B1663+1, "")</f>
        <v>#REF!</v>
      </c>
      <c r="C1668" s="409"/>
      <c r="D1668" s="445"/>
      <c r="E1668" s="246" t="s">
        <v>765</v>
      </c>
      <c r="F1668" s="202">
        <v>0</v>
      </c>
      <c r="G1668" s="203">
        <v>0</v>
      </c>
      <c r="H1668" s="203">
        <v>0</v>
      </c>
      <c r="I1668" s="263">
        <v>0</v>
      </c>
      <c r="K1668" s="230"/>
      <c r="L1668" s="230"/>
      <c r="M1668" s="230"/>
    </row>
    <row r="1669" spans="1:13" s="231" customFormat="1" x14ac:dyDescent="0.25">
      <c r="A1669" s="1"/>
      <c r="B1669" s="245" t="e">
        <f>IF(AND(F1666&lt;&gt;"", B1664&lt;&gt;""), B1664+1, "")</f>
        <v>#REF!</v>
      </c>
      <c r="C1669" s="409"/>
      <c r="D1669" s="445"/>
      <c r="E1669" s="246" t="s">
        <v>766</v>
      </c>
      <c r="F1669" s="202">
        <v>0</v>
      </c>
      <c r="G1669" s="203">
        <v>0</v>
      </c>
      <c r="H1669" s="203">
        <v>0</v>
      </c>
      <c r="I1669" s="263">
        <v>0</v>
      </c>
      <c r="K1669" s="230"/>
      <c r="L1669" s="230"/>
      <c r="M1669" s="230"/>
    </row>
    <row r="1670" spans="1:13" s="231" customFormat="1" ht="15.75" customHeight="1" thickBot="1" x14ac:dyDescent="0.3">
      <c r="A1670" s="1"/>
      <c r="B1670" s="249" t="e">
        <f>IF(AND(F1666&lt;&gt;"", B1665&lt;&gt;""), B1665+1, "")</f>
        <v>#REF!</v>
      </c>
      <c r="C1670" s="416"/>
      <c r="D1670" s="446"/>
      <c r="E1670" s="250" t="s">
        <v>767</v>
      </c>
      <c r="F1670" s="204">
        <v>0</v>
      </c>
      <c r="G1670" s="205">
        <v>0</v>
      </c>
      <c r="H1670" s="205">
        <v>0</v>
      </c>
      <c r="I1670" s="264">
        <v>0</v>
      </c>
      <c r="K1670" s="230"/>
      <c r="L1670" s="230"/>
      <c r="M1670" s="230"/>
    </row>
    <row r="1671" spans="1:13" s="231" customFormat="1" x14ac:dyDescent="0.25">
      <c r="A1671" s="1"/>
      <c r="B1671" s="241" t="e">
        <f>IF(AND(F1671&lt;&gt;"", B1666&lt;&gt;""), B1666+1, "")</f>
        <v>#REF!</v>
      </c>
      <c r="C1671" s="442">
        <v>46364</v>
      </c>
      <c r="D1671" s="444">
        <f>D1666+1</f>
        <v>46364</v>
      </c>
      <c r="E1671" s="246" t="s">
        <v>394</v>
      </c>
      <c r="F1671" s="202">
        <v>0</v>
      </c>
      <c r="G1671" s="203">
        <v>0</v>
      </c>
      <c r="H1671" s="203">
        <v>0</v>
      </c>
      <c r="I1671" s="263">
        <v>0</v>
      </c>
      <c r="K1671" s="230"/>
      <c r="L1671" s="230"/>
      <c r="M1671" s="230"/>
    </row>
    <row r="1672" spans="1:13" s="231" customFormat="1" x14ac:dyDescent="0.25">
      <c r="A1672" s="1"/>
      <c r="B1672" s="245" t="e">
        <f>IF(AND(F1671&lt;&gt;"", B1667&lt;&gt;""), B1667+1, "")</f>
        <v>#REF!</v>
      </c>
      <c r="C1672" s="409"/>
      <c r="D1672" s="445"/>
      <c r="E1672" s="246" t="s">
        <v>764</v>
      </c>
      <c r="F1672" s="202">
        <v>0</v>
      </c>
      <c r="G1672" s="203">
        <v>0</v>
      </c>
      <c r="H1672" s="203">
        <v>0</v>
      </c>
      <c r="I1672" s="263">
        <v>0</v>
      </c>
      <c r="K1672" s="230"/>
      <c r="L1672" s="230"/>
      <c r="M1672" s="230"/>
    </row>
    <row r="1673" spans="1:13" s="231" customFormat="1" x14ac:dyDescent="0.25">
      <c r="A1673" s="1"/>
      <c r="B1673" s="245" t="e">
        <f>IF(AND(F1671&lt;&gt;"", B1668&lt;&gt;""), B1668+1, "")</f>
        <v>#REF!</v>
      </c>
      <c r="C1673" s="409"/>
      <c r="D1673" s="445"/>
      <c r="E1673" s="246" t="s">
        <v>765</v>
      </c>
      <c r="F1673" s="202">
        <v>0</v>
      </c>
      <c r="G1673" s="203">
        <v>0</v>
      </c>
      <c r="H1673" s="203">
        <v>0</v>
      </c>
      <c r="I1673" s="263">
        <v>0</v>
      </c>
      <c r="K1673" s="230"/>
      <c r="L1673" s="230"/>
      <c r="M1673" s="230"/>
    </row>
    <row r="1674" spans="1:13" s="231" customFormat="1" x14ac:dyDescent="0.25">
      <c r="A1674" s="1"/>
      <c r="B1674" s="245" t="e">
        <f>IF(AND(F1671&lt;&gt;"", B1669&lt;&gt;""), B1669+1, "")</f>
        <v>#REF!</v>
      </c>
      <c r="C1674" s="409"/>
      <c r="D1674" s="445"/>
      <c r="E1674" s="246" t="s">
        <v>766</v>
      </c>
      <c r="F1674" s="202">
        <v>0</v>
      </c>
      <c r="G1674" s="203">
        <v>0</v>
      </c>
      <c r="H1674" s="203">
        <v>0</v>
      </c>
      <c r="I1674" s="263">
        <v>0</v>
      </c>
      <c r="K1674" s="230"/>
      <c r="L1674" s="230"/>
      <c r="M1674" s="230"/>
    </row>
    <row r="1675" spans="1:13" s="231" customFormat="1" ht="15.75" customHeight="1" thickBot="1" x14ac:dyDescent="0.3">
      <c r="A1675" s="1"/>
      <c r="B1675" s="249" t="e">
        <f>IF(AND(F1671&lt;&gt;"", B1670&lt;&gt;""), B1670+1, "")</f>
        <v>#REF!</v>
      </c>
      <c r="C1675" s="416"/>
      <c r="D1675" s="446"/>
      <c r="E1675" s="250" t="s">
        <v>767</v>
      </c>
      <c r="F1675" s="204">
        <v>0</v>
      </c>
      <c r="G1675" s="205">
        <v>0</v>
      </c>
      <c r="H1675" s="205">
        <v>0</v>
      </c>
      <c r="I1675" s="264">
        <v>0</v>
      </c>
      <c r="K1675" s="230"/>
      <c r="L1675" s="230"/>
      <c r="M1675" s="230"/>
    </row>
    <row r="1676" spans="1:13" s="231" customFormat="1" x14ac:dyDescent="0.25">
      <c r="A1676" s="1"/>
      <c r="B1676" s="241" t="e">
        <f>IF(AND(F1676&lt;&gt;"", B1671&lt;&gt;""), B1671+1, "")</f>
        <v>#REF!</v>
      </c>
      <c r="C1676" s="442">
        <v>46365</v>
      </c>
      <c r="D1676" s="444">
        <f>D1671+1</f>
        <v>46365</v>
      </c>
      <c r="E1676" s="246" t="s">
        <v>394</v>
      </c>
      <c r="F1676" s="202">
        <v>0</v>
      </c>
      <c r="G1676" s="203">
        <v>0</v>
      </c>
      <c r="H1676" s="203">
        <v>0</v>
      </c>
      <c r="I1676" s="263">
        <v>0</v>
      </c>
      <c r="K1676" s="230"/>
      <c r="L1676" s="230"/>
      <c r="M1676" s="230"/>
    </row>
    <row r="1677" spans="1:13" s="231" customFormat="1" x14ac:dyDescent="0.25">
      <c r="A1677" s="1"/>
      <c r="B1677" s="245" t="e">
        <f>IF(AND(F1676&lt;&gt;"", B1672&lt;&gt;""), B1672+1, "")</f>
        <v>#REF!</v>
      </c>
      <c r="C1677" s="409"/>
      <c r="D1677" s="445"/>
      <c r="E1677" s="246" t="s">
        <v>764</v>
      </c>
      <c r="F1677" s="202">
        <v>0</v>
      </c>
      <c r="G1677" s="203">
        <v>0</v>
      </c>
      <c r="H1677" s="203">
        <v>0</v>
      </c>
      <c r="I1677" s="263">
        <v>0</v>
      </c>
      <c r="K1677" s="230"/>
      <c r="L1677" s="230"/>
      <c r="M1677" s="230"/>
    </row>
    <row r="1678" spans="1:13" s="231" customFormat="1" x14ac:dyDescent="0.25">
      <c r="A1678" s="1"/>
      <c r="B1678" s="245" t="e">
        <f>IF(AND(F1676&lt;&gt;"", B1673&lt;&gt;""), B1673+1, "")</f>
        <v>#REF!</v>
      </c>
      <c r="C1678" s="409"/>
      <c r="D1678" s="445"/>
      <c r="E1678" s="246" t="s">
        <v>765</v>
      </c>
      <c r="F1678" s="202">
        <v>0</v>
      </c>
      <c r="G1678" s="203">
        <v>0</v>
      </c>
      <c r="H1678" s="203">
        <v>0</v>
      </c>
      <c r="I1678" s="263">
        <v>0</v>
      </c>
      <c r="K1678" s="230"/>
      <c r="L1678" s="230"/>
      <c r="M1678" s="230"/>
    </row>
    <row r="1679" spans="1:13" s="231" customFormat="1" x14ac:dyDescent="0.25">
      <c r="A1679" s="1"/>
      <c r="B1679" s="245" t="e">
        <f>IF(AND(F1676&lt;&gt;"", B1674&lt;&gt;""), B1674+1, "")</f>
        <v>#REF!</v>
      </c>
      <c r="C1679" s="409"/>
      <c r="D1679" s="445"/>
      <c r="E1679" s="246" t="s">
        <v>766</v>
      </c>
      <c r="F1679" s="202">
        <v>0</v>
      </c>
      <c r="G1679" s="203">
        <v>0</v>
      </c>
      <c r="H1679" s="203">
        <v>0</v>
      </c>
      <c r="I1679" s="263">
        <v>0</v>
      </c>
      <c r="K1679" s="230"/>
      <c r="L1679" s="230"/>
      <c r="M1679" s="230"/>
    </row>
    <row r="1680" spans="1:13" s="231" customFormat="1" ht="15.75" customHeight="1" thickBot="1" x14ac:dyDescent="0.3">
      <c r="A1680" s="1"/>
      <c r="B1680" s="249" t="e">
        <f>IF(AND(F1676&lt;&gt;"", B1675&lt;&gt;""), B1675+1, "")</f>
        <v>#REF!</v>
      </c>
      <c r="C1680" s="416"/>
      <c r="D1680" s="446"/>
      <c r="E1680" s="250" t="s">
        <v>767</v>
      </c>
      <c r="F1680" s="204">
        <v>0</v>
      </c>
      <c r="G1680" s="205">
        <v>0</v>
      </c>
      <c r="H1680" s="205">
        <v>0</v>
      </c>
      <c r="I1680" s="264">
        <v>0</v>
      </c>
      <c r="K1680" s="230"/>
      <c r="L1680" s="230"/>
      <c r="M1680" s="230"/>
    </row>
    <row r="1681" spans="1:13" s="231" customFormat="1" x14ac:dyDescent="0.25">
      <c r="A1681" s="1"/>
      <c r="B1681" s="241" t="e">
        <f>IF(AND(F1681&lt;&gt;"", B1676&lt;&gt;""), B1676+1, "")</f>
        <v>#REF!</v>
      </c>
      <c r="C1681" s="442">
        <v>46366</v>
      </c>
      <c r="D1681" s="444">
        <f>D1676+1</f>
        <v>46366</v>
      </c>
      <c r="E1681" s="246" t="s">
        <v>394</v>
      </c>
      <c r="F1681" s="202">
        <v>0</v>
      </c>
      <c r="G1681" s="203">
        <v>0</v>
      </c>
      <c r="H1681" s="203">
        <v>0</v>
      </c>
      <c r="I1681" s="263">
        <v>0</v>
      </c>
      <c r="K1681" s="230"/>
      <c r="L1681" s="230"/>
      <c r="M1681" s="230"/>
    </row>
    <row r="1682" spans="1:13" s="231" customFormat="1" x14ac:dyDescent="0.25">
      <c r="A1682" s="1"/>
      <c r="B1682" s="245" t="e">
        <f>IF(AND(F1681&lt;&gt;"", B1677&lt;&gt;""), B1677+1, "")</f>
        <v>#REF!</v>
      </c>
      <c r="C1682" s="409"/>
      <c r="D1682" s="445"/>
      <c r="E1682" s="246" t="s">
        <v>764</v>
      </c>
      <c r="F1682" s="202">
        <v>0</v>
      </c>
      <c r="G1682" s="203">
        <v>0</v>
      </c>
      <c r="H1682" s="203">
        <v>0</v>
      </c>
      <c r="I1682" s="263">
        <v>0</v>
      </c>
      <c r="K1682" s="230"/>
      <c r="L1682" s="230"/>
      <c r="M1682" s="230"/>
    </row>
    <row r="1683" spans="1:13" s="231" customFormat="1" x14ac:dyDescent="0.25">
      <c r="A1683" s="1"/>
      <c r="B1683" s="245" t="e">
        <f>IF(AND(F1681&lt;&gt;"", B1678&lt;&gt;""), B1678+1, "")</f>
        <v>#REF!</v>
      </c>
      <c r="C1683" s="409"/>
      <c r="D1683" s="445"/>
      <c r="E1683" s="246" t="s">
        <v>765</v>
      </c>
      <c r="F1683" s="202">
        <v>0</v>
      </c>
      <c r="G1683" s="203">
        <v>0</v>
      </c>
      <c r="H1683" s="203">
        <v>0</v>
      </c>
      <c r="I1683" s="263">
        <v>0</v>
      </c>
      <c r="K1683" s="230"/>
      <c r="L1683" s="230"/>
      <c r="M1683" s="230"/>
    </row>
    <row r="1684" spans="1:13" s="231" customFormat="1" x14ac:dyDescent="0.25">
      <c r="A1684" s="1"/>
      <c r="B1684" s="245" t="e">
        <f>IF(AND(F1681&lt;&gt;"", B1679&lt;&gt;""), B1679+1, "")</f>
        <v>#REF!</v>
      </c>
      <c r="C1684" s="409"/>
      <c r="D1684" s="445"/>
      <c r="E1684" s="246" t="s">
        <v>766</v>
      </c>
      <c r="F1684" s="202">
        <v>0</v>
      </c>
      <c r="G1684" s="203">
        <v>0</v>
      </c>
      <c r="H1684" s="203">
        <v>0</v>
      </c>
      <c r="I1684" s="263">
        <v>0</v>
      </c>
      <c r="K1684" s="230"/>
      <c r="L1684" s="230"/>
      <c r="M1684" s="230"/>
    </row>
    <row r="1685" spans="1:13" s="231" customFormat="1" ht="15.75" customHeight="1" thickBot="1" x14ac:dyDescent="0.3">
      <c r="A1685" s="1"/>
      <c r="B1685" s="249" t="e">
        <f>IF(AND(F1681&lt;&gt;"", B1680&lt;&gt;""), B1680+1, "")</f>
        <v>#REF!</v>
      </c>
      <c r="C1685" s="416"/>
      <c r="D1685" s="446"/>
      <c r="E1685" s="250" t="s">
        <v>767</v>
      </c>
      <c r="F1685" s="204">
        <v>0</v>
      </c>
      <c r="G1685" s="205">
        <v>0</v>
      </c>
      <c r="H1685" s="205">
        <v>0</v>
      </c>
      <c r="I1685" s="264">
        <v>0</v>
      </c>
      <c r="K1685" s="230"/>
      <c r="L1685" s="230"/>
      <c r="M1685" s="230"/>
    </row>
    <row r="1686" spans="1:13" s="231" customFormat="1" x14ac:dyDescent="0.25">
      <c r="A1686" s="1"/>
      <c r="B1686" s="241" t="e">
        <f>IF(AND(F1686&lt;&gt;"", B1681&lt;&gt;""), B1681+1, "")</f>
        <v>#REF!</v>
      </c>
      <c r="C1686" s="442">
        <v>46367</v>
      </c>
      <c r="D1686" s="444">
        <f>D1681+1</f>
        <v>46367</v>
      </c>
      <c r="E1686" s="246" t="s">
        <v>394</v>
      </c>
      <c r="F1686" s="202">
        <v>0</v>
      </c>
      <c r="G1686" s="203">
        <v>0</v>
      </c>
      <c r="H1686" s="203">
        <v>0</v>
      </c>
      <c r="I1686" s="263">
        <v>0</v>
      </c>
      <c r="K1686" s="230"/>
      <c r="L1686" s="230"/>
      <c r="M1686" s="230"/>
    </row>
    <row r="1687" spans="1:13" s="231" customFormat="1" x14ac:dyDescent="0.25">
      <c r="A1687" s="1"/>
      <c r="B1687" s="245" t="e">
        <f>IF(AND(F1686&lt;&gt;"", B1682&lt;&gt;""), B1682+1, "")</f>
        <v>#REF!</v>
      </c>
      <c r="C1687" s="409"/>
      <c r="D1687" s="445"/>
      <c r="E1687" s="246" t="s">
        <v>764</v>
      </c>
      <c r="F1687" s="202">
        <v>0</v>
      </c>
      <c r="G1687" s="203">
        <v>0</v>
      </c>
      <c r="H1687" s="203">
        <v>0</v>
      </c>
      <c r="I1687" s="263">
        <v>0</v>
      </c>
      <c r="K1687" s="230"/>
      <c r="L1687" s="230"/>
      <c r="M1687" s="230"/>
    </row>
    <row r="1688" spans="1:13" s="231" customFormat="1" x14ac:dyDescent="0.25">
      <c r="A1688" s="1"/>
      <c r="B1688" s="245" t="e">
        <f>IF(AND(F1686&lt;&gt;"", B1683&lt;&gt;""), B1683+1, "")</f>
        <v>#REF!</v>
      </c>
      <c r="C1688" s="409"/>
      <c r="D1688" s="445"/>
      <c r="E1688" s="246" t="s">
        <v>765</v>
      </c>
      <c r="F1688" s="202">
        <v>0</v>
      </c>
      <c r="G1688" s="203">
        <v>0</v>
      </c>
      <c r="H1688" s="203">
        <v>0</v>
      </c>
      <c r="I1688" s="263">
        <v>0</v>
      </c>
      <c r="K1688" s="230"/>
      <c r="L1688" s="230"/>
      <c r="M1688" s="230"/>
    </row>
    <row r="1689" spans="1:13" s="231" customFormat="1" x14ac:dyDescent="0.25">
      <c r="A1689" s="1"/>
      <c r="B1689" s="245" t="e">
        <f>IF(AND(F1686&lt;&gt;"", B1684&lt;&gt;""), B1684+1, "")</f>
        <v>#REF!</v>
      </c>
      <c r="C1689" s="409"/>
      <c r="D1689" s="445"/>
      <c r="E1689" s="246" t="s">
        <v>766</v>
      </c>
      <c r="F1689" s="202">
        <v>0</v>
      </c>
      <c r="G1689" s="203">
        <v>0</v>
      </c>
      <c r="H1689" s="203">
        <v>0</v>
      </c>
      <c r="I1689" s="263">
        <v>0</v>
      </c>
      <c r="K1689" s="230"/>
      <c r="L1689" s="230"/>
      <c r="M1689" s="230"/>
    </row>
    <row r="1690" spans="1:13" s="231" customFormat="1" ht="15.75" customHeight="1" thickBot="1" x14ac:dyDescent="0.3">
      <c r="A1690" s="1"/>
      <c r="B1690" s="249" t="e">
        <f>IF(AND(F1686&lt;&gt;"", B1685&lt;&gt;""), B1685+1, "")</f>
        <v>#REF!</v>
      </c>
      <c r="C1690" s="416"/>
      <c r="D1690" s="446"/>
      <c r="E1690" s="250" t="s">
        <v>767</v>
      </c>
      <c r="F1690" s="204">
        <v>0</v>
      </c>
      <c r="G1690" s="205">
        <v>0</v>
      </c>
      <c r="H1690" s="205">
        <v>0</v>
      </c>
      <c r="I1690" s="264">
        <v>0</v>
      </c>
      <c r="K1690" s="230"/>
      <c r="L1690" s="230"/>
      <c r="M1690" s="230"/>
    </row>
    <row r="1691" spans="1:13" s="231" customFormat="1" x14ac:dyDescent="0.25">
      <c r="A1691" s="1"/>
      <c r="B1691" s="241" t="e">
        <f>IF(AND(F1691&lt;&gt;"", B1686&lt;&gt;""), B1686+1, "")</f>
        <v>#REF!</v>
      </c>
      <c r="C1691" s="442">
        <v>46368</v>
      </c>
      <c r="D1691" s="444">
        <f>D1686+1</f>
        <v>46368</v>
      </c>
      <c r="E1691" s="246" t="s">
        <v>394</v>
      </c>
      <c r="F1691" s="202">
        <v>0</v>
      </c>
      <c r="G1691" s="203">
        <v>0</v>
      </c>
      <c r="H1691" s="203">
        <v>0</v>
      </c>
      <c r="I1691" s="263">
        <v>0</v>
      </c>
      <c r="K1691" s="230"/>
      <c r="L1691" s="230"/>
      <c r="M1691" s="230"/>
    </row>
    <row r="1692" spans="1:13" s="231" customFormat="1" x14ac:dyDescent="0.25">
      <c r="A1692" s="1"/>
      <c r="B1692" s="245" t="e">
        <f>IF(AND(F1691&lt;&gt;"", B1687&lt;&gt;""), B1687+1, "")</f>
        <v>#REF!</v>
      </c>
      <c r="C1692" s="409"/>
      <c r="D1692" s="445"/>
      <c r="E1692" s="246" t="s">
        <v>764</v>
      </c>
      <c r="F1692" s="202">
        <v>0</v>
      </c>
      <c r="G1692" s="203">
        <v>0</v>
      </c>
      <c r="H1692" s="203">
        <v>0</v>
      </c>
      <c r="I1692" s="263">
        <v>0</v>
      </c>
      <c r="K1692" s="230"/>
      <c r="L1692" s="230"/>
      <c r="M1692" s="230"/>
    </row>
    <row r="1693" spans="1:13" s="231" customFormat="1" x14ac:dyDescent="0.25">
      <c r="A1693" s="1"/>
      <c r="B1693" s="245" t="e">
        <f>IF(AND(F1691&lt;&gt;"", B1688&lt;&gt;""), B1688+1, "")</f>
        <v>#REF!</v>
      </c>
      <c r="C1693" s="409"/>
      <c r="D1693" s="445"/>
      <c r="E1693" s="246" t="s">
        <v>765</v>
      </c>
      <c r="F1693" s="202">
        <v>0</v>
      </c>
      <c r="G1693" s="203">
        <v>0</v>
      </c>
      <c r="H1693" s="203">
        <v>0</v>
      </c>
      <c r="I1693" s="263">
        <v>0</v>
      </c>
      <c r="K1693" s="230"/>
      <c r="L1693" s="230"/>
      <c r="M1693" s="230"/>
    </row>
    <row r="1694" spans="1:13" s="231" customFormat="1" x14ac:dyDescent="0.25">
      <c r="A1694" s="1"/>
      <c r="B1694" s="245" t="e">
        <f>IF(AND(F1691&lt;&gt;"", B1689&lt;&gt;""), B1689+1, "")</f>
        <v>#REF!</v>
      </c>
      <c r="C1694" s="409"/>
      <c r="D1694" s="445"/>
      <c r="E1694" s="246" t="s">
        <v>766</v>
      </c>
      <c r="F1694" s="202">
        <v>0</v>
      </c>
      <c r="G1694" s="203">
        <v>0</v>
      </c>
      <c r="H1694" s="203">
        <v>0</v>
      </c>
      <c r="I1694" s="263">
        <v>0</v>
      </c>
      <c r="K1694" s="230"/>
      <c r="L1694" s="230"/>
      <c r="M1694" s="230"/>
    </row>
    <row r="1695" spans="1:13" s="231" customFormat="1" ht="15.75" customHeight="1" thickBot="1" x14ac:dyDescent="0.3">
      <c r="A1695" s="1"/>
      <c r="B1695" s="249" t="e">
        <f>IF(AND(F1691&lt;&gt;"", B1690&lt;&gt;""), B1690+1, "")</f>
        <v>#REF!</v>
      </c>
      <c r="C1695" s="416"/>
      <c r="D1695" s="446"/>
      <c r="E1695" s="250" t="s">
        <v>767</v>
      </c>
      <c r="F1695" s="204">
        <v>0</v>
      </c>
      <c r="G1695" s="205">
        <v>0</v>
      </c>
      <c r="H1695" s="205">
        <v>0</v>
      </c>
      <c r="I1695" s="264">
        <v>0</v>
      </c>
      <c r="K1695" s="230"/>
      <c r="L1695" s="230"/>
      <c r="M1695" s="230"/>
    </row>
    <row r="1696" spans="1:13" s="231" customFormat="1" x14ac:dyDescent="0.25">
      <c r="A1696" s="1"/>
      <c r="B1696" s="241" t="e">
        <f>IF(AND(F1696&lt;&gt;"", B1691&lt;&gt;""), B1691+1, "")</f>
        <v>#REF!</v>
      </c>
      <c r="C1696" s="442">
        <v>46369</v>
      </c>
      <c r="D1696" s="444">
        <f>D1691+1</f>
        <v>46369</v>
      </c>
      <c r="E1696" s="246" t="s">
        <v>394</v>
      </c>
      <c r="F1696" s="202">
        <v>0</v>
      </c>
      <c r="G1696" s="203">
        <v>0</v>
      </c>
      <c r="H1696" s="203">
        <v>0</v>
      </c>
      <c r="I1696" s="263">
        <v>0</v>
      </c>
      <c r="K1696" s="230"/>
      <c r="L1696" s="230"/>
      <c r="M1696" s="230"/>
    </row>
    <row r="1697" spans="1:13" s="231" customFormat="1" x14ac:dyDescent="0.25">
      <c r="A1697" s="1"/>
      <c r="B1697" s="245" t="e">
        <f>IF(AND(F1696&lt;&gt;"", B1692&lt;&gt;""), B1692+1, "")</f>
        <v>#REF!</v>
      </c>
      <c r="C1697" s="409"/>
      <c r="D1697" s="445"/>
      <c r="E1697" s="246" t="s">
        <v>764</v>
      </c>
      <c r="F1697" s="202">
        <v>0</v>
      </c>
      <c r="G1697" s="203">
        <v>0</v>
      </c>
      <c r="H1697" s="203">
        <v>0</v>
      </c>
      <c r="I1697" s="263">
        <v>0</v>
      </c>
      <c r="K1697" s="230"/>
      <c r="L1697" s="230"/>
      <c r="M1697" s="230"/>
    </row>
    <row r="1698" spans="1:13" s="231" customFormat="1" x14ac:dyDescent="0.25">
      <c r="A1698" s="1"/>
      <c r="B1698" s="245" t="e">
        <f>IF(AND(F1696&lt;&gt;"", B1693&lt;&gt;""), B1693+1, "")</f>
        <v>#REF!</v>
      </c>
      <c r="C1698" s="409"/>
      <c r="D1698" s="445"/>
      <c r="E1698" s="246" t="s">
        <v>765</v>
      </c>
      <c r="F1698" s="202">
        <v>0</v>
      </c>
      <c r="G1698" s="203">
        <v>0</v>
      </c>
      <c r="H1698" s="203">
        <v>0</v>
      </c>
      <c r="I1698" s="263">
        <v>0</v>
      </c>
      <c r="K1698" s="230"/>
      <c r="L1698" s="230"/>
      <c r="M1698" s="230"/>
    </row>
    <row r="1699" spans="1:13" s="231" customFormat="1" x14ac:dyDescent="0.25">
      <c r="A1699" s="1"/>
      <c r="B1699" s="245" t="e">
        <f>IF(AND(F1696&lt;&gt;"", B1694&lt;&gt;""), B1694+1, "")</f>
        <v>#REF!</v>
      </c>
      <c r="C1699" s="409"/>
      <c r="D1699" s="445"/>
      <c r="E1699" s="246" t="s">
        <v>766</v>
      </c>
      <c r="F1699" s="202">
        <v>0</v>
      </c>
      <c r="G1699" s="203">
        <v>0</v>
      </c>
      <c r="H1699" s="203">
        <v>0</v>
      </c>
      <c r="I1699" s="263">
        <v>0</v>
      </c>
      <c r="K1699" s="230"/>
      <c r="L1699" s="230"/>
      <c r="M1699" s="230"/>
    </row>
    <row r="1700" spans="1:13" s="231" customFormat="1" ht="15.75" customHeight="1" thickBot="1" x14ac:dyDescent="0.3">
      <c r="A1700" s="1"/>
      <c r="B1700" s="249" t="e">
        <f>IF(AND(F1696&lt;&gt;"", B1695&lt;&gt;""), B1695+1, "")</f>
        <v>#REF!</v>
      </c>
      <c r="C1700" s="416"/>
      <c r="D1700" s="446"/>
      <c r="E1700" s="250" t="s">
        <v>767</v>
      </c>
      <c r="F1700" s="204">
        <v>0</v>
      </c>
      <c r="G1700" s="205">
        <v>0</v>
      </c>
      <c r="H1700" s="205">
        <v>0</v>
      </c>
      <c r="I1700" s="264">
        <v>0</v>
      </c>
      <c r="K1700" s="230"/>
      <c r="L1700" s="230"/>
      <c r="M1700" s="230"/>
    </row>
    <row r="1701" spans="1:13" s="231" customFormat="1" x14ac:dyDescent="0.25">
      <c r="A1701" s="1"/>
      <c r="B1701" s="241" t="e">
        <f>IF(AND(F1701&lt;&gt;"", B1696&lt;&gt;""), B1696+1, "")</f>
        <v>#REF!</v>
      </c>
      <c r="C1701" s="442">
        <v>46370</v>
      </c>
      <c r="D1701" s="444">
        <f>D1696+1</f>
        <v>46370</v>
      </c>
      <c r="E1701" s="246" t="s">
        <v>394</v>
      </c>
      <c r="F1701" s="202">
        <v>0</v>
      </c>
      <c r="G1701" s="203">
        <v>0</v>
      </c>
      <c r="H1701" s="203">
        <v>0</v>
      </c>
      <c r="I1701" s="263">
        <v>0</v>
      </c>
      <c r="K1701" s="230"/>
      <c r="L1701" s="230"/>
      <c r="M1701" s="230"/>
    </row>
    <row r="1702" spans="1:13" s="231" customFormat="1" x14ac:dyDescent="0.25">
      <c r="A1702" s="1"/>
      <c r="B1702" s="245" t="e">
        <f>IF(AND(F1701&lt;&gt;"", B1697&lt;&gt;""), B1697+1, "")</f>
        <v>#REF!</v>
      </c>
      <c r="C1702" s="409"/>
      <c r="D1702" s="445"/>
      <c r="E1702" s="246" t="s">
        <v>764</v>
      </c>
      <c r="F1702" s="202">
        <v>0</v>
      </c>
      <c r="G1702" s="203">
        <v>0</v>
      </c>
      <c r="H1702" s="203">
        <v>0</v>
      </c>
      <c r="I1702" s="263">
        <v>0</v>
      </c>
      <c r="K1702" s="230"/>
      <c r="L1702" s="230"/>
      <c r="M1702" s="230"/>
    </row>
    <row r="1703" spans="1:13" s="231" customFormat="1" x14ac:dyDescent="0.25">
      <c r="A1703" s="1"/>
      <c r="B1703" s="245" t="e">
        <f>IF(AND(F1701&lt;&gt;"", B1698&lt;&gt;""), B1698+1, "")</f>
        <v>#REF!</v>
      </c>
      <c r="C1703" s="409"/>
      <c r="D1703" s="445"/>
      <c r="E1703" s="246" t="s">
        <v>765</v>
      </c>
      <c r="F1703" s="202">
        <v>0</v>
      </c>
      <c r="G1703" s="203">
        <v>0</v>
      </c>
      <c r="H1703" s="203">
        <v>0</v>
      </c>
      <c r="I1703" s="263">
        <v>0</v>
      </c>
      <c r="K1703" s="230"/>
      <c r="L1703" s="230"/>
      <c r="M1703" s="230"/>
    </row>
    <row r="1704" spans="1:13" s="231" customFormat="1" x14ac:dyDescent="0.25">
      <c r="A1704" s="1"/>
      <c r="B1704" s="245" t="e">
        <f>IF(AND(F1701&lt;&gt;"", B1699&lt;&gt;""), B1699+1, "")</f>
        <v>#REF!</v>
      </c>
      <c r="C1704" s="409"/>
      <c r="D1704" s="445"/>
      <c r="E1704" s="246" t="s">
        <v>766</v>
      </c>
      <c r="F1704" s="202">
        <v>0</v>
      </c>
      <c r="G1704" s="203">
        <v>0</v>
      </c>
      <c r="H1704" s="203">
        <v>0</v>
      </c>
      <c r="I1704" s="263">
        <v>0</v>
      </c>
      <c r="K1704" s="230"/>
      <c r="L1704" s="230"/>
      <c r="M1704" s="230"/>
    </row>
    <row r="1705" spans="1:13" s="231" customFormat="1" ht="15.75" customHeight="1" thickBot="1" x14ac:dyDescent="0.3">
      <c r="A1705" s="1"/>
      <c r="B1705" s="249" t="e">
        <f>IF(AND(F1701&lt;&gt;"", B1700&lt;&gt;""), B1700+1, "")</f>
        <v>#REF!</v>
      </c>
      <c r="C1705" s="416"/>
      <c r="D1705" s="446"/>
      <c r="E1705" s="250" t="s">
        <v>767</v>
      </c>
      <c r="F1705" s="204">
        <v>0</v>
      </c>
      <c r="G1705" s="205">
        <v>0</v>
      </c>
      <c r="H1705" s="205">
        <v>0</v>
      </c>
      <c r="I1705" s="264">
        <v>0</v>
      </c>
      <c r="K1705" s="230"/>
      <c r="L1705" s="230"/>
      <c r="M1705" s="230"/>
    </row>
    <row r="1706" spans="1:13" s="231" customFormat="1" x14ac:dyDescent="0.25">
      <c r="A1706" s="1"/>
      <c r="B1706" s="241" t="e">
        <f>IF(AND(F1706&lt;&gt;"", B1701&lt;&gt;""), B1701+1, "")</f>
        <v>#REF!</v>
      </c>
      <c r="C1706" s="442">
        <v>46371</v>
      </c>
      <c r="D1706" s="444">
        <f>D1701+1</f>
        <v>46371</v>
      </c>
      <c r="E1706" s="246" t="s">
        <v>394</v>
      </c>
      <c r="F1706" s="202">
        <v>0</v>
      </c>
      <c r="G1706" s="203">
        <v>0</v>
      </c>
      <c r="H1706" s="203">
        <v>0</v>
      </c>
      <c r="I1706" s="263">
        <v>0</v>
      </c>
      <c r="K1706" s="230"/>
      <c r="L1706" s="230"/>
      <c r="M1706" s="230"/>
    </row>
    <row r="1707" spans="1:13" s="231" customFormat="1" x14ac:dyDescent="0.25">
      <c r="A1707" s="1"/>
      <c r="B1707" s="245" t="e">
        <f>IF(AND(F1706&lt;&gt;"", B1702&lt;&gt;""), B1702+1, "")</f>
        <v>#REF!</v>
      </c>
      <c r="C1707" s="409"/>
      <c r="D1707" s="445"/>
      <c r="E1707" s="246" t="s">
        <v>764</v>
      </c>
      <c r="F1707" s="202">
        <v>0</v>
      </c>
      <c r="G1707" s="203">
        <v>0</v>
      </c>
      <c r="H1707" s="203">
        <v>0</v>
      </c>
      <c r="I1707" s="263">
        <v>0</v>
      </c>
      <c r="K1707" s="230"/>
      <c r="L1707" s="230"/>
      <c r="M1707" s="230"/>
    </row>
    <row r="1708" spans="1:13" s="231" customFormat="1" x14ac:dyDescent="0.25">
      <c r="A1708" s="1"/>
      <c r="B1708" s="245" t="e">
        <f>IF(AND(F1706&lt;&gt;"", B1703&lt;&gt;""), B1703+1, "")</f>
        <v>#REF!</v>
      </c>
      <c r="C1708" s="409"/>
      <c r="D1708" s="445"/>
      <c r="E1708" s="246" t="s">
        <v>765</v>
      </c>
      <c r="F1708" s="202">
        <v>0</v>
      </c>
      <c r="G1708" s="203">
        <v>0</v>
      </c>
      <c r="H1708" s="203">
        <v>0</v>
      </c>
      <c r="I1708" s="263">
        <v>0</v>
      </c>
      <c r="K1708" s="230"/>
      <c r="L1708" s="230"/>
      <c r="M1708" s="230"/>
    </row>
    <row r="1709" spans="1:13" s="231" customFormat="1" x14ac:dyDescent="0.25">
      <c r="A1709" s="1"/>
      <c r="B1709" s="245" t="e">
        <f>IF(AND(F1706&lt;&gt;"", B1704&lt;&gt;""), B1704+1, "")</f>
        <v>#REF!</v>
      </c>
      <c r="C1709" s="409"/>
      <c r="D1709" s="445"/>
      <c r="E1709" s="246" t="s">
        <v>766</v>
      </c>
      <c r="F1709" s="202">
        <v>0</v>
      </c>
      <c r="G1709" s="203">
        <v>0</v>
      </c>
      <c r="H1709" s="203">
        <v>0</v>
      </c>
      <c r="I1709" s="263">
        <v>0</v>
      </c>
      <c r="K1709" s="230"/>
      <c r="L1709" s="230"/>
      <c r="M1709" s="230"/>
    </row>
    <row r="1710" spans="1:13" s="231" customFormat="1" ht="15.75" customHeight="1" thickBot="1" x14ac:dyDescent="0.3">
      <c r="A1710" s="1"/>
      <c r="B1710" s="249" t="e">
        <f>IF(AND(F1706&lt;&gt;"", B1705&lt;&gt;""), B1705+1, "")</f>
        <v>#REF!</v>
      </c>
      <c r="C1710" s="416"/>
      <c r="D1710" s="446"/>
      <c r="E1710" s="250" t="s">
        <v>767</v>
      </c>
      <c r="F1710" s="204">
        <v>0</v>
      </c>
      <c r="G1710" s="205">
        <v>0</v>
      </c>
      <c r="H1710" s="205">
        <v>0</v>
      </c>
      <c r="I1710" s="264">
        <v>0</v>
      </c>
      <c r="K1710" s="230"/>
      <c r="L1710" s="230"/>
      <c r="M1710" s="230"/>
    </row>
    <row r="1711" spans="1:13" s="231" customFormat="1" x14ac:dyDescent="0.25">
      <c r="A1711" s="1"/>
      <c r="B1711" s="241" t="e">
        <f>IF(AND(F1711&lt;&gt;"", B1706&lt;&gt;""), B1706+1, "")</f>
        <v>#REF!</v>
      </c>
      <c r="C1711" s="442">
        <v>46372</v>
      </c>
      <c r="D1711" s="444">
        <f>D1706+1</f>
        <v>46372</v>
      </c>
      <c r="E1711" s="246" t="s">
        <v>394</v>
      </c>
      <c r="F1711" s="202">
        <v>0</v>
      </c>
      <c r="G1711" s="203">
        <v>0</v>
      </c>
      <c r="H1711" s="203">
        <v>0</v>
      </c>
      <c r="I1711" s="263">
        <v>0</v>
      </c>
      <c r="K1711" s="230"/>
      <c r="L1711" s="230"/>
      <c r="M1711" s="230"/>
    </row>
    <row r="1712" spans="1:13" s="231" customFormat="1" x14ac:dyDescent="0.25">
      <c r="A1712" s="1"/>
      <c r="B1712" s="245" t="e">
        <f>IF(AND(F1711&lt;&gt;"", B1707&lt;&gt;""), B1707+1, "")</f>
        <v>#REF!</v>
      </c>
      <c r="C1712" s="409"/>
      <c r="D1712" s="445"/>
      <c r="E1712" s="246" t="s">
        <v>764</v>
      </c>
      <c r="F1712" s="202">
        <v>0</v>
      </c>
      <c r="G1712" s="203">
        <v>0</v>
      </c>
      <c r="H1712" s="203">
        <v>0</v>
      </c>
      <c r="I1712" s="263">
        <v>0</v>
      </c>
      <c r="K1712" s="230"/>
      <c r="L1712" s="230"/>
      <c r="M1712" s="230"/>
    </row>
    <row r="1713" spans="1:13" s="231" customFormat="1" x14ac:dyDescent="0.25">
      <c r="A1713" s="1"/>
      <c r="B1713" s="245" t="e">
        <f>IF(AND(F1711&lt;&gt;"", B1708&lt;&gt;""), B1708+1, "")</f>
        <v>#REF!</v>
      </c>
      <c r="C1713" s="409"/>
      <c r="D1713" s="445"/>
      <c r="E1713" s="246" t="s">
        <v>765</v>
      </c>
      <c r="F1713" s="202">
        <v>0</v>
      </c>
      <c r="G1713" s="203">
        <v>0</v>
      </c>
      <c r="H1713" s="203">
        <v>0</v>
      </c>
      <c r="I1713" s="263">
        <v>0</v>
      </c>
      <c r="K1713" s="230"/>
      <c r="L1713" s="230"/>
      <c r="M1713" s="230"/>
    </row>
    <row r="1714" spans="1:13" s="231" customFormat="1" x14ac:dyDescent="0.25">
      <c r="A1714" s="1"/>
      <c r="B1714" s="245" t="e">
        <f>IF(AND(F1711&lt;&gt;"", B1709&lt;&gt;""), B1709+1, "")</f>
        <v>#REF!</v>
      </c>
      <c r="C1714" s="409"/>
      <c r="D1714" s="445"/>
      <c r="E1714" s="246" t="s">
        <v>766</v>
      </c>
      <c r="F1714" s="202">
        <v>0</v>
      </c>
      <c r="G1714" s="203">
        <v>0</v>
      </c>
      <c r="H1714" s="203">
        <v>0</v>
      </c>
      <c r="I1714" s="263">
        <v>0</v>
      </c>
      <c r="K1714" s="230"/>
      <c r="L1714" s="230"/>
      <c r="M1714" s="230"/>
    </row>
    <row r="1715" spans="1:13" s="231" customFormat="1" ht="15.75" customHeight="1" thickBot="1" x14ac:dyDescent="0.3">
      <c r="A1715" s="1"/>
      <c r="B1715" s="249" t="e">
        <f>IF(AND(F1711&lt;&gt;"", B1710&lt;&gt;""), B1710+1, "")</f>
        <v>#REF!</v>
      </c>
      <c r="C1715" s="416"/>
      <c r="D1715" s="446"/>
      <c r="E1715" s="250" t="s">
        <v>767</v>
      </c>
      <c r="F1715" s="204">
        <v>0</v>
      </c>
      <c r="G1715" s="205">
        <v>0</v>
      </c>
      <c r="H1715" s="205">
        <v>0</v>
      </c>
      <c r="I1715" s="264">
        <v>0</v>
      </c>
      <c r="K1715" s="230"/>
      <c r="L1715" s="230"/>
      <c r="M1715" s="230"/>
    </row>
    <row r="1716" spans="1:13" s="231" customFormat="1" x14ac:dyDescent="0.25">
      <c r="A1716" s="1"/>
      <c r="B1716" s="241" t="e">
        <f>IF(AND(F1716&lt;&gt;"", B1711&lt;&gt;""), B1711+1, "")</f>
        <v>#REF!</v>
      </c>
      <c r="C1716" s="442">
        <v>46373</v>
      </c>
      <c r="D1716" s="444">
        <f>D1711+1</f>
        <v>46373</v>
      </c>
      <c r="E1716" s="246" t="s">
        <v>394</v>
      </c>
      <c r="F1716" s="202">
        <v>0</v>
      </c>
      <c r="G1716" s="203">
        <v>0</v>
      </c>
      <c r="H1716" s="203">
        <v>0</v>
      </c>
      <c r="I1716" s="263">
        <v>0</v>
      </c>
      <c r="K1716" s="230"/>
      <c r="L1716" s="230"/>
      <c r="M1716" s="230"/>
    </row>
    <row r="1717" spans="1:13" s="231" customFormat="1" x14ac:dyDescent="0.25">
      <c r="A1717" s="1"/>
      <c r="B1717" s="245" t="e">
        <f>IF(AND(F1716&lt;&gt;"", B1712&lt;&gt;""), B1712+1, "")</f>
        <v>#REF!</v>
      </c>
      <c r="C1717" s="409"/>
      <c r="D1717" s="445"/>
      <c r="E1717" s="246" t="s">
        <v>764</v>
      </c>
      <c r="F1717" s="202">
        <v>0</v>
      </c>
      <c r="G1717" s="203">
        <v>0</v>
      </c>
      <c r="H1717" s="203">
        <v>0</v>
      </c>
      <c r="I1717" s="263">
        <v>0</v>
      </c>
      <c r="K1717" s="230"/>
      <c r="L1717" s="230"/>
      <c r="M1717" s="230"/>
    </row>
    <row r="1718" spans="1:13" s="231" customFormat="1" x14ac:dyDescent="0.25">
      <c r="A1718" s="1"/>
      <c r="B1718" s="245" t="e">
        <f>IF(AND(F1716&lt;&gt;"", B1713&lt;&gt;""), B1713+1, "")</f>
        <v>#REF!</v>
      </c>
      <c r="C1718" s="409"/>
      <c r="D1718" s="445"/>
      <c r="E1718" s="246" t="s">
        <v>765</v>
      </c>
      <c r="F1718" s="202">
        <v>0</v>
      </c>
      <c r="G1718" s="203">
        <v>0</v>
      </c>
      <c r="H1718" s="203">
        <v>0</v>
      </c>
      <c r="I1718" s="263">
        <v>0</v>
      </c>
      <c r="K1718" s="230"/>
      <c r="L1718" s="230"/>
      <c r="M1718" s="230"/>
    </row>
    <row r="1719" spans="1:13" s="231" customFormat="1" x14ac:dyDescent="0.25">
      <c r="A1719" s="1"/>
      <c r="B1719" s="245" t="e">
        <f>IF(AND(F1716&lt;&gt;"", B1714&lt;&gt;""), B1714+1, "")</f>
        <v>#REF!</v>
      </c>
      <c r="C1719" s="409"/>
      <c r="D1719" s="445"/>
      <c r="E1719" s="246" t="s">
        <v>766</v>
      </c>
      <c r="F1719" s="202">
        <v>0</v>
      </c>
      <c r="G1719" s="203">
        <v>0</v>
      </c>
      <c r="H1719" s="203">
        <v>0</v>
      </c>
      <c r="I1719" s="263">
        <v>0</v>
      </c>
      <c r="K1719" s="230"/>
      <c r="L1719" s="230"/>
      <c r="M1719" s="230"/>
    </row>
    <row r="1720" spans="1:13" s="231" customFormat="1" ht="15.75" customHeight="1" thickBot="1" x14ac:dyDescent="0.3">
      <c r="A1720" s="1"/>
      <c r="B1720" s="249" t="e">
        <f>IF(AND(F1716&lt;&gt;"", B1715&lt;&gt;""), B1715+1, "")</f>
        <v>#REF!</v>
      </c>
      <c r="C1720" s="416"/>
      <c r="D1720" s="446"/>
      <c r="E1720" s="250" t="s">
        <v>767</v>
      </c>
      <c r="F1720" s="204">
        <v>0</v>
      </c>
      <c r="G1720" s="205">
        <v>0</v>
      </c>
      <c r="H1720" s="205">
        <v>0</v>
      </c>
      <c r="I1720" s="264">
        <v>0</v>
      </c>
      <c r="K1720" s="230"/>
      <c r="L1720" s="230"/>
      <c r="M1720" s="230"/>
    </row>
    <row r="1721" spans="1:13" s="231" customFormat="1" x14ac:dyDescent="0.25">
      <c r="A1721" s="1"/>
      <c r="B1721" s="241" t="e">
        <f>IF(AND(F1721&lt;&gt;"", B1716&lt;&gt;""), B1716+1, "")</f>
        <v>#REF!</v>
      </c>
      <c r="C1721" s="442">
        <v>46374</v>
      </c>
      <c r="D1721" s="444">
        <f>D1716+1</f>
        <v>46374</v>
      </c>
      <c r="E1721" s="246" t="s">
        <v>394</v>
      </c>
      <c r="F1721" s="202">
        <v>0</v>
      </c>
      <c r="G1721" s="203">
        <v>0</v>
      </c>
      <c r="H1721" s="203">
        <v>0</v>
      </c>
      <c r="I1721" s="263">
        <v>0</v>
      </c>
      <c r="K1721" s="230"/>
      <c r="L1721" s="230"/>
      <c r="M1721" s="230"/>
    </row>
    <row r="1722" spans="1:13" s="231" customFormat="1" x14ac:dyDescent="0.25">
      <c r="A1722" s="1"/>
      <c r="B1722" s="245" t="e">
        <f>IF(AND(F1721&lt;&gt;"", B1717&lt;&gt;""), B1717+1, "")</f>
        <v>#REF!</v>
      </c>
      <c r="C1722" s="409"/>
      <c r="D1722" s="445"/>
      <c r="E1722" s="246" t="s">
        <v>764</v>
      </c>
      <c r="F1722" s="202">
        <v>0</v>
      </c>
      <c r="G1722" s="203">
        <v>0</v>
      </c>
      <c r="H1722" s="203">
        <v>0</v>
      </c>
      <c r="I1722" s="263">
        <v>0</v>
      </c>
      <c r="K1722" s="230"/>
      <c r="L1722" s="230"/>
      <c r="M1722" s="230"/>
    </row>
    <row r="1723" spans="1:13" s="231" customFormat="1" x14ac:dyDescent="0.25">
      <c r="A1723" s="1"/>
      <c r="B1723" s="245" t="e">
        <f>IF(AND(F1721&lt;&gt;"", B1718&lt;&gt;""), B1718+1, "")</f>
        <v>#REF!</v>
      </c>
      <c r="C1723" s="409"/>
      <c r="D1723" s="445"/>
      <c r="E1723" s="246" t="s">
        <v>765</v>
      </c>
      <c r="F1723" s="202">
        <v>0</v>
      </c>
      <c r="G1723" s="203">
        <v>0</v>
      </c>
      <c r="H1723" s="203">
        <v>0</v>
      </c>
      <c r="I1723" s="263">
        <v>0</v>
      </c>
      <c r="K1723" s="230"/>
      <c r="L1723" s="230"/>
      <c r="M1723" s="230"/>
    </row>
    <row r="1724" spans="1:13" s="231" customFormat="1" x14ac:dyDescent="0.25">
      <c r="A1724" s="1"/>
      <c r="B1724" s="245" t="e">
        <f>IF(AND(F1721&lt;&gt;"", B1719&lt;&gt;""), B1719+1, "")</f>
        <v>#REF!</v>
      </c>
      <c r="C1724" s="409"/>
      <c r="D1724" s="445"/>
      <c r="E1724" s="246" t="s">
        <v>766</v>
      </c>
      <c r="F1724" s="202">
        <v>0</v>
      </c>
      <c r="G1724" s="203">
        <v>0</v>
      </c>
      <c r="H1724" s="203">
        <v>0</v>
      </c>
      <c r="I1724" s="263">
        <v>0</v>
      </c>
      <c r="K1724" s="230"/>
      <c r="L1724" s="230"/>
      <c r="M1724" s="230"/>
    </row>
    <row r="1725" spans="1:13" s="231" customFormat="1" ht="15.75" customHeight="1" thickBot="1" x14ac:dyDescent="0.3">
      <c r="A1725" s="1"/>
      <c r="B1725" s="249" t="e">
        <f>IF(AND(F1721&lt;&gt;"", B1720&lt;&gt;""), B1720+1, "")</f>
        <v>#REF!</v>
      </c>
      <c r="C1725" s="416"/>
      <c r="D1725" s="446"/>
      <c r="E1725" s="250" t="s">
        <v>767</v>
      </c>
      <c r="F1725" s="204">
        <v>0</v>
      </c>
      <c r="G1725" s="205">
        <v>0</v>
      </c>
      <c r="H1725" s="205">
        <v>0</v>
      </c>
      <c r="I1725" s="264">
        <v>0</v>
      </c>
      <c r="K1725" s="230"/>
      <c r="L1725" s="230"/>
      <c r="M1725" s="230"/>
    </row>
    <row r="1726" spans="1:13" s="231" customFormat="1" x14ac:dyDescent="0.25">
      <c r="A1726" s="1"/>
      <c r="B1726" s="241" t="e">
        <f>IF(AND(F1726&lt;&gt;"", B1721&lt;&gt;""), B1721+1, "")</f>
        <v>#REF!</v>
      </c>
      <c r="C1726" s="442">
        <v>46375</v>
      </c>
      <c r="D1726" s="444">
        <f>D1721+1</f>
        <v>46375</v>
      </c>
      <c r="E1726" s="246" t="s">
        <v>394</v>
      </c>
      <c r="F1726" s="202">
        <v>0</v>
      </c>
      <c r="G1726" s="203">
        <v>0</v>
      </c>
      <c r="H1726" s="203">
        <v>0</v>
      </c>
      <c r="I1726" s="263">
        <v>0</v>
      </c>
      <c r="K1726" s="230"/>
      <c r="L1726" s="230"/>
      <c r="M1726" s="230"/>
    </row>
    <row r="1727" spans="1:13" s="231" customFormat="1" x14ac:dyDescent="0.25">
      <c r="A1727" s="1"/>
      <c r="B1727" s="245" t="e">
        <f>IF(AND(F1726&lt;&gt;"", B1722&lt;&gt;""), B1722+1, "")</f>
        <v>#REF!</v>
      </c>
      <c r="C1727" s="409"/>
      <c r="D1727" s="445"/>
      <c r="E1727" s="246" t="s">
        <v>764</v>
      </c>
      <c r="F1727" s="202">
        <v>0</v>
      </c>
      <c r="G1727" s="203">
        <v>0</v>
      </c>
      <c r="H1727" s="203">
        <v>0</v>
      </c>
      <c r="I1727" s="263">
        <v>0</v>
      </c>
      <c r="K1727" s="230"/>
      <c r="L1727" s="230"/>
      <c r="M1727" s="230"/>
    </row>
    <row r="1728" spans="1:13" s="231" customFormat="1" x14ac:dyDescent="0.25">
      <c r="A1728" s="1"/>
      <c r="B1728" s="245" t="e">
        <f>IF(AND(F1726&lt;&gt;"", B1723&lt;&gt;""), B1723+1, "")</f>
        <v>#REF!</v>
      </c>
      <c r="C1728" s="409"/>
      <c r="D1728" s="445"/>
      <c r="E1728" s="246" t="s">
        <v>765</v>
      </c>
      <c r="F1728" s="202">
        <v>0</v>
      </c>
      <c r="G1728" s="203">
        <v>0</v>
      </c>
      <c r="H1728" s="203">
        <v>0</v>
      </c>
      <c r="I1728" s="263">
        <v>0</v>
      </c>
      <c r="K1728" s="230"/>
      <c r="L1728" s="230"/>
      <c r="M1728" s="230"/>
    </row>
    <row r="1729" spans="1:13" s="231" customFormat="1" x14ac:dyDescent="0.25">
      <c r="A1729" s="1"/>
      <c r="B1729" s="245" t="e">
        <f>IF(AND(F1726&lt;&gt;"", B1724&lt;&gt;""), B1724+1, "")</f>
        <v>#REF!</v>
      </c>
      <c r="C1729" s="409"/>
      <c r="D1729" s="445"/>
      <c r="E1729" s="246" t="s">
        <v>766</v>
      </c>
      <c r="F1729" s="202">
        <v>0</v>
      </c>
      <c r="G1729" s="203">
        <v>0</v>
      </c>
      <c r="H1729" s="203">
        <v>0</v>
      </c>
      <c r="I1729" s="263">
        <v>0</v>
      </c>
      <c r="K1729" s="230"/>
      <c r="L1729" s="230"/>
      <c r="M1729" s="230"/>
    </row>
    <row r="1730" spans="1:13" s="231" customFormat="1" ht="15.75" customHeight="1" thickBot="1" x14ac:dyDescent="0.3">
      <c r="A1730" s="1"/>
      <c r="B1730" s="249" t="e">
        <f>IF(AND(F1726&lt;&gt;"", B1725&lt;&gt;""), B1725+1, "")</f>
        <v>#REF!</v>
      </c>
      <c r="C1730" s="416"/>
      <c r="D1730" s="446"/>
      <c r="E1730" s="250" t="s">
        <v>767</v>
      </c>
      <c r="F1730" s="204">
        <v>0</v>
      </c>
      <c r="G1730" s="205">
        <v>0</v>
      </c>
      <c r="H1730" s="205">
        <v>0</v>
      </c>
      <c r="I1730" s="264">
        <v>0</v>
      </c>
      <c r="K1730" s="230"/>
      <c r="L1730" s="230"/>
      <c r="M1730" s="230"/>
    </row>
    <row r="1731" spans="1:13" s="231" customFormat="1" x14ac:dyDescent="0.25">
      <c r="A1731" s="1"/>
      <c r="B1731" s="241" t="e">
        <f>IF(AND(F1731&lt;&gt;"", B1726&lt;&gt;""), B1726+1, "")</f>
        <v>#REF!</v>
      </c>
      <c r="C1731" s="442">
        <v>46376</v>
      </c>
      <c r="D1731" s="444">
        <f>D1726+1</f>
        <v>46376</v>
      </c>
      <c r="E1731" s="246" t="s">
        <v>394</v>
      </c>
      <c r="F1731" s="202">
        <v>0</v>
      </c>
      <c r="G1731" s="203">
        <v>0</v>
      </c>
      <c r="H1731" s="203">
        <v>0</v>
      </c>
      <c r="I1731" s="263">
        <v>0</v>
      </c>
      <c r="K1731" s="230"/>
      <c r="L1731" s="230"/>
      <c r="M1731" s="230"/>
    </row>
    <row r="1732" spans="1:13" s="231" customFormat="1" x14ac:dyDescent="0.25">
      <c r="A1732" s="1"/>
      <c r="B1732" s="245" t="e">
        <f>IF(AND(F1731&lt;&gt;"", B1727&lt;&gt;""), B1727+1, "")</f>
        <v>#REF!</v>
      </c>
      <c r="C1732" s="409"/>
      <c r="D1732" s="445"/>
      <c r="E1732" s="246" t="s">
        <v>764</v>
      </c>
      <c r="F1732" s="202">
        <v>0</v>
      </c>
      <c r="G1732" s="203">
        <v>0</v>
      </c>
      <c r="H1732" s="203">
        <v>0</v>
      </c>
      <c r="I1732" s="263">
        <v>0</v>
      </c>
      <c r="K1732" s="230"/>
      <c r="L1732" s="230"/>
      <c r="M1732" s="230"/>
    </row>
    <row r="1733" spans="1:13" s="231" customFormat="1" x14ac:dyDescent="0.25">
      <c r="A1733" s="1"/>
      <c r="B1733" s="245" t="e">
        <f>IF(AND(F1731&lt;&gt;"", B1728&lt;&gt;""), B1728+1, "")</f>
        <v>#REF!</v>
      </c>
      <c r="C1733" s="409"/>
      <c r="D1733" s="445"/>
      <c r="E1733" s="246" t="s">
        <v>765</v>
      </c>
      <c r="F1733" s="202">
        <v>0</v>
      </c>
      <c r="G1733" s="203">
        <v>0</v>
      </c>
      <c r="H1733" s="203">
        <v>0</v>
      </c>
      <c r="I1733" s="263">
        <v>0</v>
      </c>
      <c r="K1733" s="230"/>
      <c r="L1733" s="230"/>
      <c r="M1733" s="230"/>
    </row>
    <row r="1734" spans="1:13" s="231" customFormat="1" x14ac:dyDescent="0.25">
      <c r="A1734" s="1"/>
      <c r="B1734" s="245" t="e">
        <f>IF(AND(F1731&lt;&gt;"", B1729&lt;&gt;""), B1729+1, "")</f>
        <v>#REF!</v>
      </c>
      <c r="C1734" s="409"/>
      <c r="D1734" s="445"/>
      <c r="E1734" s="246" t="s">
        <v>766</v>
      </c>
      <c r="F1734" s="202">
        <v>0</v>
      </c>
      <c r="G1734" s="203">
        <v>0</v>
      </c>
      <c r="H1734" s="203">
        <v>0</v>
      </c>
      <c r="I1734" s="263">
        <v>0</v>
      </c>
      <c r="K1734" s="230"/>
      <c r="L1734" s="230"/>
      <c r="M1734" s="230"/>
    </row>
    <row r="1735" spans="1:13" s="231" customFormat="1" ht="15.75" customHeight="1" thickBot="1" x14ac:dyDescent="0.3">
      <c r="A1735" s="1"/>
      <c r="B1735" s="249" t="e">
        <f>IF(AND(F1731&lt;&gt;"", B1730&lt;&gt;""), B1730+1, "")</f>
        <v>#REF!</v>
      </c>
      <c r="C1735" s="416"/>
      <c r="D1735" s="446"/>
      <c r="E1735" s="250" t="s">
        <v>767</v>
      </c>
      <c r="F1735" s="204">
        <v>0</v>
      </c>
      <c r="G1735" s="205">
        <v>0</v>
      </c>
      <c r="H1735" s="205">
        <v>0</v>
      </c>
      <c r="I1735" s="264">
        <v>0</v>
      </c>
      <c r="K1735" s="230"/>
      <c r="L1735" s="230"/>
      <c r="M1735" s="230"/>
    </row>
    <row r="1736" spans="1:13" s="231" customFormat="1" x14ac:dyDescent="0.25">
      <c r="A1736" s="1"/>
      <c r="B1736" s="241" t="e">
        <f>IF(AND(F1736&lt;&gt;"", B1731&lt;&gt;""), B1731+1, "")</f>
        <v>#REF!</v>
      </c>
      <c r="C1736" s="442">
        <v>46377</v>
      </c>
      <c r="D1736" s="444">
        <f>D1731+1</f>
        <v>46377</v>
      </c>
      <c r="E1736" s="246" t="s">
        <v>394</v>
      </c>
      <c r="F1736" s="202">
        <v>0</v>
      </c>
      <c r="G1736" s="203">
        <v>0</v>
      </c>
      <c r="H1736" s="203">
        <v>0</v>
      </c>
      <c r="I1736" s="263">
        <v>0</v>
      </c>
      <c r="K1736" s="230"/>
      <c r="L1736" s="230"/>
      <c r="M1736" s="230"/>
    </row>
    <row r="1737" spans="1:13" s="231" customFormat="1" x14ac:dyDescent="0.25">
      <c r="A1737" s="1"/>
      <c r="B1737" s="245" t="e">
        <f>IF(AND(F1736&lt;&gt;"", B1732&lt;&gt;""), B1732+1, "")</f>
        <v>#REF!</v>
      </c>
      <c r="C1737" s="409"/>
      <c r="D1737" s="445"/>
      <c r="E1737" s="246" t="s">
        <v>764</v>
      </c>
      <c r="F1737" s="202">
        <v>0</v>
      </c>
      <c r="G1737" s="203">
        <v>0</v>
      </c>
      <c r="H1737" s="203">
        <v>0</v>
      </c>
      <c r="I1737" s="263">
        <v>0</v>
      </c>
      <c r="K1737" s="230"/>
      <c r="L1737" s="230"/>
      <c r="M1737" s="230"/>
    </row>
    <row r="1738" spans="1:13" s="231" customFormat="1" x14ac:dyDescent="0.25">
      <c r="A1738" s="1"/>
      <c r="B1738" s="245" t="e">
        <f>IF(AND(F1736&lt;&gt;"", B1733&lt;&gt;""), B1733+1, "")</f>
        <v>#REF!</v>
      </c>
      <c r="C1738" s="409"/>
      <c r="D1738" s="445"/>
      <c r="E1738" s="246" t="s">
        <v>765</v>
      </c>
      <c r="F1738" s="202">
        <v>0</v>
      </c>
      <c r="G1738" s="203">
        <v>0</v>
      </c>
      <c r="H1738" s="203">
        <v>0</v>
      </c>
      <c r="I1738" s="263">
        <v>0</v>
      </c>
      <c r="K1738" s="230"/>
      <c r="L1738" s="230"/>
      <c r="M1738" s="230"/>
    </row>
    <row r="1739" spans="1:13" s="231" customFormat="1" x14ac:dyDescent="0.25">
      <c r="A1739" s="1"/>
      <c r="B1739" s="245" t="e">
        <f>IF(AND(F1736&lt;&gt;"", B1734&lt;&gt;""), B1734+1, "")</f>
        <v>#REF!</v>
      </c>
      <c r="C1739" s="409"/>
      <c r="D1739" s="445"/>
      <c r="E1739" s="246" t="s">
        <v>766</v>
      </c>
      <c r="F1739" s="202">
        <v>0</v>
      </c>
      <c r="G1739" s="203">
        <v>0</v>
      </c>
      <c r="H1739" s="203">
        <v>0</v>
      </c>
      <c r="I1739" s="263">
        <v>0</v>
      </c>
      <c r="K1739" s="230"/>
      <c r="L1739" s="230"/>
      <c r="M1739" s="230"/>
    </row>
    <row r="1740" spans="1:13" s="231" customFormat="1" ht="15.75" customHeight="1" thickBot="1" x14ac:dyDescent="0.3">
      <c r="A1740" s="1"/>
      <c r="B1740" s="249" t="e">
        <f>IF(AND(F1736&lt;&gt;"", B1735&lt;&gt;""), B1735+1, "")</f>
        <v>#REF!</v>
      </c>
      <c r="C1740" s="416"/>
      <c r="D1740" s="446"/>
      <c r="E1740" s="250" t="s">
        <v>767</v>
      </c>
      <c r="F1740" s="204">
        <v>0</v>
      </c>
      <c r="G1740" s="205">
        <v>0</v>
      </c>
      <c r="H1740" s="205">
        <v>0</v>
      </c>
      <c r="I1740" s="264">
        <v>0</v>
      </c>
      <c r="K1740" s="230"/>
      <c r="L1740" s="230"/>
      <c r="M1740" s="230"/>
    </row>
    <row r="1741" spans="1:13" s="231" customFormat="1" x14ac:dyDescent="0.25">
      <c r="A1741" s="1"/>
      <c r="B1741" s="241" t="e">
        <f>IF(AND(F1741&lt;&gt;"", B1736&lt;&gt;""), B1736+1, "")</f>
        <v>#REF!</v>
      </c>
      <c r="C1741" s="442">
        <v>46378</v>
      </c>
      <c r="D1741" s="444">
        <f>D1736+1</f>
        <v>46378</v>
      </c>
      <c r="E1741" s="246" t="s">
        <v>394</v>
      </c>
      <c r="F1741" s="202">
        <v>0</v>
      </c>
      <c r="G1741" s="203">
        <v>0</v>
      </c>
      <c r="H1741" s="203">
        <v>0</v>
      </c>
      <c r="I1741" s="263">
        <v>0</v>
      </c>
      <c r="K1741" s="230"/>
      <c r="L1741" s="230"/>
      <c r="M1741" s="230"/>
    </row>
    <row r="1742" spans="1:13" s="231" customFormat="1" x14ac:dyDescent="0.25">
      <c r="A1742" s="1"/>
      <c r="B1742" s="245" t="e">
        <f>IF(AND(F1741&lt;&gt;"", B1737&lt;&gt;""), B1737+1, "")</f>
        <v>#REF!</v>
      </c>
      <c r="C1742" s="409"/>
      <c r="D1742" s="445"/>
      <c r="E1742" s="246" t="s">
        <v>764</v>
      </c>
      <c r="F1742" s="202">
        <v>0</v>
      </c>
      <c r="G1742" s="203">
        <v>0</v>
      </c>
      <c r="H1742" s="203">
        <v>0</v>
      </c>
      <c r="I1742" s="263">
        <v>0</v>
      </c>
      <c r="K1742" s="230"/>
      <c r="L1742" s="230"/>
      <c r="M1742" s="230"/>
    </row>
    <row r="1743" spans="1:13" s="231" customFormat="1" x14ac:dyDescent="0.25">
      <c r="A1743" s="1"/>
      <c r="B1743" s="245" t="e">
        <f>IF(AND(F1741&lt;&gt;"", B1738&lt;&gt;""), B1738+1, "")</f>
        <v>#REF!</v>
      </c>
      <c r="C1743" s="409"/>
      <c r="D1743" s="445"/>
      <c r="E1743" s="246" t="s">
        <v>765</v>
      </c>
      <c r="F1743" s="202">
        <v>0</v>
      </c>
      <c r="G1743" s="203">
        <v>0</v>
      </c>
      <c r="H1743" s="203">
        <v>0</v>
      </c>
      <c r="I1743" s="263">
        <v>0</v>
      </c>
      <c r="K1743" s="230"/>
      <c r="L1743" s="230"/>
      <c r="M1743" s="230"/>
    </row>
    <row r="1744" spans="1:13" s="231" customFormat="1" x14ac:dyDescent="0.25">
      <c r="A1744" s="1"/>
      <c r="B1744" s="245" t="e">
        <f>IF(AND(F1741&lt;&gt;"", B1739&lt;&gt;""), B1739+1, "")</f>
        <v>#REF!</v>
      </c>
      <c r="C1744" s="409"/>
      <c r="D1744" s="445"/>
      <c r="E1744" s="246" t="s">
        <v>766</v>
      </c>
      <c r="F1744" s="202">
        <v>0</v>
      </c>
      <c r="G1744" s="203">
        <v>0</v>
      </c>
      <c r="H1744" s="203">
        <v>0</v>
      </c>
      <c r="I1744" s="263">
        <v>0</v>
      </c>
      <c r="K1744" s="230"/>
      <c r="L1744" s="230"/>
      <c r="M1744" s="230"/>
    </row>
    <row r="1745" spans="1:13" s="231" customFormat="1" ht="15.75" customHeight="1" thickBot="1" x14ac:dyDescent="0.3">
      <c r="A1745" s="1"/>
      <c r="B1745" s="249" t="e">
        <f>IF(AND(F1741&lt;&gt;"", B1740&lt;&gt;""), B1740+1, "")</f>
        <v>#REF!</v>
      </c>
      <c r="C1745" s="416"/>
      <c r="D1745" s="446"/>
      <c r="E1745" s="250" t="s">
        <v>767</v>
      </c>
      <c r="F1745" s="204">
        <v>0</v>
      </c>
      <c r="G1745" s="205">
        <v>0</v>
      </c>
      <c r="H1745" s="205">
        <v>0</v>
      </c>
      <c r="I1745" s="264">
        <v>0</v>
      </c>
      <c r="K1745" s="230"/>
      <c r="L1745" s="230"/>
      <c r="M1745" s="230"/>
    </row>
    <row r="1746" spans="1:13" s="231" customFormat="1" x14ac:dyDescent="0.25">
      <c r="A1746" s="1"/>
      <c r="B1746" s="241" t="e">
        <f>IF(AND(F1746&lt;&gt;"", B1741&lt;&gt;""), B1741+1, "")</f>
        <v>#REF!</v>
      </c>
      <c r="C1746" s="442">
        <v>46379</v>
      </c>
      <c r="D1746" s="444">
        <f>D1741+1</f>
        <v>46379</v>
      </c>
      <c r="E1746" s="246" t="s">
        <v>394</v>
      </c>
      <c r="F1746" s="202">
        <v>0</v>
      </c>
      <c r="G1746" s="203">
        <v>0</v>
      </c>
      <c r="H1746" s="203">
        <v>0</v>
      </c>
      <c r="I1746" s="263">
        <v>0</v>
      </c>
      <c r="K1746" s="230"/>
      <c r="L1746" s="230"/>
      <c r="M1746" s="230"/>
    </row>
    <row r="1747" spans="1:13" s="231" customFormat="1" x14ac:dyDescent="0.25">
      <c r="A1747" s="1"/>
      <c r="B1747" s="245" t="e">
        <f>IF(AND(F1746&lt;&gt;"", B1742&lt;&gt;""), B1742+1, "")</f>
        <v>#REF!</v>
      </c>
      <c r="C1747" s="409"/>
      <c r="D1747" s="445"/>
      <c r="E1747" s="246" t="s">
        <v>764</v>
      </c>
      <c r="F1747" s="202">
        <v>0</v>
      </c>
      <c r="G1747" s="203">
        <v>0</v>
      </c>
      <c r="H1747" s="203">
        <v>0</v>
      </c>
      <c r="I1747" s="263">
        <v>0</v>
      </c>
      <c r="K1747" s="230"/>
      <c r="L1747" s="230"/>
      <c r="M1747" s="230"/>
    </row>
    <row r="1748" spans="1:13" s="231" customFormat="1" x14ac:dyDescent="0.25">
      <c r="A1748" s="1"/>
      <c r="B1748" s="245" t="e">
        <f>IF(AND(F1746&lt;&gt;"", B1743&lt;&gt;""), B1743+1, "")</f>
        <v>#REF!</v>
      </c>
      <c r="C1748" s="409"/>
      <c r="D1748" s="445"/>
      <c r="E1748" s="246" t="s">
        <v>765</v>
      </c>
      <c r="F1748" s="202">
        <v>0</v>
      </c>
      <c r="G1748" s="203">
        <v>0</v>
      </c>
      <c r="H1748" s="203">
        <v>0</v>
      </c>
      <c r="I1748" s="263">
        <v>0</v>
      </c>
      <c r="K1748" s="230"/>
      <c r="L1748" s="230"/>
      <c r="M1748" s="230"/>
    </row>
    <row r="1749" spans="1:13" s="231" customFormat="1" x14ac:dyDescent="0.25">
      <c r="A1749" s="1"/>
      <c r="B1749" s="245" t="e">
        <f>IF(AND(F1746&lt;&gt;"", B1744&lt;&gt;""), B1744+1, "")</f>
        <v>#REF!</v>
      </c>
      <c r="C1749" s="409"/>
      <c r="D1749" s="445"/>
      <c r="E1749" s="246" t="s">
        <v>766</v>
      </c>
      <c r="F1749" s="202">
        <v>0</v>
      </c>
      <c r="G1749" s="203">
        <v>0</v>
      </c>
      <c r="H1749" s="203">
        <v>0</v>
      </c>
      <c r="I1749" s="263">
        <v>0</v>
      </c>
      <c r="K1749" s="230"/>
      <c r="L1749" s="230"/>
      <c r="M1749" s="230"/>
    </row>
    <row r="1750" spans="1:13" s="231" customFormat="1" ht="15.75" customHeight="1" thickBot="1" x14ac:dyDescent="0.3">
      <c r="A1750" s="1"/>
      <c r="B1750" s="249" t="e">
        <f>IF(AND(F1746&lt;&gt;"", B1745&lt;&gt;""), B1745+1, "")</f>
        <v>#REF!</v>
      </c>
      <c r="C1750" s="416"/>
      <c r="D1750" s="446"/>
      <c r="E1750" s="250" t="s">
        <v>767</v>
      </c>
      <c r="F1750" s="204">
        <v>0</v>
      </c>
      <c r="G1750" s="205">
        <v>0</v>
      </c>
      <c r="H1750" s="205">
        <v>0</v>
      </c>
      <c r="I1750" s="264">
        <v>0</v>
      </c>
      <c r="K1750" s="230"/>
      <c r="L1750" s="230"/>
      <c r="M1750" s="230"/>
    </row>
    <row r="1751" spans="1:13" s="231" customFormat="1" x14ac:dyDescent="0.25">
      <c r="A1751" s="1"/>
      <c r="B1751" s="241" t="e">
        <f>IF(AND(F1751&lt;&gt;"", B1746&lt;&gt;""), B1746+1, "")</f>
        <v>#REF!</v>
      </c>
      <c r="C1751" s="442">
        <v>46380</v>
      </c>
      <c r="D1751" s="444">
        <f>D1746+1</f>
        <v>46380</v>
      </c>
      <c r="E1751" s="246" t="s">
        <v>394</v>
      </c>
      <c r="F1751" s="202">
        <v>0</v>
      </c>
      <c r="G1751" s="203">
        <v>0</v>
      </c>
      <c r="H1751" s="203">
        <v>0</v>
      </c>
      <c r="I1751" s="263">
        <v>0</v>
      </c>
      <c r="K1751" s="230"/>
      <c r="L1751" s="230"/>
      <c r="M1751" s="230"/>
    </row>
    <row r="1752" spans="1:13" s="231" customFormat="1" x14ac:dyDescent="0.25">
      <c r="A1752" s="1"/>
      <c r="B1752" s="245" t="e">
        <f>IF(AND(F1751&lt;&gt;"", B1747&lt;&gt;""), B1747+1, "")</f>
        <v>#REF!</v>
      </c>
      <c r="C1752" s="409"/>
      <c r="D1752" s="445"/>
      <c r="E1752" s="246" t="s">
        <v>764</v>
      </c>
      <c r="F1752" s="202">
        <v>0</v>
      </c>
      <c r="G1752" s="203">
        <v>0</v>
      </c>
      <c r="H1752" s="203">
        <v>0</v>
      </c>
      <c r="I1752" s="263">
        <v>0</v>
      </c>
      <c r="K1752" s="230"/>
      <c r="L1752" s="230"/>
      <c r="M1752" s="230"/>
    </row>
    <row r="1753" spans="1:13" s="231" customFormat="1" x14ac:dyDescent="0.25">
      <c r="A1753" s="1"/>
      <c r="B1753" s="245" t="e">
        <f>IF(AND(F1751&lt;&gt;"", B1748&lt;&gt;""), B1748+1, "")</f>
        <v>#REF!</v>
      </c>
      <c r="C1753" s="409"/>
      <c r="D1753" s="445"/>
      <c r="E1753" s="246" t="s">
        <v>765</v>
      </c>
      <c r="F1753" s="202">
        <v>0</v>
      </c>
      <c r="G1753" s="203">
        <v>0</v>
      </c>
      <c r="H1753" s="203">
        <v>0</v>
      </c>
      <c r="I1753" s="263">
        <v>0</v>
      </c>
      <c r="K1753" s="230"/>
      <c r="L1753" s="230"/>
      <c r="M1753" s="230"/>
    </row>
    <row r="1754" spans="1:13" s="231" customFormat="1" x14ac:dyDescent="0.25">
      <c r="A1754" s="1"/>
      <c r="B1754" s="245" t="e">
        <f>IF(AND(F1751&lt;&gt;"", B1749&lt;&gt;""), B1749+1, "")</f>
        <v>#REF!</v>
      </c>
      <c r="C1754" s="409"/>
      <c r="D1754" s="445"/>
      <c r="E1754" s="246" t="s">
        <v>766</v>
      </c>
      <c r="F1754" s="202">
        <v>0</v>
      </c>
      <c r="G1754" s="203">
        <v>0</v>
      </c>
      <c r="H1754" s="203">
        <v>0</v>
      </c>
      <c r="I1754" s="263">
        <v>0</v>
      </c>
      <c r="K1754" s="230"/>
      <c r="L1754" s="230"/>
      <c r="M1754" s="230"/>
    </row>
    <row r="1755" spans="1:13" s="231" customFormat="1" ht="15.75" customHeight="1" thickBot="1" x14ac:dyDescent="0.3">
      <c r="A1755" s="1"/>
      <c r="B1755" s="249" t="e">
        <f>IF(AND(F1751&lt;&gt;"", B1750&lt;&gt;""), B1750+1, "")</f>
        <v>#REF!</v>
      </c>
      <c r="C1755" s="416"/>
      <c r="D1755" s="446"/>
      <c r="E1755" s="250" t="s">
        <v>767</v>
      </c>
      <c r="F1755" s="204">
        <v>0</v>
      </c>
      <c r="G1755" s="205">
        <v>0</v>
      </c>
      <c r="H1755" s="205">
        <v>0</v>
      </c>
      <c r="I1755" s="264">
        <v>0</v>
      </c>
      <c r="K1755" s="230"/>
      <c r="L1755" s="230"/>
      <c r="M1755" s="230"/>
    </row>
    <row r="1756" spans="1:13" s="231" customFormat="1" x14ac:dyDescent="0.25">
      <c r="A1756" s="1"/>
      <c r="B1756" s="241" t="e">
        <f>IF(AND(F1756&lt;&gt;"", B1751&lt;&gt;""), B1751+1, "")</f>
        <v>#REF!</v>
      </c>
      <c r="C1756" s="442">
        <v>46381</v>
      </c>
      <c r="D1756" s="444">
        <f>D1751+1</f>
        <v>46381</v>
      </c>
      <c r="E1756" s="246" t="s">
        <v>394</v>
      </c>
      <c r="F1756" s="202">
        <v>0</v>
      </c>
      <c r="G1756" s="203">
        <v>0</v>
      </c>
      <c r="H1756" s="203">
        <v>0</v>
      </c>
      <c r="I1756" s="263">
        <v>0</v>
      </c>
      <c r="K1756" s="230"/>
      <c r="L1756" s="230"/>
      <c r="M1756" s="230"/>
    </row>
    <row r="1757" spans="1:13" s="231" customFormat="1" x14ac:dyDescent="0.25">
      <c r="A1757" s="1"/>
      <c r="B1757" s="245" t="e">
        <f>IF(AND(F1756&lt;&gt;"", B1752&lt;&gt;""), B1752+1, "")</f>
        <v>#REF!</v>
      </c>
      <c r="C1757" s="409"/>
      <c r="D1757" s="445"/>
      <c r="E1757" s="246" t="s">
        <v>764</v>
      </c>
      <c r="F1757" s="202">
        <v>0</v>
      </c>
      <c r="G1757" s="203">
        <v>0</v>
      </c>
      <c r="H1757" s="203">
        <v>0</v>
      </c>
      <c r="I1757" s="263">
        <v>0</v>
      </c>
      <c r="K1757" s="230"/>
      <c r="L1757" s="230"/>
      <c r="M1757" s="230"/>
    </row>
    <row r="1758" spans="1:13" s="231" customFormat="1" x14ac:dyDescent="0.25">
      <c r="A1758" s="1"/>
      <c r="B1758" s="245" t="e">
        <f>IF(AND(F1756&lt;&gt;"", B1753&lt;&gt;""), B1753+1, "")</f>
        <v>#REF!</v>
      </c>
      <c r="C1758" s="409"/>
      <c r="D1758" s="445"/>
      <c r="E1758" s="246" t="s">
        <v>765</v>
      </c>
      <c r="F1758" s="202">
        <v>0</v>
      </c>
      <c r="G1758" s="203">
        <v>0</v>
      </c>
      <c r="H1758" s="203">
        <v>0</v>
      </c>
      <c r="I1758" s="263">
        <v>0</v>
      </c>
      <c r="K1758" s="230"/>
      <c r="L1758" s="230"/>
      <c r="M1758" s="230"/>
    </row>
    <row r="1759" spans="1:13" s="231" customFormat="1" x14ac:dyDescent="0.25">
      <c r="A1759" s="1"/>
      <c r="B1759" s="245" t="e">
        <f>IF(AND(F1756&lt;&gt;"", B1754&lt;&gt;""), B1754+1, "")</f>
        <v>#REF!</v>
      </c>
      <c r="C1759" s="409"/>
      <c r="D1759" s="445"/>
      <c r="E1759" s="246" t="s">
        <v>766</v>
      </c>
      <c r="F1759" s="202">
        <v>0</v>
      </c>
      <c r="G1759" s="203">
        <v>0</v>
      </c>
      <c r="H1759" s="203">
        <v>0</v>
      </c>
      <c r="I1759" s="263">
        <v>0</v>
      </c>
      <c r="K1759" s="230"/>
      <c r="L1759" s="230"/>
      <c r="M1759" s="230"/>
    </row>
    <row r="1760" spans="1:13" s="231" customFormat="1" ht="15.75" customHeight="1" thickBot="1" x14ac:dyDescent="0.3">
      <c r="A1760" s="1"/>
      <c r="B1760" s="249" t="e">
        <f>IF(AND(F1756&lt;&gt;"", B1755&lt;&gt;""), B1755+1, "")</f>
        <v>#REF!</v>
      </c>
      <c r="C1760" s="416"/>
      <c r="D1760" s="446"/>
      <c r="E1760" s="250" t="s">
        <v>767</v>
      </c>
      <c r="F1760" s="204">
        <v>0</v>
      </c>
      <c r="G1760" s="205">
        <v>0</v>
      </c>
      <c r="H1760" s="205">
        <v>0</v>
      </c>
      <c r="I1760" s="264">
        <v>0</v>
      </c>
      <c r="K1760" s="230"/>
      <c r="L1760" s="230"/>
      <c r="M1760" s="230"/>
    </row>
    <row r="1761" spans="1:13" s="231" customFormat="1" x14ac:dyDescent="0.25">
      <c r="A1761" s="1"/>
      <c r="B1761" s="241" t="e">
        <f>IF(AND(F1761&lt;&gt;"", B1756&lt;&gt;""), B1756+1, "")</f>
        <v>#REF!</v>
      </c>
      <c r="C1761" s="442">
        <v>46382</v>
      </c>
      <c r="D1761" s="444">
        <f>D1756+1</f>
        <v>46382</v>
      </c>
      <c r="E1761" s="246" t="s">
        <v>394</v>
      </c>
      <c r="F1761" s="202">
        <v>0</v>
      </c>
      <c r="G1761" s="203">
        <v>0</v>
      </c>
      <c r="H1761" s="203">
        <v>0</v>
      </c>
      <c r="I1761" s="263">
        <v>0</v>
      </c>
      <c r="K1761" s="230"/>
      <c r="L1761" s="230"/>
      <c r="M1761" s="230"/>
    </row>
    <row r="1762" spans="1:13" s="231" customFormat="1" x14ac:dyDescent="0.25">
      <c r="A1762" s="1"/>
      <c r="B1762" s="245" t="e">
        <f>IF(AND(F1761&lt;&gt;"", B1757&lt;&gt;""), B1757+1, "")</f>
        <v>#REF!</v>
      </c>
      <c r="C1762" s="409"/>
      <c r="D1762" s="445"/>
      <c r="E1762" s="246" t="s">
        <v>764</v>
      </c>
      <c r="F1762" s="202">
        <v>0</v>
      </c>
      <c r="G1762" s="203">
        <v>0</v>
      </c>
      <c r="H1762" s="203">
        <v>0</v>
      </c>
      <c r="I1762" s="263">
        <v>0</v>
      </c>
      <c r="K1762" s="230"/>
      <c r="L1762" s="230"/>
      <c r="M1762" s="230"/>
    </row>
    <row r="1763" spans="1:13" s="231" customFormat="1" x14ac:dyDescent="0.25">
      <c r="A1763" s="1"/>
      <c r="B1763" s="245" t="e">
        <f>IF(AND(F1761&lt;&gt;"", B1758&lt;&gt;""), B1758+1, "")</f>
        <v>#REF!</v>
      </c>
      <c r="C1763" s="409"/>
      <c r="D1763" s="445"/>
      <c r="E1763" s="246" t="s">
        <v>765</v>
      </c>
      <c r="F1763" s="202">
        <v>0</v>
      </c>
      <c r="G1763" s="203">
        <v>0</v>
      </c>
      <c r="H1763" s="203">
        <v>0</v>
      </c>
      <c r="I1763" s="263">
        <v>0</v>
      </c>
      <c r="K1763" s="230"/>
      <c r="L1763" s="230"/>
      <c r="M1763" s="230"/>
    </row>
    <row r="1764" spans="1:13" s="231" customFormat="1" x14ac:dyDescent="0.25">
      <c r="A1764" s="1"/>
      <c r="B1764" s="245" t="e">
        <f>IF(AND(F1761&lt;&gt;"", B1759&lt;&gt;""), B1759+1, "")</f>
        <v>#REF!</v>
      </c>
      <c r="C1764" s="409"/>
      <c r="D1764" s="445"/>
      <c r="E1764" s="246" t="s">
        <v>766</v>
      </c>
      <c r="F1764" s="202">
        <v>0</v>
      </c>
      <c r="G1764" s="203">
        <v>0</v>
      </c>
      <c r="H1764" s="203">
        <v>0</v>
      </c>
      <c r="I1764" s="263">
        <v>0</v>
      </c>
      <c r="K1764" s="230"/>
      <c r="L1764" s="230"/>
      <c r="M1764" s="230"/>
    </row>
    <row r="1765" spans="1:13" s="231" customFormat="1" ht="15.75" customHeight="1" thickBot="1" x14ac:dyDescent="0.3">
      <c r="A1765" s="1"/>
      <c r="B1765" s="249" t="e">
        <f>IF(AND(F1761&lt;&gt;"", B1760&lt;&gt;""), B1760+1, "")</f>
        <v>#REF!</v>
      </c>
      <c r="C1765" s="416"/>
      <c r="D1765" s="446"/>
      <c r="E1765" s="250" t="s">
        <v>767</v>
      </c>
      <c r="F1765" s="204">
        <v>0</v>
      </c>
      <c r="G1765" s="205">
        <v>0</v>
      </c>
      <c r="H1765" s="205">
        <v>0</v>
      </c>
      <c r="I1765" s="264">
        <v>0</v>
      </c>
      <c r="K1765" s="230"/>
      <c r="L1765" s="230"/>
      <c r="M1765" s="230"/>
    </row>
    <row r="1766" spans="1:13" s="231" customFormat="1" x14ac:dyDescent="0.25">
      <c r="A1766" s="1"/>
      <c r="B1766" s="241" t="e">
        <f>IF(AND(F1766&lt;&gt;"", B1761&lt;&gt;""), B1761+1, "")</f>
        <v>#REF!</v>
      </c>
      <c r="C1766" s="442">
        <v>46383</v>
      </c>
      <c r="D1766" s="444">
        <f>D1761+1</f>
        <v>46383</v>
      </c>
      <c r="E1766" s="246" t="s">
        <v>394</v>
      </c>
      <c r="F1766" s="202">
        <v>0</v>
      </c>
      <c r="G1766" s="203">
        <v>0</v>
      </c>
      <c r="H1766" s="203">
        <v>0</v>
      </c>
      <c r="I1766" s="263">
        <v>0</v>
      </c>
      <c r="K1766" s="230"/>
      <c r="L1766" s="230"/>
      <c r="M1766" s="230"/>
    </row>
    <row r="1767" spans="1:13" s="231" customFormat="1" x14ac:dyDescent="0.25">
      <c r="A1767" s="1"/>
      <c r="B1767" s="245" t="e">
        <f>IF(AND(F1766&lt;&gt;"", B1762&lt;&gt;""), B1762+1, "")</f>
        <v>#REF!</v>
      </c>
      <c r="C1767" s="409"/>
      <c r="D1767" s="445"/>
      <c r="E1767" s="246" t="s">
        <v>764</v>
      </c>
      <c r="F1767" s="202">
        <v>0</v>
      </c>
      <c r="G1767" s="203">
        <v>0</v>
      </c>
      <c r="H1767" s="203">
        <v>0</v>
      </c>
      <c r="I1767" s="263">
        <v>0</v>
      </c>
      <c r="K1767" s="230"/>
      <c r="L1767" s="230"/>
      <c r="M1767" s="230"/>
    </row>
    <row r="1768" spans="1:13" s="231" customFormat="1" x14ac:dyDescent="0.25">
      <c r="A1768" s="1"/>
      <c r="B1768" s="245" t="e">
        <f>IF(AND(F1766&lt;&gt;"", B1763&lt;&gt;""), B1763+1, "")</f>
        <v>#REF!</v>
      </c>
      <c r="C1768" s="409"/>
      <c r="D1768" s="445"/>
      <c r="E1768" s="246" t="s">
        <v>765</v>
      </c>
      <c r="F1768" s="202">
        <v>0</v>
      </c>
      <c r="G1768" s="203">
        <v>0</v>
      </c>
      <c r="H1768" s="203">
        <v>0</v>
      </c>
      <c r="I1768" s="263">
        <v>0</v>
      </c>
      <c r="K1768" s="230"/>
      <c r="L1768" s="230"/>
      <c r="M1768" s="230"/>
    </row>
    <row r="1769" spans="1:13" s="231" customFormat="1" x14ac:dyDescent="0.25">
      <c r="A1769" s="1"/>
      <c r="B1769" s="245" t="e">
        <f>IF(AND(F1766&lt;&gt;"", B1764&lt;&gt;""), B1764+1, "")</f>
        <v>#REF!</v>
      </c>
      <c r="C1769" s="409"/>
      <c r="D1769" s="445"/>
      <c r="E1769" s="246" t="s">
        <v>766</v>
      </c>
      <c r="F1769" s="202">
        <v>0</v>
      </c>
      <c r="G1769" s="203">
        <v>0</v>
      </c>
      <c r="H1769" s="203">
        <v>0</v>
      </c>
      <c r="I1769" s="263">
        <v>0</v>
      </c>
      <c r="K1769" s="230"/>
      <c r="L1769" s="230"/>
      <c r="M1769" s="230"/>
    </row>
    <row r="1770" spans="1:13" s="231" customFormat="1" ht="15.75" customHeight="1" thickBot="1" x14ac:dyDescent="0.3">
      <c r="A1770" s="1"/>
      <c r="B1770" s="249" t="e">
        <f>IF(AND(F1766&lt;&gt;"", B1765&lt;&gt;""), B1765+1, "")</f>
        <v>#REF!</v>
      </c>
      <c r="C1770" s="416"/>
      <c r="D1770" s="446"/>
      <c r="E1770" s="250" t="s">
        <v>767</v>
      </c>
      <c r="F1770" s="204">
        <v>0</v>
      </c>
      <c r="G1770" s="205">
        <v>0</v>
      </c>
      <c r="H1770" s="205">
        <v>0</v>
      </c>
      <c r="I1770" s="264">
        <v>0</v>
      </c>
      <c r="K1770" s="230"/>
      <c r="L1770" s="230"/>
      <c r="M1770" s="230"/>
    </row>
    <row r="1771" spans="1:13" s="231" customFormat="1" x14ac:dyDescent="0.25">
      <c r="A1771" s="1"/>
      <c r="B1771" s="241" t="e">
        <f>IF(AND(F1771&lt;&gt;"", B1766&lt;&gt;""), B1766+1, "")</f>
        <v>#REF!</v>
      </c>
      <c r="C1771" s="442">
        <v>46384</v>
      </c>
      <c r="D1771" s="444">
        <f>D1766+1</f>
        <v>46384</v>
      </c>
      <c r="E1771" s="246" t="s">
        <v>394</v>
      </c>
      <c r="F1771" s="202">
        <v>0</v>
      </c>
      <c r="G1771" s="203">
        <v>0</v>
      </c>
      <c r="H1771" s="203">
        <v>0</v>
      </c>
      <c r="I1771" s="263">
        <v>0</v>
      </c>
      <c r="K1771" s="230"/>
      <c r="L1771" s="230"/>
      <c r="M1771" s="230"/>
    </row>
    <row r="1772" spans="1:13" s="231" customFormat="1" x14ac:dyDescent="0.25">
      <c r="A1772" s="1"/>
      <c r="B1772" s="245" t="e">
        <f>IF(AND(F1771&lt;&gt;"", B1767&lt;&gt;""), B1767+1, "")</f>
        <v>#REF!</v>
      </c>
      <c r="C1772" s="409"/>
      <c r="D1772" s="445"/>
      <c r="E1772" s="246" t="s">
        <v>764</v>
      </c>
      <c r="F1772" s="202">
        <v>0</v>
      </c>
      <c r="G1772" s="203">
        <v>0</v>
      </c>
      <c r="H1772" s="203">
        <v>0</v>
      </c>
      <c r="I1772" s="263">
        <v>0</v>
      </c>
      <c r="K1772" s="230"/>
      <c r="L1772" s="230"/>
      <c r="M1772" s="230"/>
    </row>
    <row r="1773" spans="1:13" s="231" customFormat="1" x14ac:dyDescent="0.25">
      <c r="A1773" s="1"/>
      <c r="B1773" s="245" t="e">
        <f>IF(AND(F1771&lt;&gt;"", B1768&lt;&gt;""), B1768+1, "")</f>
        <v>#REF!</v>
      </c>
      <c r="C1773" s="409"/>
      <c r="D1773" s="445"/>
      <c r="E1773" s="246" t="s">
        <v>765</v>
      </c>
      <c r="F1773" s="202">
        <v>0</v>
      </c>
      <c r="G1773" s="203">
        <v>0</v>
      </c>
      <c r="H1773" s="203">
        <v>0</v>
      </c>
      <c r="I1773" s="263">
        <v>0</v>
      </c>
      <c r="K1773" s="230"/>
      <c r="L1773" s="230"/>
      <c r="M1773" s="230"/>
    </row>
    <row r="1774" spans="1:13" s="231" customFormat="1" x14ac:dyDescent="0.25">
      <c r="A1774" s="1"/>
      <c r="B1774" s="245" t="e">
        <f>IF(AND(F1771&lt;&gt;"", B1769&lt;&gt;""), B1769+1, "")</f>
        <v>#REF!</v>
      </c>
      <c r="C1774" s="409"/>
      <c r="D1774" s="445"/>
      <c r="E1774" s="246" t="s">
        <v>766</v>
      </c>
      <c r="F1774" s="202">
        <v>0</v>
      </c>
      <c r="G1774" s="203">
        <v>0</v>
      </c>
      <c r="H1774" s="203">
        <v>0</v>
      </c>
      <c r="I1774" s="263">
        <v>0</v>
      </c>
      <c r="K1774" s="230"/>
      <c r="L1774" s="230"/>
      <c r="M1774" s="230"/>
    </row>
    <row r="1775" spans="1:13" s="231" customFormat="1" ht="15.75" customHeight="1" thickBot="1" x14ac:dyDescent="0.3">
      <c r="A1775" s="1"/>
      <c r="B1775" s="249" t="e">
        <f>IF(AND(F1771&lt;&gt;"", B1770&lt;&gt;""), B1770+1, "")</f>
        <v>#REF!</v>
      </c>
      <c r="C1775" s="416"/>
      <c r="D1775" s="446"/>
      <c r="E1775" s="250" t="s">
        <v>767</v>
      </c>
      <c r="F1775" s="204">
        <v>0</v>
      </c>
      <c r="G1775" s="205">
        <v>0</v>
      </c>
      <c r="H1775" s="205">
        <v>0</v>
      </c>
      <c r="I1775" s="264">
        <v>0</v>
      </c>
      <c r="K1775" s="230"/>
      <c r="L1775" s="230"/>
      <c r="M1775" s="230"/>
    </row>
    <row r="1776" spans="1:13" s="231" customFormat="1" x14ac:dyDescent="0.25">
      <c r="A1776" s="1"/>
      <c r="B1776" s="241" t="e">
        <f>IF(AND(F1776&lt;&gt;"", B1771&lt;&gt;""), B1771+1, "")</f>
        <v>#REF!</v>
      </c>
      <c r="C1776" s="442">
        <v>46385</v>
      </c>
      <c r="D1776" s="444">
        <f>D1771+1</f>
        <v>46385</v>
      </c>
      <c r="E1776" s="246" t="s">
        <v>394</v>
      </c>
      <c r="F1776" s="202">
        <v>0</v>
      </c>
      <c r="G1776" s="203">
        <v>0</v>
      </c>
      <c r="H1776" s="203">
        <v>0</v>
      </c>
      <c r="I1776" s="263">
        <v>0</v>
      </c>
      <c r="K1776" s="230"/>
      <c r="L1776" s="230"/>
      <c r="M1776" s="230"/>
    </row>
    <row r="1777" spans="1:13" s="231" customFormat="1" x14ac:dyDescent="0.25">
      <c r="A1777" s="1"/>
      <c r="B1777" s="245" t="e">
        <f>IF(AND(F1776&lt;&gt;"", B1772&lt;&gt;""), B1772+1, "")</f>
        <v>#REF!</v>
      </c>
      <c r="C1777" s="409"/>
      <c r="D1777" s="445"/>
      <c r="E1777" s="246" t="s">
        <v>764</v>
      </c>
      <c r="F1777" s="202">
        <v>0</v>
      </c>
      <c r="G1777" s="203">
        <v>0</v>
      </c>
      <c r="H1777" s="203">
        <v>0</v>
      </c>
      <c r="I1777" s="263">
        <v>0</v>
      </c>
      <c r="K1777" s="230"/>
      <c r="L1777" s="230"/>
      <c r="M1777" s="230"/>
    </row>
    <row r="1778" spans="1:13" s="231" customFormat="1" x14ac:dyDescent="0.25">
      <c r="A1778" s="1"/>
      <c r="B1778" s="245" t="e">
        <f>IF(AND(F1776&lt;&gt;"", B1773&lt;&gt;""), B1773+1, "")</f>
        <v>#REF!</v>
      </c>
      <c r="C1778" s="409"/>
      <c r="D1778" s="445"/>
      <c r="E1778" s="246" t="s">
        <v>765</v>
      </c>
      <c r="F1778" s="202">
        <v>0</v>
      </c>
      <c r="G1778" s="203">
        <v>0</v>
      </c>
      <c r="H1778" s="203">
        <v>0</v>
      </c>
      <c r="I1778" s="263">
        <v>0</v>
      </c>
      <c r="K1778" s="230"/>
      <c r="L1778" s="230"/>
      <c r="M1778" s="230"/>
    </row>
    <row r="1779" spans="1:13" s="231" customFormat="1" x14ac:dyDescent="0.25">
      <c r="A1779" s="1"/>
      <c r="B1779" s="245" t="e">
        <f>IF(AND(F1776&lt;&gt;"", B1774&lt;&gt;""), B1774+1, "")</f>
        <v>#REF!</v>
      </c>
      <c r="C1779" s="409"/>
      <c r="D1779" s="445"/>
      <c r="E1779" s="246" t="s">
        <v>766</v>
      </c>
      <c r="F1779" s="202">
        <v>0</v>
      </c>
      <c r="G1779" s="203">
        <v>0</v>
      </c>
      <c r="H1779" s="203">
        <v>0</v>
      </c>
      <c r="I1779" s="263">
        <v>0</v>
      </c>
      <c r="K1779" s="230"/>
      <c r="L1779" s="230"/>
      <c r="M1779" s="230"/>
    </row>
    <row r="1780" spans="1:13" s="231" customFormat="1" ht="15.75" customHeight="1" thickBot="1" x14ac:dyDescent="0.3">
      <c r="A1780" s="1"/>
      <c r="B1780" s="249" t="e">
        <f>IF(AND(F1776&lt;&gt;"", B1775&lt;&gt;""), B1775+1, "")</f>
        <v>#REF!</v>
      </c>
      <c r="C1780" s="416"/>
      <c r="D1780" s="446"/>
      <c r="E1780" s="250" t="s">
        <v>767</v>
      </c>
      <c r="F1780" s="204">
        <v>0</v>
      </c>
      <c r="G1780" s="205">
        <v>0</v>
      </c>
      <c r="H1780" s="205">
        <v>0</v>
      </c>
      <c r="I1780" s="264">
        <v>0</v>
      </c>
      <c r="K1780" s="230"/>
      <c r="L1780" s="230"/>
      <c r="M1780" s="230"/>
    </row>
    <row r="1781" spans="1:13" s="231" customFormat="1" x14ac:dyDescent="0.25">
      <c r="A1781" s="1"/>
      <c r="B1781" s="241" t="e">
        <f>IF(AND(F1781&lt;&gt;"", B1776&lt;&gt;""), B1776+1, "")</f>
        <v>#REF!</v>
      </c>
      <c r="C1781" s="442">
        <v>46386</v>
      </c>
      <c r="D1781" s="444">
        <f>D1776+1</f>
        <v>46386</v>
      </c>
      <c r="E1781" s="246" t="s">
        <v>394</v>
      </c>
      <c r="F1781" s="202">
        <v>0</v>
      </c>
      <c r="G1781" s="203">
        <v>0</v>
      </c>
      <c r="H1781" s="203">
        <v>0</v>
      </c>
      <c r="I1781" s="263">
        <v>0</v>
      </c>
      <c r="K1781" s="230"/>
      <c r="L1781" s="230"/>
      <c r="M1781" s="230"/>
    </row>
    <row r="1782" spans="1:13" s="231" customFormat="1" x14ac:dyDescent="0.25">
      <c r="A1782" s="1"/>
      <c r="B1782" s="245" t="e">
        <f>IF(AND(F1781&lt;&gt;"", B1777&lt;&gt;""), B1777+1, "")</f>
        <v>#REF!</v>
      </c>
      <c r="C1782" s="409"/>
      <c r="D1782" s="445"/>
      <c r="E1782" s="246" t="s">
        <v>764</v>
      </c>
      <c r="F1782" s="202">
        <v>0</v>
      </c>
      <c r="G1782" s="203">
        <v>0</v>
      </c>
      <c r="H1782" s="203">
        <v>0</v>
      </c>
      <c r="I1782" s="263">
        <v>0</v>
      </c>
      <c r="K1782" s="230"/>
      <c r="L1782" s="230"/>
      <c r="M1782" s="230"/>
    </row>
    <row r="1783" spans="1:13" s="231" customFormat="1" x14ac:dyDescent="0.25">
      <c r="A1783" s="1"/>
      <c r="B1783" s="245" t="e">
        <f>IF(AND(F1781&lt;&gt;"", B1778&lt;&gt;""), B1778+1, "")</f>
        <v>#REF!</v>
      </c>
      <c r="C1783" s="409"/>
      <c r="D1783" s="445"/>
      <c r="E1783" s="246" t="s">
        <v>765</v>
      </c>
      <c r="F1783" s="202">
        <v>0</v>
      </c>
      <c r="G1783" s="203">
        <v>0</v>
      </c>
      <c r="H1783" s="203">
        <v>0</v>
      </c>
      <c r="I1783" s="263">
        <v>0</v>
      </c>
      <c r="K1783" s="230"/>
      <c r="L1783" s="230"/>
      <c r="M1783" s="230"/>
    </row>
    <row r="1784" spans="1:13" s="231" customFormat="1" x14ac:dyDescent="0.25">
      <c r="A1784" s="1"/>
      <c r="B1784" s="245" t="e">
        <f>IF(AND(F1781&lt;&gt;"", B1779&lt;&gt;""), B1779+1, "")</f>
        <v>#REF!</v>
      </c>
      <c r="C1784" s="409"/>
      <c r="D1784" s="445"/>
      <c r="E1784" s="246" t="s">
        <v>766</v>
      </c>
      <c r="F1784" s="202">
        <v>0</v>
      </c>
      <c r="G1784" s="203">
        <v>0</v>
      </c>
      <c r="H1784" s="203">
        <v>0</v>
      </c>
      <c r="I1784" s="263">
        <v>0</v>
      </c>
      <c r="K1784" s="230"/>
      <c r="L1784" s="230"/>
      <c r="M1784" s="230"/>
    </row>
    <row r="1785" spans="1:13" s="231" customFormat="1" ht="15.75" customHeight="1" thickBot="1" x14ac:dyDescent="0.3">
      <c r="A1785" s="1"/>
      <c r="B1785" s="249" t="e">
        <f>IF(AND(F1781&lt;&gt;"", B1780&lt;&gt;""), B1780+1, "")</f>
        <v>#REF!</v>
      </c>
      <c r="C1785" s="416"/>
      <c r="D1785" s="446"/>
      <c r="E1785" s="250" t="s">
        <v>767</v>
      </c>
      <c r="F1785" s="204">
        <v>0</v>
      </c>
      <c r="G1785" s="205">
        <v>0</v>
      </c>
      <c r="H1785" s="205">
        <v>0</v>
      </c>
      <c r="I1785" s="264">
        <v>0</v>
      </c>
      <c r="K1785" s="230"/>
      <c r="L1785" s="230"/>
      <c r="M1785" s="230"/>
    </row>
    <row r="1786" spans="1:13" s="231" customFormat="1" x14ac:dyDescent="0.25">
      <c r="A1786" s="1"/>
      <c r="B1786" s="241" t="e">
        <f>IF(AND(F1786&lt;&gt;"", B1781&lt;&gt;""), B1781+1, "")</f>
        <v>#REF!</v>
      </c>
      <c r="C1786" s="442">
        <v>46387</v>
      </c>
      <c r="D1786" s="444">
        <f>D1781+1</f>
        <v>46387</v>
      </c>
      <c r="E1786" s="246" t="s">
        <v>394</v>
      </c>
      <c r="F1786" s="202">
        <v>0</v>
      </c>
      <c r="G1786" s="203">
        <v>0</v>
      </c>
      <c r="H1786" s="203">
        <v>0</v>
      </c>
      <c r="I1786" s="263">
        <v>0</v>
      </c>
      <c r="K1786" s="230"/>
      <c r="L1786" s="230"/>
      <c r="M1786" s="230"/>
    </row>
    <row r="1787" spans="1:13" s="231" customFormat="1" x14ac:dyDescent="0.25">
      <c r="A1787" s="1"/>
      <c r="B1787" s="245" t="e">
        <f>IF(AND(F1786&lt;&gt;"", B1782&lt;&gt;""), B1782+1, "")</f>
        <v>#REF!</v>
      </c>
      <c r="C1787" s="409"/>
      <c r="D1787" s="445"/>
      <c r="E1787" s="246" t="s">
        <v>764</v>
      </c>
      <c r="F1787" s="202">
        <v>0</v>
      </c>
      <c r="G1787" s="203">
        <v>0</v>
      </c>
      <c r="H1787" s="203">
        <v>0</v>
      </c>
      <c r="I1787" s="263">
        <v>0</v>
      </c>
      <c r="K1787" s="230"/>
      <c r="L1787" s="230"/>
      <c r="M1787" s="230"/>
    </row>
    <row r="1788" spans="1:13" s="231" customFormat="1" x14ac:dyDescent="0.25">
      <c r="A1788" s="1"/>
      <c r="B1788" s="245" t="e">
        <f>IF(AND(F1786&lt;&gt;"", B1783&lt;&gt;""), B1783+1, "")</f>
        <v>#REF!</v>
      </c>
      <c r="C1788" s="409"/>
      <c r="D1788" s="445"/>
      <c r="E1788" s="246" t="s">
        <v>765</v>
      </c>
      <c r="F1788" s="202">
        <v>0</v>
      </c>
      <c r="G1788" s="203">
        <v>0</v>
      </c>
      <c r="H1788" s="203">
        <v>0</v>
      </c>
      <c r="I1788" s="263">
        <v>0</v>
      </c>
      <c r="K1788" s="230"/>
      <c r="L1788" s="230"/>
      <c r="M1788" s="230"/>
    </row>
    <row r="1789" spans="1:13" s="231" customFormat="1" x14ac:dyDescent="0.25">
      <c r="A1789" s="1"/>
      <c r="B1789" s="245" t="e">
        <f>IF(AND(F1786&lt;&gt;"", B1784&lt;&gt;""), B1784+1, "")</f>
        <v>#REF!</v>
      </c>
      <c r="C1789" s="409"/>
      <c r="D1789" s="445"/>
      <c r="E1789" s="246" t="s">
        <v>766</v>
      </c>
      <c r="F1789" s="202">
        <v>0</v>
      </c>
      <c r="G1789" s="203">
        <v>0</v>
      </c>
      <c r="H1789" s="203">
        <v>0</v>
      </c>
      <c r="I1789" s="263">
        <v>0</v>
      </c>
      <c r="K1789" s="230"/>
      <c r="L1789" s="230"/>
      <c r="M1789" s="230"/>
    </row>
    <row r="1790" spans="1:13" s="231" customFormat="1" ht="15.75" customHeight="1" thickBot="1" x14ac:dyDescent="0.3">
      <c r="A1790" s="1"/>
      <c r="B1790" s="249" t="e">
        <f>IF(AND(F1786&lt;&gt;"", B1785&lt;&gt;""), B1785+1, "")</f>
        <v>#REF!</v>
      </c>
      <c r="C1790" s="416"/>
      <c r="D1790" s="446"/>
      <c r="E1790" s="250" t="s">
        <v>767</v>
      </c>
      <c r="F1790" s="204">
        <v>0</v>
      </c>
      <c r="G1790" s="205">
        <v>0</v>
      </c>
      <c r="H1790" s="205">
        <v>0</v>
      </c>
      <c r="I1790" s="264">
        <v>0</v>
      </c>
      <c r="K1790" s="230"/>
      <c r="L1790" s="230"/>
      <c r="M1790" s="230"/>
    </row>
    <row r="1791" spans="1:13" s="231" customFormat="1" x14ac:dyDescent="0.25">
      <c r="A1791" s="1"/>
      <c r="B1791" s="241" t="e">
        <f>IF(AND(F1791&lt;&gt;"", B1786&lt;&gt;""), B1786+1, "")</f>
        <v>#REF!</v>
      </c>
      <c r="C1791" s="442">
        <v>46388</v>
      </c>
      <c r="D1791" s="444">
        <f>D1786+1</f>
        <v>46388</v>
      </c>
      <c r="E1791" s="246" t="s">
        <v>394</v>
      </c>
      <c r="F1791" s="202">
        <v>0</v>
      </c>
      <c r="G1791" s="203">
        <v>0</v>
      </c>
      <c r="H1791" s="203">
        <v>0</v>
      </c>
      <c r="I1791" s="263">
        <v>0</v>
      </c>
      <c r="K1791" s="230"/>
      <c r="L1791" s="230"/>
      <c r="M1791" s="230"/>
    </row>
    <row r="1792" spans="1:13" s="231" customFormat="1" x14ac:dyDescent="0.25">
      <c r="A1792" s="1"/>
      <c r="B1792" s="245" t="e">
        <f>IF(AND(F1791&lt;&gt;"", B1787&lt;&gt;""), B1787+1, "")</f>
        <v>#REF!</v>
      </c>
      <c r="C1792" s="409"/>
      <c r="D1792" s="445"/>
      <c r="E1792" s="246" t="s">
        <v>764</v>
      </c>
      <c r="F1792" s="202">
        <v>0</v>
      </c>
      <c r="G1792" s="203">
        <v>0</v>
      </c>
      <c r="H1792" s="203">
        <v>0</v>
      </c>
      <c r="I1792" s="263">
        <v>0</v>
      </c>
      <c r="K1792" s="230"/>
      <c r="L1792" s="230"/>
      <c r="M1792" s="230"/>
    </row>
    <row r="1793" spans="1:13" s="231" customFormat="1" x14ac:dyDescent="0.25">
      <c r="A1793" s="1"/>
      <c r="B1793" s="245" t="e">
        <f>IF(AND(F1791&lt;&gt;"", B1788&lt;&gt;""), B1788+1, "")</f>
        <v>#REF!</v>
      </c>
      <c r="C1793" s="409"/>
      <c r="D1793" s="445"/>
      <c r="E1793" s="246" t="s">
        <v>765</v>
      </c>
      <c r="F1793" s="202">
        <v>0</v>
      </c>
      <c r="G1793" s="203">
        <v>0</v>
      </c>
      <c r="H1793" s="203">
        <v>0</v>
      </c>
      <c r="I1793" s="263">
        <v>0</v>
      </c>
      <c r="K1793" s="230"/>
      <c r="L1793" s="230"/>
      <c r="M1793" s="230"/>
    </row>
    <row r="1794" spans="1:13" s="231" customFormat="1" x14ac:dyDescent="0.25">
      <c r="A1794" s="1"/>
      <c r="B1794" s="245" t="e">
        <f>IF(AND(F1791&lt;&gt;"", B1789&lt;&gt;""), B1789+1, "")</f>
        <v>#REF!</v>
      </c>
      <c r="C1794" s="409"/>
      <c r="D1794" s="445"/>
      <c r="E1794" s="246" t="s">
        <v>766</v>
      </c>
      <c r="F1794" s="202">
        <v>0</v>
      </c>
      <c r="G1794" s="203">
        <v>0</v>
      </c>
      <c r="H1794" s="203">
        <v>0</v>
      </c>
      <c r="I1794" s="263">
        <v>0</v>
      </c>
      <c r="K1794" s="230"/>
      <c r="L1794" s="230"/>
      <c r="M1794" s="230"/>
    </row>
    <row r="1795" spans="1:13" s="231" customFormat="1" ht="15.75" customHeight="1" thickBot="1" x14ac:dyDescent="0.3">
      <c r="A1795" s="1"/>
      <c r="B1795" s="249" t="e">
        <f>IF(AND(F1791&lt;&gt;"", B1790&lt;&gt;""), B1790+1, "")</f>
        <v>#REF!</v>
      </c>
      <c r="C1795" s="416"/>
      <c r="D1795" s="446"/>
      <c r="E1795" s="250" t="s">
        <v>767</v>
      </c>
      <c r="F1795" s="204">
        <v>0</v>
      </c>
      <c r="G1795" s="205">
        <v>0</v>
      </c>
      <c r="H1795" s="205">
        <v>0</v>
      </c>
      <c r="I1795" s="264">
        <v>0</v>
      </c>
      <c r="K1795" s="230"/>
      <c r="L1795" s="230"/>
      <c r="M1795" s="230"/>
    </row>
    <row r="1796" spans="1:13" s="231" customFormat="1" x14ac:dyDescent="0.25">
      <c r="A1796" s="1"/>
      <c r="B1796" s="241" t="e">
        <f>IF(AND(F1796&lt;&gt;"", B1791&lt;&gt;""), B1791+1, "")</f>
        <v>#REF!</v>
      </c>
      <c r="C1796" s="442">
        <v>46389</v>
      </c>
      <c r="D1796" s="444">
        <f>D1791+1</f>
        <v>46389</v>
      </c>
      <c r="E1796" s="246" t="s">
        <v>394</v>
      </c>
      <c r="F1796" s="202">
        <v>0</v>
      </c>
      <c r="G1796" s="203">
        <v>0</v>
      </c>
      <c r="H1796" s="203">
        <v>0</v>
      </c>
      <c r="I1796" s="263">
        <v>0</v>
      </c>
      <c r="K1796" s="230"/>
      <c r="L1796" s="230"/>
      <c r="M1796" s="230"/>
    </row>
    <row r="1797" spans="1:13" s="231" customFormat="1" x14ac:dyDescent="0.25">
      <c r="A1797" s="1"/>
      <c r="B1797" s="245" t="e">
        <f>IF(AND(F1796&lt;&gt;"", B1792&lt;&gt;""), B1792+1, "")</f>
        <v>#REF!</v>
      </c>
      <c r="C1797" s="409"/>
      <c r="D1797" s="445"/>
      <c r="E1797" s="246" t="s">
        <v>764</v>
      </c>
      <c r="F1797" s="202">
        <v>0</v>
      </c>
      <c r="G1797" s="203">
        <v>0</v>
      </c>
      <c r="H1797" s="203">
        <v>0</v>
      </c>
      <c r="I1797" s="263">
        <v>0</v>
      </c>
      <c r="K1797" s="230"/>
      <c r="L1797" s="230"/>
      <c r="M1797" s="230"/>
    </row>
    <row r="1798" spans="1:13" s="231" customFormat="1" x14ac:dyDescent="0.25">
      <c r="A1798" s="1"/>
      <c r="B1798" s="245" t="e">
        <f>IF(AND(F1796&lt;&gt;"", B1793&lt;&gt;""), B1793+1, "")</f>
        <v>#REF!</v>
      </c>
      <c r="C1798" s="409"/>
      <c r="D1798" s="445"/>
      <c r="E1798" s="246" t="s">
        <v>765</v>
      </c>
      <c r="F1798" s="202">
        <v>0</v>
      </c>
      <c r="G1798" s="203">
        <v>0</v>
      </c>
      <c r="H1798" s="203">
        <v>0</v>
      </c>
      <c r="I1798" s="263">
        <v>0</v>
      </c>
      <c r="K1798" s="230"/>
      <c r="L1798" s="230"/>
      <c r="M1798" s="230"/>
    </row>
    <row r="1799" spans="1:13" s="231" customFormat="1" x14ac:dyDescent="0.25">
      <c r="A1799" s="1"/>
      <c r="B1799" s="245" t="e">
        <f>IF(AND(F1796&lt;&gt;"", B1794&lt;&gt;""), B1794+1, "")</f>
        <v>#REF!</v>
      </c>
      <c r="C1799" s="409"/>
      <c r="D1799" s="445"/>
      <c r="E1799" s="246" t="s">
        <v>766</v>
      </c>
      <c r="F1799" s="202">
        <v>0</v>
      </c>
      <c r="G1799" s="203">
        <v>0</v>
      </c>
      <c r="H1799" s="203">
        <v>0</v>
      </c>
      <c r="I1799" s="263">
        <v>0</v>
      </c>
      <c r="K1799" s="230"/>
      <c r="L1799" s="230"/>
      <c r="M1799" s="230"/>
    </row>
    <row r="1800" spans="1:13" s="231" customFormat="1" ht="15.75" customHeight="1" thickBot="1" x14ac:dyDescent="0.3">
      <c r="A1800" s="1"/>
      <c r="B1800" s="249" t="e">
        <f>IF(AND(F1796&lt;&gt;"", B1795&lt;&gt;""), B1795+1, "")</f>
        <v>#REF!</v>
      </c>
      <c r="C1800" s="416"/>
      <c r="D1800" s="446"/>
      <c r="E1800" s="250" t="s">
        <v>767</v>
      </c>
      <c r="F1800" s="204">
        <v>0</v>
      </c>
      <c r="G1800" s="205">
        <v>0</v>
      </c>
      <c r="H1800" s="205">
        <v>0</v>
      </c>
      <c r="I1800" s="264">
        <v>0</v>
      </c>
      <c r="K1800" s="230"/>
      <c r="L1800" s="230"/>
      <c r="M1800" s="230"/>
    </row>
    <row r="1801" spans="1:13" s="231" customFormat="1" x14ac:dyDescent="0.25">
      <c r="A1801" s="1"/>
      <c r="B1801" s="241" t="e">
        <f>IF(AND(F1801&lt;&gt;"", B1796&lt;&gt;""), B1796+1, "")</f>
        <v>#REF!</v>
      </c>
      <c r="C1801" s="442">
        <v>46390</v>
      </c>
      <c r="D1801" s="444">
        <f>D1796+1</f>
        <v>46390</v>
      </c>
      <c r="E1801" s="246" t="s">
        <v>394</v>
      </c>
      <c r="F1801" s="202">
        <v>0</v>
      </c>
      <c r="G1801" s="203">
        <v>0</v>
      </c>
      <c r="H1801" s="203">
        <v>0</v>
      </c>
      <c r="I1801" s="263">
        <v>0</v>
      </c>
      <c r="K1801" s="230"/>
      <c r="L1801" s="230"/>
      <c r="M1801" s="230"/>
    </row>
    <row r="1802" spans="1:13" s="231" customFormat="1" x14ac:dyDescent="0.25">
      <c r="A1802" s="1"/>
      <c r="B1802" s="245" t="e">
        <f>IF(AND(F1801&lt;&gt;"", B1797&lt;&gt;""), B1797+1, "")</f>
        <v>#REF!</v>
      </c>
      <c r="C1802" s="409"/>
      <c r="D1802" s="445"/>
      <c r="E1802" s="246" t="s">
        <v>764</v>
      </c>
      <c r="F1802" s="202">
        <v>0</v>
      </c>
      <c r="G1802" s="203">
        <v>0</v>
      </c>
      <c r="H1802" s="203">
        <v>0</v>
      </c>
      <c r="I1802" s="263">
        <v>0</v>
      </c>
      <c r="K1802" s="230"/>
      <c r="L1802" s="230"/>
      <c r="M1802" s="230"/>
    </row>
    <row r="1803" spans="1:13" s="231" customFormat="1" x14ac:dyDescent="0.25">
      <c r="A1803" s="1"/>
      <c r="B1803" s="245" t="e">
        <f>IF(AND(F1801&lt;&gt;"", B1798&lt;&gt;""), B1798+1, "")</f>
        <v>#REF!</v>
      </c>
      <c r="C1803" s="409"/>
      <c r="D1803" s="445"/>
      <c r="E1803" s="246" t="s">
        <v>765</v>
      </c>
      <c r="F1803" s="202">
        <v>0</v>
      </c>
      <c r="G1803" s="203">
        <v>0</v>
      </c>
      <c r="H1803" s="203">
        <v>0</v>
      </c>
      <c r="I1803" s="263">
        <v>0</v>
      </c>
      <c r="K1803" s="230"/>
      <c r="L1803" s="230"/>
      <c r="M1803" s="230"/>
    </row>
    <row r="1804" spans="1:13" s="231" customFormat="1" x14ac:dyDescent="0.25">
      <c r="A1804" s="1"/>
      <c r="B1804" s="245" t="e">
        <f>IF(AND(F1801&lt;&gt;"", B1799&lt;&gt;""), B1799+1, "")</f>
        <v>#REF!</v>
      </c>
      <c r="C1804" s="409"/>
      <c r="D1804" s="445"/>
      <c r="E1804" s="246" t="s">
        <v>766</v>
      </c>
      <c r="F1804" s="202">
        <v>0</v>
      </c>
      <c r="G1804" s="203">
        <v>0</v>
      </c>
      <c r="H1804" s="203">
        <v>0</v>
      </c>
      <c r="I1804" s="263">
        <v>0</v>
      </c>
      <c r="K1804" s="230"/>
      <c r="L1804" s="230"/>
      <c r="M1804" s="230"/>
    </row>
    <row r="1805" spans="1:13" s="231" customFormat="1" ht="15.75" customHeight="1" thickBot="1" x14ac:dyDescent="0.3">
      <c r="A1805" s="1"/>
      <c r="B1805" s="249" t="e">
        <f>IF(AND(F1801&lt;&gt;"", B1800&lt;&gt;""), B1800+1, "")</f>
        <v>#REF!</v>
      </c>
      <c r="C1805" s="416"/>
      <c r="D1805" s="446"/>
      <c r="E1805" s="250" t="s">
        <v>767</v>
      </c>
      <c r="F1805" s="204">
        <v>0</v>
      </c>
      <c r="G1805" s="205">
        <v>0</v>
      </c>
      <c r="H1805" s="205">
        <v>0</v>
      </c>
      <c r="I1805" s="264">
        <v>0</v>
      </c>
      <c r="K1805" s="230"/>
      <c r="L1805" s="230"/>
      <c r="M1805" s="230"/>
    </row>
    <row r="1806" spans="1:13" s="231" customFormat="1" x14ac:dyDescent="0.25">
      <c r="A1806" s="1"/>
      <c r="B1806" s="241" t="e">
        <f>IF(AND(F1806&lt;&gt;"", B1801&lt;&gt;""), B1801+1, "")</f>
        <v>#REF!</v>
      </c>
      <c r="C1806" s="442">
        <v>46391</v>
      </c>
      <c r="D1806" s="444">
        <f>D1801+1</f>
        <v>46391</v>
      </c>
      <c r="E1806" s="246" t="s">
        <v>394</v>
      </c>
      <c r="F1806" s="202">
        <v>0</v>
      </c>
      <c r="G1806" s="203">
        <v>0</v>
      </c>
      <c r="H1806" s="203">
        <v>0</v>
      </c>
      <c r="I1806" s="263">
        <v>0</v>
      </c>
      <c r="K1806" s="230"/>
      <c r="L1806" s="230"/>
      <c r="M1806" s="230"/>
    </row>
    <row r="1807" spans="1:13" s="231" customFormat="1" x14ac:dyDescent="0.25">
      <c r="A1807" s="1"/>
      <c r="B1807" s="245" t="e">
        <f>IF(AND(F1806&lt;&gt;"", B1802&lt;&gt;""), B1802+1, "")</f>
        <v>#REF!</v>
      </c>
      <c r="C1807" s="409"/>
      <c r="D1807" s="445"/>
      <c r="E1807" s="246" t="s">
        <v>764</v>
      </c>
      <c r="F1807" s="202">
        <v>0</v>
      </c>
      <c r="G1807" s="203">
        <v>0</v>
      </c>
      <c r="H1807" s="203">
        <v>0</v>
      </c>
      <c r="I1807" s="263">
        <v>0</v>
      </c>
      <c r="K1807" s="230"/>
      <c r="L1807" s="230"/>
      <c r="M1807" s="230"/>
    </row>
    <row r="1808" spans="1:13" s="231" customFormat="1" x14ac:dyDescent="0.25">
      <c r="A1808" s="1"/>
      <c r="B1808" s="245" t="e">
        <f>IF(AND(F1806&lt;&gt;"", B1803&lt;&gt;""), B1803+1, "")</f>
        <v>#REF!</v>
      </c>
      <c r="C1808" s="409"/>
      <c r="D1808" s="445"/>
      <c r="E1808" s="246" t="s">
        <v>765</v>
      </c>
      <c r="F1808" s="202">
        <v>0</v>
      </c>
      <c r="G1808" s="203">
        <v>0</v>
      </c>
      <c r="H1808" s="203">
        <v>0</v>
      </c>
      <c r="I1808" s="263">
        <v>0</v>
      </c>
      <c r="K1808" s="230"/>
      <c r="L1808" s="230"/>
      <c r="M1808" s="230"/>
    </row>
    <row r="1809" spans="1:13" s="231" customFormat="1" x14ac:dyDescent="0.25">
      <c r="A1809" s="1"/>
      <c r="B1809" s="245" t="e">
        <f>IF(AND(F1806&lt;&gt;"", B1804&lt;&gt;""), B1804+1, "")</f>
        <v>#REF!</v>
      </c>
      <c r="C1809" s="409"/>
      <c r="D1809" s="445"/>
      <c r="E1809" s="246" t="s">
        <v>766</v>
      </c>
      <c r="F1809" s="202">
        <v>0</v>
      </c>
      <c r="G1809" s="203">
        <v>0</v>
      </c>
      <c r="H1809" s="203">
        <v>0</v>
      </c>
      <c r="I1809" s="263">
        <v>0</v>
      </c>
      <c r="K1809" s="230"/>
      <c r="L1809" s="230"/>
      <c r="M1809" s="230"/>
    </row>
    <row r="1810" spans="1:13" s="231" customFormat="1" ht="15.75" customHeight="1" thickBot="1" x14ac:dyDescent="0.3">
      <c r="A1810" s="1"/>
      <c r="B1810" s="249" t="e">
        <f>IF(AND(F1806&lt;&gt;"", B1805&lt;&gt;""), B1805+1, "")</f>
        <v>#REF!</v>
      </c>
      <c r="C1810" s="416"/>
      <c r="D1810" s="446"/>
      <c r="E1810" s="250" t="s">
        <v>767</v>
      </c>
      <c r="F1810" s="204">
        <v>0</v>
      </c>
      <c r="G1810" s="205">
        <v>0</v>
      </c>
      <c r="H1810" s="205">
        <v>0</v>
      </c>
      <c r="I1810" s="264">
        <v>0</v>
      </c>
      <c r="K1810" s="230"/>
      <c r="L1810" s="230"/>
      <c r="M1810" s="230"/>
    </row>
  </sheetData>
  <mergeCells count="725">
    <mergeCell ref="D41:D45"/>
    <mergeCell ref="C21:C25"/>
    <mergeCell ref="D1346:D1350"/>
    <mergeCell ref="D1446:D1450"/>
    <mergeCell ref="D351:D355"/>
    <mergeCell ref="C746:C750"/>
    <mergeCell ref="D701:D705"/>
    <mergeCell ref="D761:D765"/>
    <mergeCell ref="D256:D260"/>
    <mergeCell ref="D401:D405"/>
    <mergeCell ref="B2:I2"/>
    <mergeCell ref="C1801:C1805"/>
    <mergeCell ref="C456:C460"/>
    <mergeCell ref="D46:D50"/>
    <mergeCell ref="D556:D560"/>
    <mergeCell ref="D1401:D1405"/>
    <mergeCell ref="C1356:C1360"/>
    <mergeCell ref="D711:D715"/>
    <mergeCell ref="D561:D565"/>
    <mergeCell ref="C426:C430"/>
    <mergeCell ref="D1751:D1755"/>
    <mergeCell ref="D996:D1000"/>
    <mergeCell ref="D406:D410"/>
    <mergeCell ref="C401:C405"/>
    <mergeCell ref="D66:D70"/>
    <mergeCell ref="D1701:D1705"/>
    <mergeCell ref="D631:D635"/>
    <mergeCell ref="C466:C470"/>
    <mergeCell ref="C1656:C1660"/>
    <mergeCell ref="C71:C75"/>
    <mergeCell ref="C81:C85"/>
    <mergeCell ref="D236:D240"/>
    <mergeCell ref="C366:C370"/>
    <mergeCell ref="D316:D320"/>
    <mergeCell ref="D331:D335"/>
    <mergeCell ref="C316:C320"/>
    <mergeCell ref="D106:D110"/>
    <mergeCell ref="D1251:D1255"/>
    <mergeCell ref="D376:D380"/>
    <mergeCell ref="C331:C335"/>
    <mergeCell ref="D356:D360"/>
    <mergeCell ref="D381:D385"/>
    <mergeCell ref="D121:D125"/>
    <mergeCell ref="D231:D235"/>
    <mergeCell ref="C326:C330"/>
    <mergeCell ref="C121:C125"/>
    <mergeCell ref="D136:D140"/>
    <mergeCell ref="D151:D155"/>
    <mergeCell ref="C171:C175"/>
    <mergeCell ref="C231:C235"/>
    <mergeCell ref="D366:D370"/>
    <mergeCell ref="C321:C325"/>
    <mergeCell ref="C161:C165"/>
    <mergeCell ref="C221:C225"/>
    <mergeCell ref="C431:C435"/>
    <mergeCell ref="C571:C575"/>
    <mergeCell ref="C436:C440"/>
    <mergeCell ref="D906:D910"/>
    <mergeCell ref="C736:C740"/>
    <mergeCell ref="C521:C525"/>
    <mergeCell ref="D31:D35"/>
    <mergeCell ref="D1221:D1225"/>
    <mergeCell ref="D36:D40"/>
    <mergeCell ref="D641:D645"/>
    <mergeCell ref="C531:C535"/>
    <mergeCell ref="D926:D930"/>
    <mergeCell ref="D171:D175"/>
    <mergeCell ref="C1196:C1200"/>
    <mergeCell ref="D336:D340"/>
    <mergeCell ref="D806:D810"/>
    <mergeCell ref="C66:C70"/>
    <mergeCell ref="D1051:D1055"/>
    <mergeCell ref="C686:C690"/>
    <mergeCell ref="C1221:C1225"/>
    <mergeCell ref="C351:C355"/>
    <mergeCell ref="D261:D265"/>
    <mergeCell ref="D116:D120"/>
    <mergeCell ref="D6:D10"/>
    <mergeCell ref="D1336:D1340"/>
    <mergeCell ref="D546:D550"/>
    <mergeCell ref="C1571:C1575"/>
    <mergeCell ref="C501:C505"/>
    <mergeCell ref="C476:C480"/>
    <mergeCell ref="D1801:D1805"/>
    <mergeCell ref="C961:C965"/>
    <mergeCell ref="C1166:C1170"/>
    <mergeCell ref="D306:D310"/>
    <mergeCell ref="D281:D285"/>
    <mergeCell ref="D846:D850"/>
    <mergeCell ref="C236:C240"/>
    <mergeCell ref="C1556:C1560"/>
    <mergeCell ref="C801:C805"/>
    <mergeCell ref="C861:C865"/>
    <mergeCell ref="D1131:D1135"/>
    <mergeCell ref="C1541:C1545"/>
    <mergeCell ref="C211:C215"/>
    <mergeCell ref="C1401:C1405"/>
    <mergeCell ref="D166:D170"/>
    <mergeCell ref="D1461:D1465"/>
    <mergeCell ref="C1036:C1040"/>
    <mergeCell ref="D706:D710"/>
    <mergeCell ref="D1521:D1525"/>
    <mergeCell ref="D1406:D1410"/>
    <mergeCell ref="C286:C290"/>
    <mergeCell ref="D616:D620"/>
    <mergeCell ref="C826:C830"/>
    <mergeCell ref="C886:C890"/>
    <mergeCell ref="D1156:D1160"/>
    <mergeCell ref="D566:D570"/>
    <mergeCell ref="C1111:C1115"/>
    <mergeCell ref="D666:D670"/>
    <mergeCell ref="C951:C955"/>
    <mergeCell ref="C1016:C1020"/>
    <mergeCell ref="C1121:C1125"/>
    <mergeCell ref="C956:C960"/>
    <mergeCell ref="C816:C820"/>
    <mergeCell ref="C766:C770"/>
    <mergeCell ref="C451:C455"/>
    <mergeCell ref="C1116:C1120"/>
    <mergeCell ref="C751:C755"/>
    <mergeCell ref="D456:D460"/>
    <mergeCell ref="D871:D875"/>
    <mergeCell ref="C821:C825"/>
    <mergeCell ref="D776:D780"/>
    <mergeCell ref="D1061:D1065"/>
    <mergeCell ref="D1766:D1770"/>
    <mergeCell ref="D1036:D1040"/>
    <mergeCell ref="D1011:D1015"/>
    <mergeCell ref="C376:C380"/>
    <mergeCell ref="C1746:C1750"/>
    <mergeCell ref="C1156:C1160"/>
    <mergeCell ref="C1696:C1700"/>
    <mergeCell ref="D1646:D1650"/>
    <mergeCell ref="C1281:C1285"/>
    <mergeCell ref="C966:C970"/>
    <mergeCell ref="D1056:D1060"/>
    <mergeCell ref="D856:D860"/>
    <mergeCell ref="D921:D925"/>
    <mergeCell ref="D1256:D1260"/>
    <mergeCell ref="C1411:C1415"/>
    <mergeCell ref="D1111:D1115"/>
    <mergeCell ref="C1316:C1320"/>
    <mergeCell ref="D1651:D1655"/>
    <mergeCell ref="C1646:C1650"/>
    <mergeCell ref="C1361:C1365"/>
    <mergeCell ref="D1466:D1470"/>
    <mergeCell ref="D976:D980"/>
    <mergeCell ref="D1456:D1460"/>
    <mergeCell ref="D1361:D1365"/>
    <mergeCell ref="C1761:C1765"/>
    <mergeCell ref="D1556:D1560"/>
    <mergeCell ref="D901:D905"/>
    <mergeCell ref="D801:D805"/>
    <mergeCell ref="D966:D970"/>
    <mergeCell ref="C856:C860"/>
    <mergeCell ref="D1506:D1510"/>
    <mergeCell ref="C1756:C1760"/>
    <mergeCell ref="D1706:D1710"/>
    <mergeCell ref="C1681:C1685"/>
    <mergeCell ref="C1676:C1680"/>
    <mergeCell ref="D1756:D1760"/>
    <mergeCell ref="C1686:C1690"/>
    <mergeCell ref="D1711:D1715"/>
    <mergeCell ref="C1751:C1755"/>
    <mergeCell ref="C1611:C1615"/>
    <mergeCell ref="C921:C925"/>
    <mergeCell ref="C1706:C1710"/>
    <mergeCell ref="D1376:D1380"/>
    <mergeCell ref="C971:C975"/>
    <mergeCell ref="C1101:C1105"/>
    <mergeCell ref="D1741:D1745"/>
    <mergeCell ref="D986:D990"/>
    <mergeCell ref="C1726:C1730"/>
    <mergeCell ref="D1611:D1615"/>
    <mergeCell ref="D1021:D1025"/>
    <mergeCell ref="D1306:D1310"/>
    <mergeCell ref="D836:D840"/>
    <mergeCell ref="C726:C730"/>
    <mergeCell ref="D1121:D1125"/>
    <mergeCell ref="C1216:C1220"/>
    <mergeCell ref="C811:C815"/>
    <mergeCell ref="D676:D680"/>
    <mergeCell ref="C1526:C1530"/>
    <mergeCell ref="C771:C775"/>
    <mergeCell ref="C1426:C1430"/>
    <mergeCell ref="C836:C840"/>
    <mergeCell ref="D1166:D1170"/>
    <mergeCell ref="D951:D955"/>
    <mergeCell ref="D1321:D1325"/>
    <mergeCell ref="C1211:C1215"/>
    <mergeCell ref="C1521:C1525"/>
    <mergeCell ref="C1241:C1245"/>
    <mergeCell ref="C731:C735"/>
    <mergeCell ref="D1301:D1305"/>
    <mergeCell ref="C1566:C1570"/>
    <mergeCell ref="C1301:C1305"/>
    <mergeCell ref="C1071:C1075"/>
    <mergeCell ref="C1771:C1775"/>
    <mergeCell ref="D911:D915"/>
    <mergeCell ref="D216:D220"/>
    <mergeCell ref="C1181:C1185"/>
    <mergeCell ref="C1466:C1470"/>
    <mergeCell ref="D811:D815"/>
    <mergeCell ref="C676:C680"/>
    <mergeCell ref="C1441:C1445"/>
    <mergeCell ref="D1106:D1110"/>
    <mergeCell ref="C741:C745"/>
    <mergeCell ref="C716:C720"/>
    <mergeCell ref="D341:D345"/>
    <mergeCell ref="C666:C670"/>
    <mergeCell ref="D756:D760"/>
    <mergeCell ref="D1411:D1415"/>
    <mergeCell ref="D821:D825"/>
    <mergeCell ref="D621:D625"/>
    <mergeCell ref="D1746:D1750"/>
    <mergeCell ref="C1701:C1705"/>
    <mergeCell ref="D1066:D1070"/>
    <mergeCell ref="D751:D755"/>
    <mergeCell ref="D1291:D1295"/>
    <mergeCell ref="C1621:C1625"/>
    <mergeCell ref="D421:D425"/>
    <mergeCell ref="C1661:C1665"/>
    <mergeCell ref="D1016:D1020"/>
    <mergeCell ref="C906:C910"/>
    <mergeCell ref="D736:D740"/>
    <mergeCell ref="D816:D820"/>
    <mergeCell ref="D1391:D1395"/>
    <mergeCell ref="C1026:C1030"/>
    <mergeCell ref="C271:C275"/>
    <mergeCell ref="D126:D130"/>
    <mergeCell ref="C1091:C1095"/>
    <mergeCell ref="C336:C340"/>
    <mergeCell ref="D1421:D1425"/>
    <mergeCell ref="C1461:C1465"/>
    <mergeCell ref="C871:C875"/>
    <mergeCell ref="C671:C675"/>
    <mergeCell ref="D691:D695"/>
    <mergeCell ref="C546:C550"/>
    <mergeCell ref="C471:C475"/>
    <mergeCell ref="D431:D435"/>
    <mergeCell ref="D1041:D1045"/>
    <mergeCell ref="C1546:C1550"/>
    <mergeCell ref="D1636:D1640"/>
    <mergeCell ref="D221:D225"/>
    <mergeCell ref="D481:D485"/>
    <mergeCell ref="D1261:D1265"/>
    <mergeCell ref="C1491:C1495"/>
    <mergeCell ref="D536:D540"/>
    <mergeCell ref="D961:D965"/>
    <mergeCell ref="D1561:D1565"/>
    <mergeCell ref="D1471:D1475"/>
    <mergeCell ref="D716:D720"/>
    <mergeCell ref="C1376:C1380"/>
    <mergeCell ref="C931:C935"/>
    <mergeCell ref="C1011:C1015"/>
    <mergeCell ref="C1006:C1010"/>
    <mergeCell ref="D1441:D1445"/>
    <mergeCell ref="D1366:D1370"/>
    <mergeCell ref="D636:D640"/>
    <mergeCell ref="C621:C625"/>
    <mergeCell ref="D646:D650"/>
    <mergeCell ref="C601:C605"/>
    <mergeCell ref="C721:C725"/>
    <mergeCell ref="D1396:D1400"/>
    <mergeCell ref="C1261:C1265"/>
    <mergeCell ref="C786:C790"/>
    <mergeCell ref="C1326:C1330"/>
    <mergeCell ref="D1181:D1185"/>
    <mergeCell ref="C1061:C1065"/>
    <mergeCell ref="B1:I1"/>
    <mergeCell ref="C941:C945"/>
    <mergeCell ref="C1516:C1520"/>
    <mergeCell ref="C186:C190"/>
    <mergeCell ref="C481:C485"/>
    <mergeCell ref="D131:D135"/>
    <mergeCell ref="C41:C45"/>
    <mergeCell ref="C146:C150"/>
    <mergeCell ref="D436:D440"/>
    <mergeCell ref="D411:D415"/>
    <mergeCell ref="C1066:C1070"/>
    <mergeCell ref="C1186:C1190"/>
    <mergeCell ref="C986:C990"/>
    <mergeCell ref="D826:D830"/>
    <mergeCell ref="C461:C465"/>
    <mergeCell ref="C681:C685"/>
    <mergeCell ref="D1001:D1005"/>
    <mergeCell ref="D861:D865"/>
    <mergeCell ref="D1311:D1315"/>
    <mergeCell ref="D721:D725"/>
    <mergeCell ref="D786:D790"/>
    <mergeCell ref="D1326:D1330"/>
    <mergeCell ref="D1491:D1495"/>
    <mergeCell ref="D1351:D1355"/>
    <mergeCell ref="D1661:D1665"/>
    <mergeCell ref="D1071:D1075"/>
    <mergeCell ref="D731:D735"/>
    <mergeCell ref="D1356:D1360"/>
    <mergeCell ref="D1676:D1680"/>
    <mergeCell ref="C1531:C1535"/>
    <mergeCell ref="D1656:D1660"/>
    <mergeCell ref="C1076:C1080"/>
    <mergeCell ref="C1311:C1315"/>
    <mergeCell ref="D1516:D1520"/>
    <mergeCell ref="C881:C885"/>
    <mergeCell ref="D1276:D1280"/>
    <mergeCell ref="D1026:D1030"/>
    <mergeCell ref="D1191:D1195"/>
    <mergeCell ref="C1421:C1425"/>
    <mergeCell ref="D1241:D1245"/>
    <mergeCell ref="C1131:C1135"/>
    <mergeCell ref="D886:D890"/>
    <mergeCell ref="D1371:D1375"/>
    <mergeCell ref="D1171:D1175"/>
    <mergeCell ref="C1561:C1565"/>
    <mergeCell ref="D1526:D1530"/>
    <mergeCell ref="D1581:D1585"/>
    <mergeCell ref="C1206:C1210"/>
    <mergeCell ref="D1576:D1580"/>
    <mergeCell ref="D1236:D1240"/>
    <mergeCell ref="D1211:D1215"/>
    <mergeCell ref="D931:D935"/>
    <mergeCell ref="C1616:C1620"/>
    <mergeCell ref="D1806:D1810"/>
    <mergeCell ref="D1216:D1220"/>
    <mergeCell ref="D876:D880"/>
    <mergeCell ref="C1171:C1175"/>
    <mergeCell ref="C1146:C1150"/>
    <mergeCell ref="D1716:D1720"/>
    <mergeCell ref="D1781:D1785"/>
    <mergeCell ref="D1776:D1780"/>
    <mergeCell ref="C1806:C1810"/>
    <mergeCell ref="D1726:D1730"/>
    <mergeCell ref="C1791:C1795"/>
    <mergeCell ref="C1766:C1770"/>
    <mergeCell ref="D1721:D1725"/>
    <mergeCell ref="D1696:D1700"/>
    <mergeCell ref="D1796:D1800"/>
    <mergeCell ref="D1791:D1795"/>
    <mergeCell ref="C1776:C1780"/>
    <mergeCell ref="C1626:C1630"/>
    <mergeCell ref="D1586:D1590"/>
    <mergeCell ref="C1336:C1340"/>
    <mergeCell ref="D1626:D1630"/>
    <mergeCell ref="D1731:D1735"/>
    <mergeCell ref="D1426:D1430"/>
    <mergeCell ref="C1636:C1640"/>
    <mergeCell ref="C31:C35"/>
    <mergeCell ref="D686:D690"/>
    <mergeCell ref="C1231:C1235"/>
    <mergeCell ref="C1716:C1720"/>
    <mergeCell ref="C1721:C1725"/>
    <mergeCell ref="C391:C395"/>
    <mergeCell ref="D576:D580"/>
    <mergeCell ref="C176:C180"/>
    <mergeCell ref="D476:D480"/>
    <mergeCell ref="D551:D555"/>
    <mergeCell ref="C356:C360"/>
    <mergeCell ref="C1471:C1475"/>
    <mergeCell ref="D1286:D1290"/>
    <mergeCell ref="C876:C880"/>
    <mergeCell ref="C1136:C1140"/>
    <mergeCell ref="D446:D450"/>
    <mergeCell ref="C506:C510"/>
    <mergeCell ref="D1151:D1155"/>
    <mergeCell ref="D396:D400"/>
    <mergeCell ref="C1781:C1785"/>
    <mergeCell ref="C1191:C1195"/>
    <mergeCell ref="C991:C995"/>
    <mergeCell ref="D1081:D1085"/>
    <mergeCell ref="C1416:C1420"/>
    <mergeCell ref="C1476:C1480"/>
    <mergeCell ref="C691:C695"/>
    <mergeCell ref="D781:D785"/>
    <mergeCell ref="D1381:D1385"/>
    <mergeCell ref="C1266:C1270"/>
    <mergeCell ref="D1771:D1775"/>
    <mergeCell ref="D941:D945"/>
    <mergeCell ref="D1681:D1685"/>
    <mergeCell ref="D1316:D1320"/>
    <mergeCell ref="C846:C850"/>
    <mergeCell ref="C1711:C1715"/>
    <mergeCell ref="D1511:D1515"/>
    <mergeCell ref="D1571:D1575"/>
    <mergeCell ref="D1231:D1235"/>
    <mergeCell ref="D831:D835"/>
    <mergeCell ref="C1226:C1230"/>
    <mergeCell ref="D1281:D1285"/>
    <mergeCell ref="C1431:C1435"/>
    <mergeCell ref="C781:C785"/>
    <mergeCell ref="B3:I3"/>
    <mergeCell ref="C91:C95"/>
    <mergeCell ref="C1481:C1485"/>
    <mergeCell ref="C1586:C1590"/>
    <mergeCell ref="C831:C835"/>
    <mergeCell ref="C891:C895"/>
    <mergeCell ref="D1161:D1165"/>
    <mergeCell ref="D1226:D1230"/>
    <mergeCell ref="C1496:C1500"/>
    <mergeCell ref="C526:C530"/>
    <mergeCell ref="C101:C105"/>
    <mergeCell ref="D191:D195"/>
    <mergeCell ref="D276:D280"/>
    <mergeCell ref="D186:D190"/>
    <mergeCell ref="D291:D295"/>
    <mergeCell ref="C246:C250"/>
    <mergeCell ref="D146:D150"/>
    <mergeCell ref="C1366:C1370"/>
    <mergeCell ref="D266:D270"/>
    <mergeCell ref="C976:C980"/>
    <mergeCell ref="C386:C390"/>
    <mergeCell ref="C1576:C1580"/>
    <mergeCell ref="D1416:D1420"/>
    <mergeCell ref="D81:D85"/>
    <mergeCell ref="C1256:C1260"/>
    <mergeCell ref="D1206:D1210"/>
    <mergeCell ref="D1266:D1270"/>
    <mergeCell ref="C131:C135"/>
    <mergeCell ref="C106:C110"/>
    <mergeCell ref="D61:D65"/>
    <mergeCell ref="D626:D630"/>
    <mergeCell ref="C1276:C1280"/>
    <mergeCell ref="D601:D605"/>
    <mergeCell ref="C151:C155"/>
    <mergeCell ref="C96:C100"/>
    <mergeCell ref="D76:D80"/>
    <mergeCell ref="D796:D800"/>
    <mergeCell ref="D771:D775"/>
    <mergeCell ref="C536:C540"/>
    <mergeCell ref="C196:C200"/>
    <mergeCell ref="D326:D330"/>
    <mergeCell ref="C616:C620"/>
    <mergeCell ref="D521:D525"/>
    <mergeCell ref="D486:D490"/>
    <mergeCell ref="C656:C660"/>
    <mergeCell ref="C591:C595"/>
    <mergeCell ref="D1096:D1100"/>
    <mergeCell ref="C641:C645"/>
    <mergeCell ref="C16:C20"/>
    <mergeCell ref="D1126:D1130"/>
    <mergeCell ref="C1056:C1060"/>
    <mergeCell ref="C301:C305"/>
    <mergeCell ref="C56:C60"/>
    <mergeCell ref="C156:C160"/>
    <mergeCell ref="D211:D215"/>
    <mergeCell ref="D196:D200"/>
    <mergeCell ref="C126:C130"/>
    <mergeCell ref="D161:D165"/>
    <mergeCell ref="D101:D105"/>
    <mergeCell ref="D21:D25"/>
    <mergeCell ref="C201:C205"/>
    <mergeCell ref="D56:D60"/>
    <mergeCell ref="D201:D205"/>
    <mergeCell ref="D71:D75"/>
    <mergeCell ref="C341:C345"/>
    <mergeCell ref="C486:C490"/>
    <mergeCell ref="D286:D290"/>
    <mergeCell ref="D571:D575"/>
    <mergeCell ref="D766:D770"/>
    <mergeCell ref="D451:D455"/>
    <mergeCell ref="D426:D430"/>
    <mergeCell ref="C606:C610"/>
    <mergeCell ref="C61:C65"/>
    <mergeCell ref="C626:C630"/>
    <mergeCell ref="C36:C40"/>
    <mergeCell ref="C576:C580"/>
    <mergeCell ref="C346:C350"/>
    <mergeCell ref="D1136:D1140"/>
    <mergeCell ref="C86:C90"/>
    <mergeCell ref="C256:C260"/>
    <mergeCell ref="C206:C210"/>
    <mergeCell ref="D466:D470"/>
    <mergeCell ref="D916:D920"/>
    <mergeCell ref="C806:C810"/>
    <mergeCell ref="D416:D420"/>
    <mergeCell ref="C371:C375"/>
    <mergeCell ref="D91:D95"/>
    <mergeCell ref="D746:D750"/>
    <mergeCell ref="D156:D160"/>
    <mergeCell ref="C46:C50"/>
    <mergeCell ref="C696:C700"/>
    <mergeCell ref="D531:D535"/>
    <mergeCell ref="D176:D180"/>
    <mergeCell ref="D241:D245"/>
    <mergeCell ref="C241:C245"/>
    <mergeCell ref="C191:C195"/>
    <mergeCell ref="D1736:D1740"/>
    <mergeCell ref="D981:D985"/>
    <mergeCell ref="D1146:D1150"/>
    <mergeCell ref="D391:D395"/>
    <mergeCell ref="D1046:D1050"/>
    <mergeCell ref="C936:C940"/>
    <mergeCell ref="C901:C905"/>
    <mergeCell ref="C1641:C1645"/>
    <mergeCell ref="D1621:D1625"/>
    <mergeCell ref="D1006:D1010"/>
    <mergeCell ref="C1236:C1240"/>
    <mergeCell ref="C646:C650"/>
    <mergeCell ref="C446:C450"/>
    <mergeCell ref="D1591:D1595"/>
    <mergeCell ref="D1566:D1570"/>
    <mergeCell ref="D866:D870"/>
    <mergeCell ref="C756:C760"/>
    <mergeCell ref="C441:C445"/>
    <mergeCell ref="D1431:D1435"/>
    <mergeCell ref="D841:D845"/>
    <mergeCell ref="C1631:C1635"/>
    <mergeCell ref="C981:C985"/>
    <mergeCell ref="C1246:C1250"/>
    <mergeCell ref="C491:C495"/>
    <mergeCell ref="C141:C145"/>
    <mergeCell ref="D111:D115"/>
    <mergeCell ref="D86:D90"/>
    <mergeCell ref="D251:D255"/>
    <mergeCell ref="C136:C140"/>
    <mergeCell ref="D226:D230"/>
    <mergeCell ref="C1046:C1050"/>
    <mergeCell ref="C291:C295"/>
    <mergeCell ref="D936:D940"/>
    <mergeCell ref="D346:D350"/>
    <mergeCell ref="C111:C115"/>
    <mergeCell ref="D96:D100"/>
    <mergeCell ref="D141:D145"/>
    <mergeCell ref="C791:C795"/>
    <mergeCell ref="D461:D465"/>
    <mergeCell ref="D681:D685"/>
    <mergeCell ref="C1031:C1035"/>
    <mergeCell ref="D386:D390"/>
    <mergeCell ref="C276:C280"/>
    <mergeCell ref="D671:D675"/>
    <mergeCell ref="C166:C170"/>
    <mergeCell ref="C181:C185"/>
    <mergeCell ref="C381:C385"/>
    <mergeCell ref="D471:D475"/>
    <mergeCell ref="C226:C230"/>
    <mergeCell ref="C586:C590"/>
    <mergeCell ref="C1001:C1005"/>
    <mergeCell ref="D891:D895"/>
    <mergeCell ref="D611:D615"/>
    <mergeCell ref="D1176:D1180"/>
    <mergeCell ref="C566:C570"/>
    <mergeCell ref="C776:C780"/>
    <mergeCell ref="C596:C600"/>
    <mergeCell ref="C1161:C1165"/>
    <mergeCell ref="D526:D530"/>
    <mergeCell ref="D496:D500"/>
    <mergeCell ref="D321:D325"/>
    <mergeCell ref="D946:D950"/>
    <mergeCell ref="D581:D585"/>
    <mergeCell ref="D301:D305"/>
    <mergeCell ref="D696:D700"/>
    <mergeCell ref="D441:D445"/>
    <mergeCell ref="C651:C655"/>
    <mergeCell ref="D1141:D1145"/>
    <mergeCell ref="C1096:C1100"/>
    <mergeCell ref="D271:D275"/>
    <mergeCell ref="C396:C400"/>
    <mergeCell ref="C581:C585"/>
    <mergeCell ref="C1731:C1735"/>
    <mergeCell ref="C1141:C1145"/>
    <mergeCell ref="C361:C365"/>
    <mergeCell ref="C1126:C1130"/>
    <mergeCell ref="D516:D520"/>
    <mergeCell ref="C1386:C1390"/>
    <mergeCell ref="C1451:C1455"/>
    <mergeCell ref="D1341:D1345"/>
    <mergeCell ref="C661:C665"/>
    <mergeCell ref="C946:C950"/>
    <mergeCell ref="D1101:D1105"/>
    <mergeCell ref="D591:D595"/>
    <mergeCell ref="D1666:D1670"/>
    <mergeCell ref="D1641:D1645"/>
    <mergeCell ref="D511:D515"/>
    <mergeCell ref="D1076:D1080"/>
    <mergeCell ref="D851:D855"/>
    <mergeCell ref="D1691:D1695"/>
    <mergeCell ref="C1296:C1300"/>
    <mergeCell ref="D1386:D1390"/>
    <mergeCell ref="D1671:D1675"/>
    <mergeCell ref="D661:D665"/>
    <mergeCell ref="C1351:C1355"/>
    <mergeCell ref="C701:C705"/>
    <mergeCell ref="D1786:D1790"/>
    <mergeCell ref="D1031:D1035"/>
    <mergeCell ref="D506:D510"/>
    <mergeCell ref="C636:C640"/>
    <mergeCell ref="D726:D730"/>
    <mergeCell ref="C1691:C1695"/>
    <mergeCell ref="D791:D795"/>
    <mergeCell ref="D1331:D1335"/>
    <mergeCell ref="D1496:D1500"/>
    <mergeCell ref="D741:D745"/>
    <mergeCell ref="C631:C635"/>
    <mergeCell ref="D541:D545"/>
    <mergeCell ref="D1616:D1620"/>
    <mergeCell ref="C1251:C1255"/>
    <mergeCell ref="D1091:D1095"/>
    <mergeCell ref="D1631:D1635"/>
    <mergeCell ref="C511:C515"/>
    <mergeCell ref="C1551:C1555"/>
    <mergeCell ref="C796:C800"/>
    <mergeCell ref="D1436:D1440"/>
    <mergeCell ref="D1761:D1765"/>
    <mergeCell ref="C1151:C1155"/>
    <mergeCell ref="D1481:D1485"/>
    <mergeCell ref="C561:C565"/>
    <mergeCell ref="D296:D300"/>
    <mergeCell ref="D1686:D1690"/>
    <mergeCell ref="D1486:D1490"/>
    <mergeCell ref="C251:C255"/>
    <mergeCell ref="D896:D900"/>
    <mergeCell ref="D1551:D1555"/>
    <mergeCell ref="C851:C855"/>
    <mergeCell ref="D206:D210"/>
    <mergeCell ref="C261:C265"/>
    <mergeCell ref="C1391:C1395"/>
    <mergeCell ref="D1186:D1190"/>
    <mergeCell ref="C916:C920"/>
    <mergeCell ref="D491:D495"/>
    <mergeCell ref="C1651:C1655"/>
    <mergeCell ref="C896:C900"/>
    <mergeCell ref="D1606:D1610"/>
    <mergeCell ref="D956:D960"/>
    <mergeCell ref="C911:C915"/>
    <mergeCell ref="D651:D655"/>
    <mergeCell ref="C1511:C1515"/>
    <mergeCell ref="D1086:D1090"/>
    <mergeCell ref="D606:D610"/>
    <mergeCell ref="D501:D505"/>
    <mergeCell ref="C1666:C1670"/>
    <mergeCell ref="C6:C10"/>
    <mergeCell ref="C1501:C1505"/>
    <mergeCell ref="C711:C715"/>
    <mergeCell ref="C1786:C1790"/>
    <mergeCell ref="C996:C1000"/>
    <mergeCell ref="C1736:C1740"/>
    <mergeCell ref="C406:C410"/>
    <mergeCell ref="C306:C310"/>
    <mergeCell ref="C1601:C1605"/>
    <mergeCell ref="C551:C555"/>
    <mergeCell ref="C1086:C1090"/>
    <mergeCell ref="C1741:C1745"/>
    <mergeCell ref="C266:C270"/>
    <mergeCell ref="C216:C220"/>
    <mergeCell ref="C281:C285"/>
    <mergeCell ref="C1446:C1450"/>
    <mergeCell ref="C1106:C1110"/>
    <mergeCell ref="C1271:C1275"/>
    <mergeCell ref="C1671:C1675"/>
    <mergeCell ref="C541:C545"/>
    <mergeCell ref="C516:C520"/>
    <mergeCell ref="C1081:C1085"/>
    <mergeCell ref="C866:C870"/>
    <mergeCell ref="C76:C80"/>
    <mergeCell ref="C1796:C1800"/>
    <mergeCell ref="D1116:D1120"/>
    <mergeCell ref="D361:D365"/>
    <mergeCell ref="D246:D250"/>
    <mergeCell ref="D1541:D1545"/>
    <mergeCell ref="D1601:D1605"/>
    <mergeCell ref="C421:C425"/>
    <mergeCell ref="C1021:C1025"/>
    <mergeCell ref="C706:C710"/>
    <mergeCell ref="C1506:C1510"/>
    <mergeCell ref="C1306:C1310"/>
    <mergeCell ref="C1371:C1375"/>
    <mergeCell ref="C1346:C1350"/>
    <mergeCell ref="C1321:C1325"/>
    <mergeCell ref="C311:C315"/>
    <mergeCell ref="C416:C420"/>
    <mergeCell ref="C1606:C1610"/>
    <mergeCell ref="C1041:C1045"/>
    <mergeCell ref="D371:D375"/>
    <mergeCell ref="C1581:C1585"/>
    <mergeCell ref="D971:D975"/>
    <mergeCell ref="D1536:D1540"/>
    <mergeCell ref="C611:C615"/>
    <mergeCell ref="C1176:C1180"/>
    <mergeCell ref="D1246:D1250"/>
    <mergeCell ref="C1201:C1205"/>
    <mergeCell ref="D1531:D1535"/>
    <mergeCell ref="D881:D885"/>
    <mergeCell ref="C411:C415"/>
    <mergeCell ref="D1596:D1600"/>
    <mergeCell ref="C1486:C1490"/>
    <mergeCell ref="C556:C560"/>
    <mergeCell ref="D1546:D1550"/>
    <mergeCell ref="C1596:C1600"/>
    <mergeCell ref="D1501:D1505"/>
    <mergeCell ref="C926:C930"/>
    <mergeCell ref="C1331:C1335"/>
    <mergeCell ref="C1286:C1290"/>
    <mergeCell ref="D1201:D1205"/>
    <mergeCell ref="D1296:D1300"/>
    <mergeCell ref="D1271:D1275"/>
    <mergeCell ref="D1451:D1455"/>
    <mergeCell ref="C1341:C1345"/>
    <mergeCell ref="C1406:C1410"/>
    <mergeCell ref="C1396:C1400"/>
    <mergeCell ref="C1291:C1295"/>
    <mergeCell ref="C1536:C1540"/>
    <mergeCell ref="C1456:C1460"/>
    <mergeCell ref="C11:C15"/>
    <mergeCell ref="D991:D995"/>
    <mergeCell ref="D656:D660"/>
    <mergeCell ref="C1051:C1055"/>
    <mergeCell ref="C296:C300"/>
    <mergeCell ref="C1591:C1595"/>
    <mergeCell ref="C116:C120"/>
    <mergeCell ref="C26:C30"/>
    <mergeCell ref="D16:D20"/>
    <mergeCell ref="D51:D55"/>
    <mergeCell ref="C1436:C1440"/>
    <mergeCell ref="C761:C765"/>
    <mergeCell ref="D596:D600"/>
    <mergeCell ref="D1196:D1200"/>
    <mergeCell ref="D26:D30"/>
    <mergeCell ref="D311:D315"/>
    <mergeCell ref="D11:D15"/>
    <mergeCell ref="D586:D590"/>
    <mergeCell ref="D181:D185"/>
    <mergeCell ref="D1476:D1480"/>
    <mergeCell ref="C841:C845"/>
    <mergeCell ref="C51:C55"/>
    <mergeCell ref="C1381:C1385"/>
    <mergeCell ref="C496:C500"/>
  </mergeCells>
  <conditionalFormatting sqref="E6:I1105 E1107:I1048576">
    <cfRule type="expression" dxfId="5" priority="4">
      <formula>TEXT($C5,"ddd")="Fri"</formula>
    </cfRule>
  </conditionalFormatting>
  <conditionalFormatting sqref="E6:I1105 E1108:I1048576">
    <cfRule type="expression" dxfId="4" priority="3">
      <formula>TEXT($C4,"ddd")="Fri"</formula>
    </cfRule>
  </conditionalFormatting>
  <conditionalFormatting sqref="E6:I1105 E1109:I1048576">
    <cfRule type="expression" dxfId="3" priority="2">
      <formula>TEXT($C3,"ddd")="Fri"</formula>
    </cfRule>
  </conditionalFormatting>
  <conditionalFormatting sqref="E6:I1105 E1110:I1048576">
    <cfRule type="expression" dxfId="2" priority="1">
      <formula>TEXT($C2,"ddd")="Fri"</formula>
    </cfRule>
  </conditionalFormatting>
  <conditionalFormatting sqref="E6:I1048576">
    <cfRule type="expression" dxfId="1" priority="5">
      <formula>TEXT($C6,"ddd")="Fri"</formula>
    </cfRule>
  </conditionalFormatting>
  <conditionalFormatting sqref="E1106:I1109">
    <cfRule type="expression" dxfId="0" priority="76">
      <formula>TEXT(#REF!,"ddd")="Fri"</formula>
    </cfRule>
  </conditionalFormatting>
  <pageMargins left="0.7" right="0.7" top="0.75" bottom="0.75" header="0.3" footer="0.3"/>
  <pageSetup paperSize="256" orientation="portrait" horizontalDpi="203" verticalDpi="20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sqref="A1:E6"/>
    </sheetView>
  </sheetViews>
  <sheetFormatPr defaultRowHeight="14.4" x14ac:dyDescent="0.3"/>
  <cols>
    <col min="3" max="3" width="15" bestFit="1" customWidth="1"/>
    <col min="5" max="5" width="25.109375" bestFit="1" customWidth="1"/>
  </cols>
  <sheetData>
    <row r="1" spans="1:5" x14ac:dyDescent="0.3">
      <c r="A1" t="s">
        <v>769</v>
      </c>
    </row>
    <row r="2" spans="1:5" x14ac:dyDescent="0.3">
      <c r="A2" t="s">
        <v>528</v>
      </c>
      <c r="B2" t="s">
        <v>770</v>
      </c>
      <c r="C2" t="s">
        <v>686</v>
      </c>
      <c r="D2" t="s">
        <v>771</v>
      </c>
      <c r="E2" t="s">
        <v>772</v>
      </c>
    </row>
    <row r="3" spans="1:5" x14ac:dyDescent="0.3">
      <c r="A3">
        <v>1</v>
      </c>
      <c r="B3">
        <v>15387</v>
      </c>
      <c r="C3" t="s">
        <v>773</v>
      </c>
      <c r="D3">
        <v>250</v>
      </c>
      <c r="E3" t="s">
        <v>774</v>
      </c>
    </row>
    <row r="4" spans="1:5" x14ac:dyDescent="0.3">
      <c r="A4">
        <v>2</v>
      </c>
      <c r="C4" t="s">
        <v>775</v>
      </c>
      <c r="E4" t="s">
        <v>776</v>
      </c>
    </row>
    <row r="5" spans="1:5" x14ac:dyDescent="0.3">
      <c r="A5">
        <v>3</v>
      </c>
      <c r="C5" t="s">
        <v>777</v>
      </c>
    </row>
    <row r="6" spans="1:5" x14ac:dyDescent="0.3">
      <c r="A6">
        <v>4</v>
      </c>
      <c r="C6" t="s">
        <v>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Main Page</vt:lpstr>
      <vt:lpstr>Stock</vt:lpstr>
      <vt:lpstr>ERP Entry Stock</vt:lpstr>
      <vt:lpstr>ERP Entry FG</vt:lpstr>
      <vt:lpstr>BSIC Entry</vt:lpstr>
      <vt:lpstr>Plastic Entry</vt:lpstr>
      <vt:lpstr>InterCompany Requsition Report</vt:lpstr>
      <vt:lpstr>Compile</vt:lpstr>
      <vt:lpstr>BOM</vt:lpstr>
      <vt:lpstr>SFG Accessories</vt:lpstr>
      <vt:lpstr>Day Wise Production</vt:lpstr>
      <vt:lpstr>Per Day Production</vt:lpstr>
      <vt:lpstr>Entry Sheet Physical</vt:lpstr>
      <vt:lpstr>Armature SFG Report Entry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Ahmed</dc:creator>
  <cp:lastModifiedBy>Arif Ahmed</cp:lastModifiedBy>
  <dcterms:created xsi:type="dcterms:W3CDTF">2026-07-11T08:58:01Z</dcterms:created>
  <dcterms:modified xsi:type="dcterms:W3CDTF">2026-08-29T18:04:45Z</dcterms:modified>
</cp:coreProperties>
</file>